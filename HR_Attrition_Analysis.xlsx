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F:\Excel Personal Projects\"/>
    </mc:Choice>
  </mc:AlternateContent>
  <xr:revisionPtr revIDLastSave="0" documentId="8_{D9836056-2042-471E-BD9C-712F66672111}" xr6:coauthVersionLast="47" xr6:coauthVersionMax="47" xr10:uidLastSave="{00000000-0000-0000-0000-000000000000}"/>
  <bookViews>
    <workbookView xWindow="-120" yWindow="-120" windowWidth="38640" windowHeight="21120" xr2:uid="{00000000-000D-0000-FFFF-FFFF00000000}"/>
  </bookViews>
  <sheets>
    <sheet name="Dashboard" sheetId="6" r:id="rId1"/>
    <sheet name="Notes" sheetId="4" r:id="rId2"/>
    <sheet name="Pivots" sheetId="3" r:id="rId3"/>
    <sheet name="Clean Data" sheetId="2" r:id="rId4"/>
    <sheet name="Raw Data" sheetId="5" r:id="rId5"/>
  </sheets>
  <definedNames>
    <definedName name="_xlnm._FilterDatabase" localSheetId="3" hidden="1">'Clean Data'!$A$1:$U$1013</definedName>
    <definedName name="Slicer_Department">#N/A</definedName>
    <definedName name="Slicer_Gender">#N/A</definedName>
  </definedNames>
  <calcPr calcId="191029"/>
  <pivotCaches>
    <pivotCache cacheId="1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6" l="1"/>
  <c r="J3" i="6"/>
  <c r="F3" i="6"/>
  <c r="B3" i="6"/>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2" i="2"/>
  <c r="T3" i="2" a="1"/>
  <c r="T3" i="2" s="1"/>
  <c r="T4" i="2" a="1"/>
  <c r="T4" i="2" s="1"/>
  <c r="T5" i="2" a="1"/>
  <c r="T5" i="2" s="1"/>
  <c r="T6" i="2" a="1"/>
  <c r="T6" i="2" s="1"/>
  <c r="T7" i="2" a="1"/>
  <c r="T7" i="2" s="1"/>
  <c r="T8" i="2" a="1"/>
  <c r="T8" i="2" s="1"/>
  <c r="T9" i="2" a="1"/>
  <c r="T9" i="2" s="1"/>
  <c r="T10" i="2" a="1"/>
  <c r="T10" i="2" s="1"/>
  <c r="T11" i="2" a="1"/>
  <c r="T11" i="2" s="1"/>
  <c r="T12" i="2" a="1"/>
  <c r="T12" i="2" s="1"/>
  <c r="T13" i="2" a="1"/>
  <c r="T13" i="2" s="1"/>
  <c r="T14" i="2" a="1"/>
  <c r="T14" i="2" s="1"/>
  <c r="T15" i="2" a="1"/>
  <c r="T15" i="2" s="1"/>
  <c r="T16" i="2" a="1"/>
  <c r="T16" i="2" s="1"/>
  <c r="T17" i="2" a="1"/>
  <c r="T17" i="2" s="1"/>
  <c r="T18" i="2" a="1"/>
  <c r="T18" i="2" s="1"/>
  <c r="T19" i="2" a="1"/>
  <c r="T19" i="2" s="1"/>
  <c r="T20" i="2" a="1"/>
  <c r="T20" i="2" s="1"/>
  <c r="T21" i="2" a="1"/>
  <c r="T21" i="2" s="1"/>
  <c r="T22" i="2" a="1"/>
  <c r="T22" i="2" s="1"/>
  <c r="T23" i="2" a="1"/>
  <c r="T23" i="2" s="1"/>
  <c r="T24" i="2" a="1"/>
  <c r="T24" i="2" s="1"/>
  <c r="T25" i="2" a="1"/>
  <c r="T25" i="2" s="1"/>
  <c r="T26" i="2" a="1"/>
  <c r="T26" i="2" s="1"/>
  <c r="T27" i="2" a="1"/>
  <c r="T27" i="2" s="1"/>
  <c r="T28" i="2" a="1"/>
  <c r="T28" i="2" s="1"/>
  <c r="T29" i="2" a="1"/>
  <c r="T29" i="2" s="1"/>
  <c r="T30" i="2" a="1"/>
  <c r="T30" i="2" s="1"/>
  <c r="T31" i="2" a="1"/>
  <c r="T31" i="2" s="1"/>
  <c r="T32" i="2" a="1"/>
  <c r="T32" i="2" s="1"/>
  <c r="T33" i="2" a="1"/>
  <c r="T33" i="2" s="1"/>
  <c r="T34" i="2" a="1"/>
  <c r="T34" i="2" s="1"/>
  <c r="T35" i="2" a="1"/>
  <c r="T35" i="2" s="1"/>
  <c r="T36" i="2" a="1"/>
  <c r="T36" i="2" s="1"/>
  <c r="T37" i="2" a="1"/>
  <c r="T37" i="2" s="1"/>
  <c r="T38" i="2" a="1"/>
  <c r="T38" i="2" s="1"/>
  <c r="T39" i="2" a="1"/>
  <c r="T39" i="2" s="1"/>
  <c r="T40" i="2" a="1"/>
  <c r="T40" i="2" s="1"/>
  <c r="T41" i="2" a="1"/>
  <c r="T41" i="2" s="1"/>
  <c r="T42" i="2" a="1"/>
  <c r="T42" i="2" s="1"/>
  <c r="T43" i="2" a="1"/>
  <c r="T43" i="2" s="1"/>
  <c r="T44" i="2" a="1"/>
  <c r="T44" i="2" s="1"/>
  <c r="T45" i="2" a="1"/>
  <c r="T45" i="2" s="1"/>
  <c r="T46" i="2" a="1"/>
  <c r="T46" i="2" s="1"/>
  <c r="T47" i="2" a="1"/>
  <c r="T47" i="2" s="1"/>
  <c r="T48" i="2" a="1"/>
  <c r="T48" i="2" s="1"/>
  <c r="T49" i="2" a="1"/>
  <c r="T49" i="2" s="1"/>
  <c r="T50" i="2" a="1"/>
  <c r="T50" i="2" s="1"/>
  <c r="T51" i="2" a="1"/>
  <c r="T51" i="2" s="1"/>
  <c r="T52" i="2" a="1"/>
  <c r="T52" i="2" s="1"/>
  <c r="T53" i="2" a="1"/>
  <c r="T53" i="2" s="1"/>
  <c r="T54" i="2" a="1"/>
  <c r="T54" i="2" s="1"/>
  <c r="T55" i="2" a="1"/>
  <c r="T55" i="2" s="1"/>
  <c r="T56" i="2" a="1"/>
  <c r="T56" i="2" s="1"/>
  <c r="T57" i="2" a="1"/>
  <c r="T57" i="2" s="1"/>
  <c r="T58" i="2" a="1"/>
  <c r="T58" i="2" s="1"/>
  <c r="T59" i="2" a="1"/>
  <c r="T59" i="2" s="1"/>
  <c r="T60" i="2" a="1"/>
  <c r="T60" i="2" s="1"/>
  <c r="T61" i="2" a="1"/>
  <c r="T61" i="2" s="1"/>
  <c r="T62" i="2" a="1"/>
  <c r="T62" i="2" s="1"/>
  <c r="T63" i="2" a="1"/>
  <c r="T63" i="2" s="1"/>
  <c r="T64" i="2" a="1"/>
  <c r="T64" i="2" s="1"/>
  <c r="T65" i="2" a="1"/>
  <c r="T65" i="2" s="1"/>
  <c r="T66" i="2" a="1"/>
  <c r="T66" i="2" s="1"/>
  <c r="T67" i="2" a="1"/>
  <c r="T67" i="2" s="1"/>
  <c r="T68" i="2" a="1"/>
  <c r="T68" i="2" s="1"/>
  <c r="T69" i="2" a="1"/>
  <c r="T69" i="2" s="1"/>
  <c r="T70" i="2" a="1"/>
  <c r="T70" i="2" s="1"/>
  <c r="T71" i="2" a="1"/>
  <c r="T71" i="2" s="1"/>
  <c r="T72" i="2" a="1"/>
  <c r="T72" i="2" s="1"/>
  <c r="T73" i="2" a="1"/>
  <c r="T73" i="2" s="1"/>
  <c r="T74" i="2" a="1"/>
  <c r="T74" i="2" s="1"/>
  <c r="T75" i="2" a="1"/>
  <c r="T75" i="2" s="1"/>
  <c r="T76" i="2" a="1"/>
  <c r="T76" i="2" s="1"/>
  <c r="T77" i="2" a="1"/>
  <c r="T77" i="2" s="1"/>
  <c r="T78" i="2" a="1"/>
  <c r="T78" i="2" s="1"/>
  <c r="T79" i="2" a="1"/>
  <c r="T79" i="2" s="1"/>
  <c r="T80" i="2" a="1"/>
  <c r="T80" i="2" s="1"/>
  <c r="T81" i="2" a="1"/>
  <c r="T81" i="2" s="1"/>
  <c r="T82" i="2" a="1"/>
  <c r="T82" i="2" s="1"/>
  <c r="T83" i="2" a="1"/>
  <c r="T83" i="2" s="1"/>
  <c r="T84" i="2" a="1"/>
  <c r="T84" i="2" s="1"/>
  <c r="T85" i="2" a="1"/>
  <c r="T85" i="2" s="1"/>
  <c r="T86" i="2" a="1"/>
  <c r="T86" i="2" s="1"/>
  <c r="T87" i="2" a="1"/>
  <c r="T87" i="2" s="1"/>
  <c r="T88" i="2" a="1"/>
  <c r="T88" i="2" s="1"/>
  <c r="T89" i="2" a="1"/>
  <c r="T89" i="2" s="1"/>
  <c r="T90" i="2" a="1"/>
  <c r="T90" i="2" s="1"/>
  <c r="T91" i="2" a="1"/>
  <c r="T91" i="2" s="1"/>
  <c r="T92" i="2" a="1"/>
  <c r="T92" i="2" s="1"/>
  <c r="T93" i="2" a="1"/>
  <c r="T93" i="2" s="1"/>
  <c r="T94" i="2" a="1"/>
  <c r="T94" i="2" s="1"/>
  <c r="T95" i="2" a="1"/>
  <c r="T95" i="2" s="1"/>
  <c r="T96" i="2" a="1"/>
  <c r="T96" i="2" s="1"/>
  <c r="T97" i="2" a="1"/>
  <c r="T97" i="2" s="1"/>
  <c r="T98" i="2" a="1"/>
  <c r="T98" i="2" s="1"/>
  <c r="T99" i="2" a="1"/>
  <c r="T99" i="2" s="1"/>
  <c r="T100" i="2" a="1"/>
  <c r="T100" i="2" s="1"/>
  <c r="T101" i="2" a="1"/>
  <c r="T101" i="2" s="1"/>
  <c r="T102" i="2" a="1"/>
  <c r="T102" i="2" s="1"/>
  <c r="T103" i="2" a="1"/>
  <c r="T103" i="2" s="1"/>
  <c r="T104" i="2" a="1"/>
  <c r="T104" i="2" s="1"/>
  <c r="T105" i="2" a="1"/>
  <c r="T105" i="2" s="1"/>
  <c r="T106" i="2" a="1"/>
  <c r="T106" i="2" s="1"/>
  <c r="T107" i="2" a="1"/>
  <c r="T107" i="2" s="1"/>
  <c r="T108" i="2" a="1"/>
  <c r="T108" i="2" s="1"/>
  <c r="T109" i="2" a="1"/>
  <c r="T109" i="2" s="1"/>
  <c r="T110" i="2" a="1"/>
  <c r="T110" i="2" s="1"/>
  <c r="T111" i="2" a="1"/>
  <c r="T111" i="2" s="1"/>
  <c r="T112" i="2" a="1"/>
  <c r="T112" i="2" s="1"/>
  <c r="T113" i="2" a="1"/>
  <c r="T113" i="2" s="1"/>
  <c r="T114" i="2" a="1"/>
  <c r="T114" i="2" s="1"/>
  <c r="T115" i="2" a="1"/>
  <c r="T115" i="2" s="1"/>
  <c r="T116" i="2" a="1"/>
  <c r="T116" i="2" s="1"/>
  <c r="T117" i="2" a="1"/>
  <c r="T117" i="2" s="1"/>
  <c r="T118" i="2" a="1"/>
  <c r="T118" i="2" s="1"/>
  <c r="T119" i="2" a="1"/>
  <c r="T119" i="2" s="1"/>
  <c r="T120" i="2" a="1"/>
  <c r="T120" i="2" s="1"/>
  <c r="T121" i="2" a="1"/>
  <c r="T121" i="2" s="1"/>
  <c r="T122" i="2" a="1"/>
  <c r="T122" i="2" s="1"/>
  <c r="T123" i="2" a="1"/>
  <c r="T123" i="2" s="1"/>
  <c r="T124" i="2" a="1"/>
  <c r="T124" i="2" s="1"/>
  <c r="T125" i="2" a="1"/>
  <c r="T125" i="2" s="1"/>
  <c r="T126" i="2" a="1"/>
  <c r="T126" i="2" s="1"/>
  <c r="T127" i="2" a="1"/>
  <c r="T127" i="2" s="1"/>
  <c r="T128" i="2" a="1"/>
  <c r="T128" i="2" s="1"/>
  <c r="T129" i="2" a="1"/>
  <c r="T129" i="2" s="1"/>
  <c r="T130" i="2" a="1"/>
  <c r="T130" i="2" s="1"/>
  <c r="T131" i="2" a="1"/>
  <c r="T131" i="2" s="1"/>
  <c r="T132" i="2" a="1"/>
  <c r="T132" i="2" s="1"/>
  <c r="T133" i="2" a="1"/>
  <c r="T133" i="2" s="1"/>
  <c r="T134" i="2" a="1"/>
  <c r="T134" i="2" s="1"/>
  <c r="T135" i="2" a="1"/>
  <c r="T135" i="2" s="1"/>
  <c r="T136" i="2" a="1"/>
  <c r="T136" i="2" s="1"/>
  <c r="T137" i="2" a="1"/>
  <c r="T137" i="2" s="1"/>
  <c r="T138" i="2" a="1"/>
  <c r="T138" i="2" s="1"/>
  <c r="T139" i="2" a="1"/>
  <c r="T139" i="2" s="1"/>
  <c r="T140" i="2" a="1"/>
  <c r="T140" i="2" s="1"/>
  <c r="T141" i="2" a="1"/>
  <c r="T141" i="2" s="1"/>
  <c r="T142" i="2" a="1"/>
  <c r="T142" i="2" s="1"/>
  <c r="T143" i="2" a="1"/>
  <c r="T143" i="2" s="1"/>
  <c r="T144" i="2" a="1"/>
  <c r="T144" i="2" s="1"/>
  <c r="T145" i="2" a="1"/>
  <c r="T145" i="2" s="1"/>
  <c r="T146" i="2" a="1"/>
  <c r="T146" i="2" s="1"/>
  <c r="T147" i="2" a="1"/>
  <c r="T147" i="2" s="1"/>
  <c r="T148" i="2" a="1"/>
  <c r="T148" i="2" s="1"/>
  <c r="T149" i="2" a="1"/>
  <c r="T149" i="2" s="1"/>
  <c r="T150" i="2" a="1"/>
  <c r="T150" i="2" s="1"/>
  <c r="T151" i="2" a="1"/>
  <c r="T151" i="2" s="1"/>
  <c r="T152" i="2" a="1"/>
  <c r="T152" i="2" s="1"/>
  <c r="T153" i="2" a="1"/>
  <c r="T153" i="2" s="1"/>
  <c r="T154" i="2" a="1"/>
  <c r="T154" i="2" s="1"/>
  <c r="T155" i="2" a="1"/>
  <c r="T155" i="2" s="1"/>
  <c r="T156" i="2" a="1"/>
  <c r="T156" i="2" s="1"/>
  <c r="T157" i="2" a="1"/>
  <c r="T157" i="2" s="1"/>
  <c r="T158" i="2" a="1"/>
  <c r="T158" i="2" s="1"/>
  <c r="T159" i="2" a="1"/>
  <c r="T159" i="2" s="1"/>
  <c r="T160" i="2" a="1"/>
  <c r="T160" i="2" s="1"/>
  <c r="T161" i="2" a="1"/>
  <c r="T161" i="2" s="1"/>
  <c r="T162" i="2" a="1"/>
  <c r="T162" i="2" s="1"/>
  <c r="T163" i="2" a="1"/>
  <c r="T163" i="2" s="1"/>
  <c r="T164" i="2" a="1"/>
  <c r="T164" i="2" s="1"/>
  <c r="T165" i="2" a="1"/>
  <c r="T165" i="2" s="1"/>
  <c r="T166" i="2" a="1"/>
  <c r="T166" i="2" s="1"/>
  <c r="T167" i="2" a="1"/>
  <c r="T167" i="2" s="1"/>
  <c r="T168" i="2" a="1"/>
  <c r="T168" i="2" s="1"/>
  <c r="T169" i="2" a="1"/>
  <c r="T169" i="2" s="1"/>
  <c r="T170" i="2" a="1"/>
  <c r="T170" i="2" s="1"/>
  <c r="T171" i="2" a="1"/>
  <c r="T171" i="2" s="1"/>
  <c r="T172" i="2" a="1"/>
  <c r="T172" i="2" s="1"/>
  <c r="T173" i="2" a="1"/>
  <c r="T173" i="2" s="1"/>
  <c r="T174" i="2" a="1"/>
  <c r="T174" i="2" s="1"/>
  <c r="T175" i="2" a="1"/>
  <c r="T175" i="2" s="1"/>
  <c r="T176" i="2" a="1"/>
  <c r="T176" i="2" s="1"/>
  <c r="T177" i="2" a="1"/>
  <c r="T177" i="2" s="1"/>
  <c r="T178" i="2" a="1"/>
  <c r="T178" i="2" s="1"/>
  <c r="T179" i="2" a="1"/>
  <c r="T179" i="2" s="1"/>
  <c r="T180" i="2" a="1"/>
  <c r="T180" i="2" s="1"/>
  <c r="T181" i="2" a="1"/>
  <c r="T181" i="2" s="1"/>
  <c r="T182" i="2" a="1"/>
  <c r="T182" i="2" s="1"/>
  <c r="T183" i="2" a="1"/>
  <c r="T183" i="2" s="1"/>
  <c r="T184" i="2" a="1"/>
  <c r="T184" i="2" s="1"/>
  <c r="T185" i="2" a="1"/>
  <c r="T185" i="2" s="1"/>
  <c r="T186" i="2" a="1"/>
  <c r="T186" i="2" s="1"/>
  <c r="T187" i="2" a="1"/>
  <c r="T187" i="2" s="1"/>
  <c r="T188" i="2" a="1"/>
  <c r="T188" i="2" s="1"/>
  <c r="T189" i="2" a="1"/>
  <c r="T189" i="2" s="1"/>
  <c r="T190" i="2" a="1"/>
  <c r="T190" i="2" s="1"/>
  <c r="T191" i="2" a="1"/>
  <c r="T191" i="2" s="1"/>
  <c r="T192" i="2" a="1"/>
  <c r="T192" i="2" s="1"/>
  <c r="T193" i="2" a="1"/>
  <c r="T193" i="2" s="1"/>
  <c r="T194" i="2" a="1"/>
  <c r="T194" i="2" s="1"/>
  <c r="T195" i="2" a="1"/>
  <c r="T195" i="2" s="1"/>
  <c r="T196" i="2" a="1"/>
  <c r="T196" i="2" s="1"/>
  <c r="T197" i="2" a="1"/>
  <c r="T197" i="2" s="1"/>
  <c r="T198" i="2" a="1"/>
  <c r="T198" i="2" s="1"/>
  <c r="T199" i="2" a="1"/>
  <c r="T199" i="2" s="1"/>
  <c r="T200" i="2" a="1"/>
  <c r="T200" i="2" s="1"/>
  <c r="T201" i="2" a="1"/>
  <c r="T201" i="2" s="1"/>
  <c r="T202" i="2" a="1"/>
  <c r="T202" i="2" s="1"/>
  <c r="T203" i="2" a="1"/>
  <c r="T203" i="2" s="1"/>
  <c r="T204" i="2" a="1"/>
  <c r="T204" i="2" s="1"/>
  <c r="T205" i="2" a="1"/>
  <c r="T205" i="2" s="1"/>
  <c r="T206" i="2" a="1"/>
  <c r="T206" i="2" s="1"/>
  <c r="T207" i="2" a="1"/>
  <c r="T207" i="2" s="1"/>
  <c r="T208" i="2" a="1"/>
  <c r="T208" i="2" s="1"/>
  <c r="T209" i="2" a="1"/>
  <c r="T209" i="2" s="1"/>
  <c r="T210" i="2" a="1"/>
  <c r="T210" i="2" s="1"/>
  <c r="T211" i="2" a="1"/>
  <c r="T211" i="2" s="1"/>
  <c r="T212" i="2" a="1"/>
  <c r="T212" i="2" s="1"/>
  <c r="T213" i="2" a="1"/>
  <c r="T213" i="2" s="1"/>
  <c r="T214" i="2" a="1"/>
  <c r="T214" i="2" s="1"/>
  <c r="T215" i="2" a="1"/>
  <c r="T215" i="2" s="1"/>
  <c r="T216" i="2" a="1"/>
  <c r="T216" i="2" s="1"/>
  <c r="T217" i="2" a="1"/>
  <c r="T217" i="2" s="1"/>
  <c r="T218" i="2" a="1"/>
  <c r="T218" i="2" s="1"/>
  <c r="T219" i="2" a="1"/>
  <c r="T219" i="2" s="1"/>
  <c r="T220" i="2" a="1"/>
  <c r="T220" i="2" s="1"/>
  <c r="T221" i="2" a="1"/>
  <c r="T221" i="2" s="1"/>
  <c r="T222" i="2" a="1"/>
  <c r="T222" i="2" s="1"/>
  <c r="T223" i="2" a="1"/>
  <c r="T223" i="2" s="1"/>
  <c r="T224" i="2" a="1"/>
  <c r="T224" i="2" s="1"/>
  <c r="T225" i="2" a="1"/>
  <c r="T225" i="2" s="1"/>
  <c r="T226" i="2" a="1"/>
  <c r="T226" i="2" s="1"/>
  <c r="T227" i="2" a="1"/>
  <c r="T227" i="2" s="1"/>
  <c r="T228" i="2" a="1"/>
  <c r="T228" i="2" s="1"/>
  <c r="T229" i="2" a="1"/>
  <c r="T229" i="2" s="1"/>
  <c r="T230" i="2" a="1"/>
  <c r="T230" i="2" s="1"/>
  <c r="T231" i="2" a="1"/>
  <c r="T231" i="2" s="1"/>
  <c r="T232" i="2" a="1"/>
  <c r="T232" i="2" s="1"/>
  <c r="T233" i="2" a="1"/>
  <c r="T233" i="2" s="1"/>
  <c r="T234" i="2" a="1"/>
  <c r="T234" i="2" s="1"/>
  <c r="T235" i="2" a="1"/>
  <c r="T235" i="2" s="1"/>
  <c r="T236" i="2" a="1"/>
  <c r="T236" i="2" s="1"/>
  <c r="T237" i="2" a="1"/>
  <c r="T237" i="2" s="1"/>
  <c r="T238" i="2" a="1"/>
  <c r="T238" i="2" s="1"/>
  <c r="T239" i="2" a="1"/>
  <c r="T239" i="2" s="1"/>
  <c r="T240" i="2" a="1"/>
  <c r="T240" i="2" s="1"/>
  <c r="T241" i="2" a="1"/>
  <c r="T241" i="2" s="1"/>
  <c r="T242" i="2" a="1"/>
  <c r="T242" i="2" s="1"/>
  <c r="T243" i="2" a="1"/>
  <c r="T243" i="2" s="1"/>
  <c r="T244" i="2" a="1"/>
  <c r="T244" i="2" s="1"/>
  <c r="T245" i="2" a="1"/>
  <c r="T245" i="2" s="1"/>
  <c r="T246" i="2" a="1"/>
  <c r="T246" i="2" s="1"/>
  <c r="T247" i="2" a="1"/>
  <c r="T247" i="2" s="1"/>
  <c r="T248" i="2" a="1"/>
  <c r="T248" i="2" s="1"/>
  <c r="T249" i="2" a="1"/>
  <c r="T249" i="2" s="1"/>
  <c r="T250" i="2" a="1"/>
  <c r="T250" i="2" s="1"/>
  <c r="T251" i="2" a="1"/>
  <c r="T251" i="2" s="1"/>
  <c r="T252" i="2" a="1"/>
  <c r="T252" i="2" s="1"/>
  <c r="T253" i="2" a="1"/>
  <c r="T253" i="2" s="1"/>
  <c r="T254" i="2" a="1"/>
  <c r="T254" i="2" s="1"/>
  <c r="T255" i="2" a="1"/>
  <c r="T255" i="2" s="1"/>
  <c r="T256" i="2" a="1"/>
  <c r="T256" i="2" s="1"/>
  <c r="T257" i="2" a="1"/>
  <c r="T257" i="2" s="1"/>
  <c r="T258" i="2" a="1"/>
  <c r="T258" i="2" s="1"/>
  <c r="T259" i="2" a="1"/>
  <c r="T259" i="2" s="1"/>
  <c r="T260" i="2" a="1"/>
  <c r="T260" i="2" s="1"/>
  <c r="T261" i="2" a="1"/>
  <c r="T261" i="2" s="1"/>
  <c r="T262" i="2" a="1"/>
  <c r="T262" i="2" s="1"/>
  <c r="T263" i="2" a="1"/>
  <c r="T263" i="2" s="1"/>
  <c r="T264" i="2" a="1"/>
  <c r="T264" i="2" s="1"/>
  <c r="T265" i="2" a="1"/>
  <c r="T265" i="2" s="1"/>
  <c r="T266" i="2" a="1"/>
  <c r="T266" i="2" s="1"/>
  <c r="T267" i="2" a="1"/>
  <c r="T267" i="2" s="1"/>
  <c r="T268" i="2" a="1"/>
  <c r="T268" i="2" s="1"/>
  <c r="T269" i="2" a="1"/>
  <c r="T269" i="2" s="1"/>
  <c r="T270" i="2" a="1"/>
  <c r="T270" i="2" s="1"/>
  <c r="T271" i="2" a="1"/>
  <c r="T271" i="2" s="1"/>
  <c r="T272" i="2" a="1"/>
  <c r="T272" i="2" s="1"/>
  <c r="T273" i="2" a="1"/>
  <c r="T273" i="2"/>
  <c r="T274" i="2" a="1"/>
  <c r="T274" i="2" s="1"/>
  <c r="T275" i="2" a="1"/>
  <c r="T275" i="2" s="1"/>
  <c r="T276" i="2" a="1"/>
  <c r="T276" i="2" s="1"/>
  <c r="T277" i="2" a="1"/>
  <c r="T277" i="2" s="1"/>
  <c r="T278" i="2" a="1"/>
  <c r="T278" i="2" s="1"/>
  <c r="T279" i="2" a="1"/>
  <c r="T279" i="2" s="1"/>
  <c r="T280" i="2" a="1"/>
  <c r="T280" i="2" s="1"/>
  <c r="T281" i="2" a="1"/>
  <c r="T281" i="2" s="1"/>
  <c r="T282" i="2" a="1"/>
  <c r="T282" i="2" s="1"/>
  <c r="T283" i="2" a="1"/>
  <c r="T283" i="2" s="1"/>
  <c r="T284" i="2" a="1"/>
  <c r="T284" i="2" s="1"/>
  <c r="T285" i="2" a="1"/>
  <c r="T285" i="2" s="1"/>
  <c r="T286" i="2" a="1"/>
  <c r="T286" i="2" s="1"/>
  <c r="T287" i="2" a="1"/>
  <c r="T287" i="2" s="1"/>
  <c r="T288" i="2" a="1"/>
  <c r="T288" i="2"/>
  <c r="T289" i="2" a="1"/>
  <c r="T289" i="2" s="1"/>
  <c r="T290" i="2" a="1"/>
  <c r="T290" i="2" s="1"/>
  <c r="T291" i="2" a="1"/>
  <c r="T291" i="2" s="1"/>
  <c r="T292" i="2" a="1"/>
  <c r="T292" i="2" s="1"/>
  <c r="T293" i="2" a="1"/>
  <c r="T293" i="2" s="1"/>
  <c r="T294" i="2" a="1"/>
  <c r="T294" i="2" s="1"/>
  <c r="T295" i="2" a="1"/>
  <c r="T295" i="2" s="1"/>
  <c r="T296" i="2" a="1"/>
  <c r="T296" i="2" s="1"/>
  <c r="T297" i="2" a="1"/>
  <c r="T297" i="2" s="1"/>
  <c r="T298" i="2" a="1"/>
  <c r="T298" i="2" s="1"/>
  <c r="T299" i="2" a="1"/>
  <c r="T299" i="2" s="1"/>
  <c r="T300" i="2" a="1"/>
  <c r="T300" i="2" s="1"/>
  <c r="T301" i="2" a="1"/>
  <c r="T301" i="2" s="1"/>
  <c r="T302" i="2" a="1"/>
  <c r="T302" i="2" s="1"/>
  <c r="T303" i="2" a="1"/>
  <c r="T303" i="2" s="1"/>
  <c r="T304" i="2" a="1"/>
  <c r="T304" i="2" s="1"/>
  <c r="T305" i="2" a="1"/>
  <c r="T305" i="2" s="1"/>
  <c r="T306" i="2" a="1"/>
  <c r="T306" i="2" s="1"/>
  <c r="T307" i="2" a="1"/>
  <c r="T307" i="2" s="1"/>
  <c r="T308" i="2" a="1"/>
  <c r="T308" i="2" s="1"/>
  <c r="T309" i="2" a="1"/>
  <c r="T309" i="2" s="1"/>
  <c r="T310" i="2" a="1"/>
  <c r="T310" i="2" s="1"/>
  <c r="T311" i="2" a="1"/>
  <c r="T311" i="2" s="1"/>
  <c r="T312" i="2" a="1"/>
  <c r="T312" i="2" s="1"/>
  <c r="T313" i="2" a="1"/>
  <c r="T313" i="2" s="1"/>
  <c r="T314" i="2" a="1"/>
  <c r="T314" i="2" s="1"/>
  <c r="T315" i="2" a="1"/>
  <c r="T315" i="2" s="1"/>
  <c r="T316" i="2" a="1"/>
  <c r="T316" i="2" s="1"/>
  <c r="T317" i="2" a="1"/>
  <c r="T317" i="2" s="1"/>
  <c r="T318" i="2" a="1"/>
  <c r="T318" i="2" s="1"/>
  <c r="T319" i="2" a="1"/>
  <c r="T319" i="2" s="1"/>
  <c r="T320" i="2" a="1"/>
  <c r="T320" i="2" s="1"/>
  <c r="T321" i="2" a="1"/>
  <c r="T321" i="2" s="1"/>
  <c r="T322" i="2" a="1"/>
  <c r="T322" i="2" s="1"/>
  <c r="T323" i="2" a="1"/>
  <c r="T323" i="2" s="1"/>
  <c r="T324" i="2" a="1"/>
  <c r="T324" i="2" s="1"/>
  <c r="T325" i="2" a="1"/>
  <c r="T325" i="2" s="1"/>
  <c r="T326" i="2" a="1"/>
  <c r="T326" i="2" s="1"/>
  <c r="T327" i="2" a="1"/>
  <c r="T327" i="2" s="1"/>
  <c r="T328" i="2" a="1"/>
  <c r="T328" i="2" s="1"/>
  <c r="T329" i="2" a="1"/>
  <c r="T329" i="2" s="1"/>
  <c r="T330" i="2" a="1"/>
  <c r="T330" i="2" s="1"/>
  <c r="T331" i="2" a="1"/>
  <c r="T331" i="2" s="1"/>
  <c r="T332" i="2" a="1"/>
  <c r="T332" i="2" s="1"/>
  <c r="T333" i="2" a="1"/>
  <c r="T333" i="2" s="1"/>
  <c r="T334" i="2" a="1"/>
  <c r="T334" i="2" s="1"/>
  <c r="T335" i="2" a="1"/>
  <c r="T335" i="2" s="1"/>
  <c r="T336" i="2" a="1"/>
  <c r="T336" i="2" s="1"/>
  <c r="T337" i="2" a="1"/>
  <c r="T337" i="2" s="1"/>
  <c r="T338" i="2" a="1"/>
  <c r="T338" i="2" s="1"/>
  <c r="T339" i="2" a="1"/>
  <c r="T339" i="2" s="1"/>
  <c r="T340" i="2" a="1"/>
  <c r="T340" i="2" s="1"/>
  <c r="T341" i="2" a="1"/>
  <c r="T341" i="2" s="1"/>
  <c r="T342" i="2" a="1"/>
  <c r="T342" i="2" s="1"/>
  <c r="T343" i="2" a="1"/>
  <c r="T343" i="2" s="1"/>
  <c r="T344" i="2" a="1"/>
  <c r="T344" i="2" s="1"/>
  <c r="T345" i="2" a="1"/>
  <c r="T345" i="2" s="1"/>
  <c r="T346" i="2" a="1"/>
  <c r="T346" i="2" s="1"/>
  <c r="T347" i="2" a="1"/>
  <c r="T347" i="2" s="1"/>
  <c r="T348" i="2" a="1"/>
  <c r="T348" i="2" s="1"/>
  <c r="T349" i="2" a="1"/>
  <c r="T349" i="2" s="1"/>
  <c r="T350" i="2" a="1"/>
  <c r="T350" i="2" s="1"/>
  <c r="T351" i="2" a="1"/>
  <c r="T351" i="2" s="1"/>
  <c r="T352" i="2" a="1"/>
  <c r="T352" i="2" s="1"/>
  <c r="T353" i="2" a="1"/>
  <c r="T353" i="2" s="1"/>
  <c r="T354" i="2" a="1"/>
  <c r="T354" i="2" s="1"/>
  <c r="T355" i="2" a="1"/>
  <c r="T355" i="2" s="1"/>
  <c r="T356" i="2" a="1"/>
  <c r="T356" i="2" s="1"/>
  <c r="T357" i="2" a="1"/>
  <c r="T357" i="2" s="1"/>
  <c r="T358" i="2" a="1"/>
  <c r="T358" i="2" s="1"/>
  <c r="T359" i="2" a="1"/>
  <c r="T359" i="2" s="1"/>
  <c r="T360" i="2" a="1"/>
  <c r="T360" i="2" s="1"/>
  <c r="T361" i="2" a="1"/>
  <c r="T361" i="2" s="1"/>
  <c r="T362" i="2" a="1"/>
  <c r="T362" i="2" s="1"/>
  <c r="T363" i="2" a="1"/>
  <c r="T363" i="2" s="1"/>
  <c r="T364" i="2" a="1"/>
  <c r="T364" i="2" s="1"/>
  <c r="T365" i="2" a="1"/>
  <c r="T365" i="2" s="1"/>
  <c r="T366" i="2" a="1"/>
  <c r="T366" i="2" s="1"/>
  <c r="T367" i="2" a="1"/>
  <c r="T367" i="2" s="1"/>
  <c r="T368" i="2" a="1"/>
  <c r="T368" i="2" s="1"/>
  <c r="T369" i="2" a="1"/>
  <c r="T369" i="2" s="1"/>
  <c r="T370" i="2" a="1"/>
  <c r="T370" i="2" s="1"/>
  <c r="T371" i="2" a="1"/>
  <c r="T371" i="2" s="1"/>
  <c r="T372" i="2" a="1"/>
  <c r="T372" i="2" s="1"/>
  <c r="T373" i="2" a="1"/>
  <c r="T373" i="2" s="1"/>
  <c r="T374" i="2" a="1"/>
  <c r="T374" i="2" s="1"/>
  <c r="T375" i="2" a="1"/>
  <c r="T375" i="2" s="1"/>
  <c r="T376" i="2" a="1"/>
  <c r="T376" i="2" s="1"/>
  <c r="T377" i="2" a="1"/>
  <c r="T377" i="2" s="1"/>
  <c r="T378" i="2" a="1"/>
  <c r="T378" i="2" s="1"/>
  <c r="T379" i="2" a="1"/>
  <c r="T379" i="2" s="1"/>
  <c r="T380" i="2" a="1"/>
  <c r="T380" i="2" s="1"/>
  <c r="T381" i="2" a="1"/>
  <c r="T381" i="2" s="1"/>
  <c r="T382" i="2" a="1"/>
  <c r="T382" i="2" s="1"/>
  <c r="T383" i="2" a="1"/>
  <c r="T383" i="2" s="1"/>
  <c r="T384" i="2" a="1"/>
  <c r="T384" i="2" s="1"/>
  <c r="T385" i="2" a="1"/>
  <c r="T385" i="2" s="1"/>
  <c r="T386" i="2" a="1"/>
  <c r="T386" i="2" s="1"/>
  <c r="T387" i="2" a="1"/>
  <c r="T387" i="2" s="1"/>
  <c r="T388" i="2" a="1"/>
  <c r="T388" i="2" s="1"/>
  <c r="T389" i="2" a="1"/>
  <c r="T389" i="2" s="1"/>
  <c r="T390" i="2" a="1"/>
  <c r="T390" i="2" s="1"/>
  <c r="T391" i="2" a="1"/>
  <c r="T391" i="2" s="1"/>
  <c r="T392" i="2" a="1"/>
  <c r="T392" i="2" s="1"/>
  <c r="T393" i="2" a="1"/>
  <c r="T393" i="2" s="1"/>
  <c r="T394" i="2" a="1"/>
  <c r="T394" i="2" s="1"/>
  <c r="T395" i="2" a="1"/>
  <c r="T395" i="2" s="1"/>
  <c r="T396" i="2" a="1"/>
  <c r="T396" i="2" s="1"/>
  <c r="T397" i="2" a="1"/>
  <c r="T397" i="2" s="1"/>
  <c r="T398" i="2" a="1"/>
  <c r="T398" i="2" s="1"/>
  <c r="T399" i="2" a="1"/>
  <c r="T399" i="2" s="1"/>
  <c r="T400" i="2" a="1"/>
  <c r="T400" i="2" s="1"/>
  <c r="T401" i="2" a="1"/>
  <c r="T401" i="2" s="1"/>
  <c r="T402" i="2" a="1"/>
  <c r="T402" i="2" s="1"/>
  <c r="T403" i="2" a="1"/>
  <c r="T403" i="2" s="1"/>
  <c r="T404" i="2" a="1"/>
  <c r="T404" i="2" s="1"/>
  <c r="T405" i="2" a="1"/>
  <c r="T405" i="2" s="1"/>
  <c r="T406" i="2" a="1"/>
  <c r="T406" i="2" s="1"/>
  <c r="T407" i="2" a="1"/>
  <c r="T407" i="2" s="1"/>
  <c r="T408" i="2" a="1"/>
  <c r="T408" i="2" s="1"/>
  <c r="T409" i="2" a="1"/>
  <c r="T409" i="2" s="1"/>
  <c r="T410" i="2" a="1"/>
  <c r="T410" i="2" s="1"/>
  <c r="T411" i="2" a="1"/>
  <c r="T411" i="2" s="1"/>
  <c r="T412" i="2" a="1"/>
  <c r="T412" i="2" s="1"/>
  <c r="T413" i="2" a="1"/>
  <c r="T413" i="2" s="1"/>
  <c r="T414" i="2" a="1"/>
  <c r="T414" i="2" s="1"/>
  <c r="T415" i="2" a="1"/>
  <c r="T415" i="2" s="1"/>
  <c r="T416" i="2" a="1"/>
  <c r="T416" i="2" s="1"/>
  <c r="T417" i="2" a="1"/>
  <c r="T417" i="2" s="1"/>
  <c r="T418" i="2" a="1"/>
  <c r="T418" i="2" s="1"/>
  <c r="T419" i="2" a="1"/>
  <c r="T419" i="2" s="1"/>
  <c r="T420" i="2" a="1"/>
  <c r="T420" i="2" s="1"/>
  <c r="T421" i="2" a="1"/>
  <c r="T421" i="2" s="1"/>
  <c r="T422" i="2" a="1"/>
  <c r="T422" i="2" s="1"/>
  <c r="T423" i="2" a="1"/>
  <c r="T423" i="2" s="1"/>
  <c r="T424" i="2" a="1"/>
  <c r="T424" i="2" s="1"/>
  <c r="T425" i="2" a="1"/>
  <c r="T425" i="2" s="1"/>
  <c r="T426" i="2" a="1"/>
  <c r="T426" i="2" s="1"/>
  <c r="T427" i="2" a="1"/>
  <c r="T427" i="2" s="1"/>
  <c r="T428" i="2" a="1"/>
  <c r="T428" i="2" s="1"/>
  <c r="T429" i="2" a="1"/>
  <c r="T429" i="2" s="1"/>
  <c r="T430" i="2" a="1"/>
  <c r="T430" i="2" s="1"/>
  <c r="T431" i="2" a="1"/>
  <c r="T431" i="2" s="1"/>
  <c r="T432" i="2" a="1"/>
  <c r="T432" i="2" s="1"/>
  <c r="T433" i="2" a="1"/>
  <c r="T433" i="2" s="1"/>
  <c r="T434" i="2" a="1"/>
  <c r="T434" i="2" s="1"/>
  <c r="T435" i="2" a="1"/>
  <c r="T435" i="2" s="1"/>
  <c r="T436" i="2" a="1"/>
  <c r="T436" i="2" s="1"/>
  <c r="T437" i="2" a="1"/>
  <c r="T437" i="2" s="1"/>
  <c r="T438" i="2" a="1"/>
  <c r="T438" i="2" s="1"/>
  <c r="T439" i="2" a="1"/>
  <c r="T439" i="2" s="1"/>
  <c r="T440" i="2" a="1"/>
  <c r="T440" i="2" s="1"/>
  <c r="T441" i="2" a="1"/>
  <c r="T441" i="2" s="1"/>
  <c r="T442" i="2" a="1"/>
  <c r="T442" i="2" s="1"/>
  <c r="T443" i="2" a="1"/>
  <c r="T443" i="2" s="1"/>
  <c r="T444" i="2" a="1"/>
  <c r="T444" i="2" s="1"/>
  <c r="T445" i="2" a="1"/>
  <c r="T445" i="2" s="1"/>
  <c r="T446" i="2" a="1"/>
  <c r="T446" i="2" s="1"/>
  <c r="T447" i="2" a="1"/>
  <c r="T447" i="2" s="1"/>
  <c r="T448" i="2" a="1"/>
  <c r="T448" i="2" s="1"/>
  <c r="T449" i="2" a="1"/>
  <c r="T449" i="2" s="1"/>
  <c r="T450" i="2" a="1"/>
  <c r="T450" i="2" s="1"/>
  <c r="T451" i="2" a="1"/>
  <c r="T451" i="2" s="1"/>
  <c r="T452" i="2" a="1"/>
  <c r="T452" i="2" s="1"/>
  <c r="T453" i="2" a="1"/>
  <c r="T453" i="2" s="1"/>
  <c r="T454" i="2" a="1"/>
  <c r="T454" i="2" s="1"/>
  <c r="T455" i="2" a="1"/>
  <c r="T455" i="2" s="1"/>
  <c r="T456" i="2" a="1"/>
  <c r="T456" i="2" s="1"/>
  <c r="T457" i="2" a="1"/>
  <c r="T457" i="2" s="1"/>
  <c r="T458" i="2" a="1"/>
  <c r="T458" i="2" s="1"/>
  <c r="T459" i="2" a="1"/>
  <c r="T459" i="2" s="1"/>
  <c r="T460" i="2" a="1"/>
  <c r="T460" i="2" s="1"/>
  <c r="T461" i="2" a="1"/>
  <c r="T461" i="2" s="1"/>
  <c r="T462" i="2" a="1"/>
  <c r="T462" i="2" s="1"/>
  <c r="T463" i="2" a="1"/>
  <c r="T463" i="2" s="1"/>
  <c r="T464" i="2" a="1"/>
  <c r="T464" i="2" s="1"/>
  <c r="T465" i="2" a="1"/>
  <c r="T465" i="2" s="1"/>
  <c r="T466" i="2" a="1"/>
  <c r="T466" i="2" s="1"/>
  <c r="T467" i="2" a="1"/>
  <c r="T467" i="2" s="1"/>
  <c r="T468" i="2" a="1"/>
  <c r="T468" i="2" s="1"/>
  <c r="T469" i="2" a="1"/>
  <c r="T469" i="2" s="1"/>
  <c r="T470" i="2" a="1"/>
  <c r="T470" i="2" s="1"/>
  <c r="T471" i="2" a="1"/>
  <c r="T471" i="2" s="1"/>
  <c r="T472" i="2" a="1"/>
  <c r="T472" i="2" s="1"/>
  <c r="T473" i="2" a="1"/>
  <c r="T473" i="2" s="1"/>
  <c r="T474" i="2" a="1"/>
  <c r="T474" i="2" s="1"/>
  <c r="T475" i="2" a="1"/>
  <c r="T475" i="2" s="1"/>
  <c r="T476" i="2" a="1"/>
  <c r="T476" i="2" s="1"/>
  <c r="T477" i="2" a="1"/>
  <c r="T477" i="2" s="1"/>
  <c r="T478" i="2" a="1"/>
  <c r="T478" i="2" s="1"/>
  <c r="T479" i="2" a="1"/>
  <c r="T479" i="2" s="1"/>
  <c r="T480" i="2" a="1"/>
  <c r="T480" i="2" s="1"/>
  <c r="T481" i="2" a="1"/>
  <c r="T481" i="2" s="1"/>
  <c r="T482" i="2" a="1"/>
  <c r="T482" i="2" s="1"/>
  <c r="T483" i="2" a="1"/>
  <c r="T483" i="2" s="1"/>
  <c r="T484" i="2" a="1"/>
  <c r="T484" i="2" s="1"/>
  <c r="T485" i="2" a="1"/>
  <c r="T485" i="2" s="1"/>
  <c r="T486" i="2" a="1"/>
  <c r="T486" i="2" s="1"/>
  <c r="T487" i="2" a="1"/>
  <c r="T487" i="2" s="1"/>
  <c r="T488" i="2" a="1"/>
  <c r="T488" i="2" s="1"/>
  <c r="T489" i="2" a="1"/>
  <c r="T489" i="2" s="1"/>
  <c r="T490" i="2" a="1"/>
  <c r="T490" i="2" s="1"/>
  <c r="T491" i="2" a="1"/>
  <c r="T491" i="2" s="1"/>
  <c r="T492" i="2" a="1"/>
  <c r="T492" i="2" s="1"/>
  <c r="T493" i="2" a="1"/>
  <c r="T493" i="2" s="1"/>
  <c r="T494" i="2" a="1"/>
  <c r="T494" i="2" s="1"/>
  <c r="T495" i="2" a="1"/>
  <c r="T495" i="2" s="1"/>
  <c r="T496" i="2" a="1"/>
  <c r="T496" i="2" s="1"/>
  <c r="T497" i="2" a="1"/>
  <c r="T497" i="2" s="1"/>
  <c r="T498" i="2" a="1"/>
  <c r="T498" i="2" s="1"/>
  <c r="T499" i="2" a="1"/>
  <c r="T499" i="2" s="1"/>
  <c r="T500" i="2" a="1"/>
  <c r="T500" i="2" s="1"/>
  <c r="T501" i="2" a="1"/>
  <c r="T501" i="2" s="1"/>
  <c r="T502" i="2" a="1"/>
  <c r="T502" i="2" s="1"/>
  <c r="T503" i="2" a="1"/>
  <c r="T503" i="2" s="1"/>
  <c r="T504" i="2" a="1"/>
  <c r="T504" i="2" s="1"/>
  <c r="T505" i="2" a="1"/>
  <c r="T505" i="2" s="1"/>
  <c r="T506" i="2" a="1"/>
  <c r="T506" i="2" s="1"/>
  <c r="T507" i="2" a="1"/>
  <c r="T507" i="2" s="1"/>
  <c r="T508" i="2" a="1"/>
  <c r="T508" i="2" s="1"/>
  <c r="T509" i="2" a="1"/>
  <c r="T509" i="2" s="1"/>
  <c r="T510" i="2" a="1"/>
  <c r="T510" i="2" s="1"/>
  <c r="T511" i="2" a="1"/>
  <c r="T511" i="2" s="1"/>
  <c r="T512" i="2" a="1"/>
  <c r="T512" i="2" s="1"/>
  <c r="T513" i="2" a="1"/>
  <c r="T513" i="2" s="1"/>
  <c r="T514" i="2" a="1"/>
  <c r="T514" i="2" s="1"/>
  <c r="T515" i="2" a="1"/>
  <c r="T515" i="2" s="1"/>
  <c r="T516" i="2" a="1"/>
  <c r="T516" i="2" s="1"/>
  <c r="T517" i="2" a="1"/>
  <c r="T517" i="2" s="1"/>
  <c r="T518" i="2" a="1"/>
  <c r="T518" i="2" s="1"/>
  <c r="T519" i="2" a="1"/>
  <c r="T519" i="2" s="1"/>
  <c r="T520" i="2" a="1"/>
  <c r="T520" i="2" s="1"/>
  <c r="T521" i="2" a="1"/>
  <c r="T521" i="2" s="1"/>
  <c r="T522" i="2" a="1"/>
  <c r="T522" i="2" s="1"/>
  <c r="T523" i="2" a="1"/>
  <c r="T523" i="2" s="1"/>
  <c r="T524" i="2" a="1"/>
  <c r="T524" i="2" s="1"/>
  <c r="T525" i="2" a="1"/>
  <c r="T525" i="2" s="1"/>
  <c r="T526" i="2" a="1"/>
  <c r="T526" i="2" s="1"/>
  <c r="T527" i="2" a="1"/>
  <c r="T527" i="2" s="1"/>
  <c r="T528" i="2" a="1"/>
  <c r="T528" i="2" s="1"/>
  <c r="T529" i="2" a="1"/>
  <c r="T529" i="2" s="1"/>
  <c r="T530" i="2" a="1"/>
  <c r="T530" i="2" s="1"/>
  <c r="T531" i="2" a="1"/>
  <c r="T531" i="2" s="1"/>
  <c r="T532" i="2" a="1"/>
  <c r="T532" i="2" s="1"/>
  <c r="T533" i="2" a="1"/>
  <c r="T533" i="2" s="1"/>
  <c r="T534" i="2" a="1"/>
  <c r="T534" i="2" s="1"/>
  <c r="T535" i="2" a="1"/>
  <c r="T535" i="2" s="1"/>
  <c r="T536" i="2" a="1"/>
  <c r="T536" i="2" s="1"/>
  <c r="T537" i="2" a="1"/>
  <c r="T537" i="2" s="1"/>
  <c r="T538" i="2" a="1"/>
  <c r="T538" i="2" s="1"/>
  <c r="T539" i="2" a="1"/>
  <c r="T539" i="2" s="1"/>
  <c r="T540" i="2" a="1"/>
  <c r="T540" i="2" s="1"/>
  <c r="T541" i="2" a="1"/>
  <c r="T541" i="2" s="1"/>
  <c r="T542" i="2" a="1"/>
  <c r="T542" i="2" s="1"/>
  <c r="T543" i="2" a="1"/>
  <c r="T543" i="2" s="1"/>
  <c r="T544" i="2" a="1"/>
  <c r="T544" i="2" s="1"/>
  <c r="T545" i="2" a="1"/>
  <c r="T545" i="2" s="1"/>
  <c r="T546" i="2" a="1"/>
  <c r="T546" i="2" s="1"/>
  <c r="T547" i="2" a="1"/>
  <c r="T547" i="2" s="1"/>
  <c r="T548" i="2" a="1"/>
  <c r="T548" i="2" s="1"/>
  <c r="T549" i="2" a="1"/>
  <c r="T549" i="2" s="1"/>
  <c r="T550" i="2" a="1"/>
  <c r="T550" i="2" s="1"/>
  <c r="T551" i="2" a="1"/>
  <c r="T551" i="2" s="1"/>
  <c r="T552" i="2" a="1"/>
  <c r="T552" i="2" s="1"/>
  <c r="T553" i="2" a="1"/>
  <c r="T553" i="2" s="1"/>
  <c r="T554" i="2" a="1"/>
  <c r="T554" i="2" s="1"/>
  <c r="T555" i="2" a="1"/>
  <c r="T555" i="2" s="1"/>
  <c r="T556" i="2" a="1"/>
  <c r="T556" i="2" s="1"/>
  <c r="T557" i="2" a="1"/>
  <c r="T557" i="2" s="1"/>
  <c r="T558" i="2" a="1"/>
  <c r="T558" i="2" s="1"/>
  <c r="T559" i="2" a="1"/>
  <c r="T559" i="2" s="1"/>
  <c r="T560" i="2" a="1"/>
  <c r="T560" i="2" s="1"/>
  <c r="T561" i="2" a="1"/>
  <c r="T561" i="2" s="1"/>
  <c r="T562" i="2" a="1"/>
  <c r="T562" i="2" s="1"/>
  <c r="T563" i="2" a="1"/>
  <c r="T563" i="2" s="1"/>
  <c r="T564" i="2" a="1"/>
  <c r="T564" i="2" s="1"/>
  <c r="T565" i="2" a="1"/>
  <c r="T565" i="2" s="1"/>
  <c r="T566" i="2" a="1"/>
  <c r="T566" i="2" s="1"/>
  <c r="T567" i="2" a="1"/>
  <c r="T567" i="2" s="1"/>
  <c r="T568" i="2" a="1"/>
  <c r="T568" i="2" s="1"/>
  <c r="T569" i="2" a="1"/>
  <c r="T569" i="2" s="1"/>
  <c r="T570" i="2" a="1"/>
  <c r="T570" i="2" s="1"/>
  <c r="T571" i="2" a="1"/>
  <c r="T571" i="2" s="1"/>
  <c r="T572" i="2" a="1"/>
  <c r="T572" i="2" s="1"/>
  <c r="T573" i="2" a="1"/>
  <c r="T573" i="2" s="1"/>
  <c r="T574" i="2" a="1"/>
  <c r="T574" i="2" s="1"/>
  <c r="T575" i="2" a="1"/>
  <c r="T575" i="2" s="1"/>
  <c r="T576" i="2" a="1"/>
  <c r="T576" i="2" s="1"/>
  <c r="T577" i="2" a="1"/>
  <c r="T577" i="2" s="1"/>
  <c r="T578" i="2" a="1"/>
  <c r="T578" i="2" s="1"/>
  <c r="T579" i="2" a="1"/>
  <c r="T579" i="2" s="1"/>
  <c r="T580" i="2" a="1"/>
  <c r="T580" i="2" s="1"/>
  <c r="T581" i="2" a="1"/>
  <c r="T581" i="2" s="1"/>
  <c r="T582" i="2" a="1"/>
  <c r="T582" i="2" s="1"/>
  <c r="T583" i="2" a="1"/>
  <c r="T583" i="2" s="1"/>
  <c r="T584" i="2" a="1"/>
  <c r="T584" i="2" s="1"/>
  <c r="T585" i="2" a="1"/>
  <c r="T585" i="2" s="1"/>
  <c r="T586" i="2" a="1"/>
  <c r="T586" i="2" s="1"/>
  <c r="T587" i="2" a="1"/>
  <c r="T587" i="2" s="1"/>
  <c r="T588" i="2" a="1"/>
  <c r="T588" i="2" s="1"/>
  <c r="T589" i="2" a="1"/>
  <c r="T589" i="2" s="1"/>
  <c r="T590" i="2" a="1"/>
  <c r="T590" i="2" s="1"/>
  <c r="T591" i="2" a="1"/>
  <c r="T591" i="2" s="1"/>
  <c r="T592" i="2" a="1"/>
  <c r="T592" i="2" s="1"/>
  <c r="T593" i="2" a="1"/>
  <c r="T593" i="2" s="1"/>
  <c r="T594" i="2" a="1"/>
  <c r="T594" i="2" s="1"/>
  <c r="T595" i="2" a="1"/>
  <c r="T595" i="2" s="1"/>
  <c r="T596" i="2" a="1"/>
  <c r="T596" i="2" s="1"/>
  <c r="T597" i="2" a="1"/>
  <c r="T597" i="2" s="1"/>
  <c r="T598" i="2" a="1"/>
  <c r="T598" i="2" s="1"/>
  <c r="T599" i="2" a="1"/>
  <c r="T599" i="2" s="1"/>
  <c r="T600" i="2" a="1"/>
  <c r="T600" i="2" s="1"/>
  <c r="T601" i="2" a="1"/>
  <c r="T601" i="2" s="1"/>
  <c r="T602" i="2" a="1"/>
  <c r="T602" i="2" s="1"/>
  <c r="T603" i="2" a="1"/>
  <c r="T603" i="2" s="1"/>
  <c r="T604" i="2" a="1"/>
  <c r="T604" i="2" s="1"/>
  <c r="T605" i="2" a="1"/>
  <c r="T605" i="2" s="1"/>
  <c r="T606" i="2" a="1"/>
  <c r="T606" i="2" s="1"/>
  <c r="T607" i="2" a="1"/>
  <c r="T607" i="2" s="1"/>
  <c r="T608" i="2" a="1"/>
  <c r="T608" i="2" s="1"/>
  <c r="T609" i="2" a="1"/>
  <c r="T609" i="2" s="1"/>
  <c r="T610" i="2" a="1"/>
  <c r="T610" i="2" s="1"/>
  <c r="T611" i="2" a="1"/>
  <c r="T611" i="2" s="1"/>
  <c r="T612" i="2" a="1"/>
  <c r="T612" i="2" s="1"/>
  <c r="T613" i="2" a="1"/>
  <c r="T613" i="2" s="1"/>
  <c r="T614" i="2" a="1"/>
  <c r="T614" i="2" s="1"/>
  <c r="T615" i="2" a="1"/>
  <c r="T615" i="2" s="1"/>
  <c r="T616" i="2" a="1"/>
  <c r="T616" i="2" s="1"/>
  <c r="T617" i="2" a="1"/>
  <c r="T617" i="2" s="1"/>
  <c r="T618" i="2" a="1"/>
  <c r="T618" i="2" s="1"/>
  <c r="T619" i="2" a="1"/>
  <c r="T619" i="2" s="1"/>
  <c r="T620" i="2" a="1"/>
  <c r="T620" i="2" s="1"/>
  <c r="T621" i="2" a="1"/>
  <c r="T621" i="2" s="1"/>
  <c r="T622" i="2" a="1"/>
  <c r="T622" i="2" s="1"/>
  <c r="T623" i="2" a="1"/>
  <c r="T623" i="2" s="1"/>
  <c r="T624" i="2" a="1"/>
  <c r="T624" i="2" s="1"/>
  <c r="T625" i="2" a="1"/>
  <c r="T625" i="2" s="1"/>
  <c r="T626" i="2" a="1"/>
  <c r="T626" i="2" s="1"/>
  <c r="T627" i="2" a="1"/>
  <c r="T627" i="2" s="1"/>
  <c r="T628" i="2" a="1"/>
  <c r="T628" i="2" s="1"/>
  <c r="T629" i="2" a="1"/>
  <c r="T629" i="2" s="1"/>
  <c r="T630" i="2" a="1"/>
  <c r="T630" i="2" s="1"/>
  <c r="T631" i="2" a="1"/>
  <c r="T631" i="2" s="1"/>
  <c r="T632" i="2" a="1"/>
  <c r="T632" i="2" s="1"/>
  <c r="T633" i="2" a="1"/>
  <c r="T633" i="2" s="1"/>
  <c r="T634" i="2" a="1"/>
  <c r="T634" i="2" s="1"/>
  <c r="T635" i="2" a="1"/>
  <c r="T635" i="2" s="1"/>
  <c r="T636" i="2" a="1"/>
  <c r="T636" i="2" s="1"/>
  <c r="T637" i="2" a="1"/>
  <c r="T637" i="2" s="1"/>
  <c r="T638" i="2" a="1"/>
  <c r="T638" i="2" s="1"/>
  <c r="T639" i="2" a="1"/>
  <c r="T639" i="2" s="1"/>
  <c r="T640" i="2" a="1"/>
  <c r="T640" i="2" s="1"/>
  <c r="T641" i="2" a="1"/>
  <c r="T641" i="2" s="1"/>
  <c r="T642" i="2" a="1"/>
  <c r="T642" i="2" s="1"/>
  <c r="T643" i="2" a="1"/>
  <c r="T643" i="2" s="1"/>
  <c r="T644" i="2" a="1"/>
  <c r="T644" i="2" s="1"/>
  <c r="T645" i="2" a="1"/>
  <c r="T645" i="2" s="1"/>
  <c r="T646" i="2" a="1"/>
  <c r="T646" i="2" s="1"/>
  <c r="T647" i="2" a="1"/>
  <c r="T647" i="2" s="1"/>
  <c r="T648" i="2" a="1"/>
  <c r="T648" i="2" s="1"/>
  <c r="T649" i="2" a="1"/>
  <c r="T649" i="2" s="1"/>
  <c r="T650" i="2" a="1"/>
  <c r="T650" i="2" s="1"/>
  <c r="T651" i="2" a="1"/>
  <c r="T651" i="2" s="1"/>
  <c r="T652" i="2" a="1"/>
  <c r="T652" i="2" s="1"/>
  <c r="T653" i="2" a="1"/>
  <c r="T653" i="2" s="1"/>
  <c r="T654" i="2" a="1"/>
  <c r="T654" i="2" s="1"/>
  <c r="T655" i="2" a="1"/>
  <c r="T655" i="2" s="1"/>
  <c r="T656" i="2" a="1"/>
  <c r="T656" i="2" s="1"/>
  <c r="T657" i="2" a="1"/>
  <c r="T657" i="2" s="1"/>
  <c r="T658" i="2" a="1"/>
  <c r="T658" i="2" s="1"/>
  <c r="T659" i="2" a="1"/>
  <c r="T659" i="2" s="1"/>
  <c r="T660" i="2" a="1"/>
  <c r="T660" i="2" s="1"/>
  <c r="T661" i="2" a="1"/>
  <c r="T661" i="2" s="1"/>
  <c r="T662" i="2" a="1"/>
  <c r="T662" i="2" s="1"/>
  <c r="T663" i="2" a="1"/>
  <c r="T663" i="2" s="1"/>
  <c r="T664" i="2" a="1"/>
  <c r="T664" i="2" s="1"/>
  <c r="T665" i="2" a="1"/>
  <c r="T665" i="2" s="1"/>
  <c r="T666" i="2" a="1"/>
  <c r="T666" i="2" s="1"/>
  <c r="T667" i="2" a="1"/>
  <c r="T667" i="2" s="1"/>
  <c r="T668" i="2" a="1"/>
  <c r="T668" i="2" s="1"/>
  <c r="T669" i="2" a="1"/>
  <c r="T669" i="2" s="1"/>
  <c r="T670" i="2" a="1"/>
  <c r="T670" i="2" s="1"/>
  <c r="T671" i="2" a="1"/>
  <c r="T671" i="2" s="1"/>
  <c r="T672" i="2" a="1"/>
  <c r="T672" i="2" s="1"/>
  <c r="T673" i="2" a="1"/>
  <c r="T673" i="2" s="1"/>
  <c r="T674" i="2" a="1"/>
  <c r="T674" i="2" s="1"/>
  <c r="T675" i="2" a="1"/>
  <c r="T675" i="2" s="1"/>
  <c r="T676" i="2" a="1"/>
  <c r="T676" i="2" s="1"/>
  <c r="T677" i="2" a="1"/>
  <c r="T677" i="2" s="1"/>
  <c r="T678" i="2" a="1"/>
  <c r="T678" i="2" s="1"/>
  <c r="T679" i="2" a="1"/>
  <c r="T679" i="2" s="1"/>
  <c r="T680" i="2" a="1"/>
  <c r="T680" i="2" s="1"/>
  <c r="T681" i="2" a="1"/>
  <c r="T681" i="2" s="1"/>
  <c r="T682" i="2" a="1"/>
  <c r="T682" i="2" s="1"/>
  <c r="T683" i="2" a="1"/>
  <c r="T683" i="2" s="1"/>
  <c r="T684" i="2" a="1"/>
  <c r="T684" i="2" s="1"/>
  <c r="T685" i="2" a="1"/>
  <c r="T685" i="2" s="1"/>
  <c r="T686" i="2" a="1"/>
  <c r="T686" i="2" s="1"/>
  <c r="T687" i="2" a="1"/>
  <c r="T687" i="2" s="1"/>
  <c r="T688" i="2" a="1"/>
  <c r="T688" i="2" s="1"/>
  <c r="T689" i="2" a="1"/>
  <c r="T689" i="2" s="1"/>
  <c r="T690" i="2" a="1"/>
  <c r="T690" i="2" s="1"/>
  <c r="T691" i="2" a="1"/>
  <c r="T691" i="2" s="1"/>
  <c r="T692" i="2" a="1"/>
  <c r="T692" i="2" s="1"/>
  <c r="T693" i="2" a="1"/>
  <c r="T693" i="2" s="1"/>
  <c r="T694" i="2" a="1"/>
  <c r="T694" i="2" s="1"/>
  <c r="T695" i="2" a="1"/>
  <c r="T695" i="2" s="1"/>
  <c r="T696" i="2" a="1"/>
  <c r="T696" i="2" s="1"/>
  <c r="T697" i="2" a="1"/>
  <c r="T697" i="2" s="1"/>
  <c r="T698" i="2" a="1"/>
  <c r="T698" i="2" s="1"/>
  <c r="T699" i="2" a="1"/>
  <c r="T699" i="2" s="1"/>
  <c r="T700" i="2" a="1"/>
  <c r="T700" i="2" s="1"/>
  <c r="T701" i="2" a="1"/>
  <c r="T701" i="2" s="1"/>
  <c r="T702" i="2" a="1"/>
  <c r="T702" i="2" s="1"/>
  <c r="T703" i="2" a="1"/>
  <c r="T703" i="2" s="1"/>
  <c r="T704" i="2" a="1"/>
  <c r="T704" i="2" s="1"/>
  <c r="T705" i="2" a="1"/>
  <c r="T705" i="2" s="1"/>
  <c r="T706" i="2" a="1"/>
  <c r="T706" i="2" s="1"/>
  <c r="T707" i="2" a="1"/>
  <c r="T707" i="2" s="1"/>
  <c r="T708" i="2" a="1"/>
  <c r="T708" i="2" s="1"/>
  <c r="T709" i="2" a="1"/>
  <c r="T709" i="2" s="1"/>
  <c r="T710" i="2" a="1"/>
  <c r="T710" i="2" s="1"/>
  <c r="T711" i="2" a="1"/>
  <c r="T711" i="2" s="1"/>
  <c r="T712" i="2" a="1"/>
  <c r="T712" i="2" s="1"/>
  <c r="T713" i="2" a="1"/>
  <c r="T713" i="2" s="1"/>
  <c r="T714" i="2" a="1"/>
  <c r="T714" i="2" s="1"/>
  <c r="T715" i="2" a="1"/>
  <c r="T715" i="2" s="1"/>
  <c r="T716" i="2" a="1"/>
  <c r="T716" i="2" s="1"/>
  <c r="T717" i="2" a="1"/>
  <c r="T717" i="2" s="1"/>
  <c r="T718" i="2" a="1"/>
  <c r="T718" i="2" s="1"/>
  <c r="T719" i="2" a="1"/>
  <c r="T719" i="2" s="1"/>
  <c r="T720" i="2" a="1"/>
  <c r="T720" i="2" s="1"/>
  <c r="T721" i="2" a="1"/>
  <c r="T721" i="2" s="1"/>
  <c r="T722" i="2" a="1"/>
  <c r="T722" i="2" s="1"/>
  <c r="T723" i="2" a="1"/>
  <c r="T723" i="2" s="1"/>
  <c r="T724" i="2" a="1"/>
  <c r="T724" i="2" s="1"/>
  <c r="T725" i="2" a="1"/>
  <c r="T725" i="2" s="1"/>
  <c r="T726" i="2" a="1"/>
  <c r="T726" i="2" s="1"/>
  <c r="T727" i="2" a="1"/>
  <c r="T727" i="2" s="1"/>
  <c r="T728" i="2" a="1"/>
  <c r="T728" i="2" s="1"/>
  <c r="T729" i="2" a="1"/>
  <c r="T729" i="2" s="1"/>
  <c r="T730" i="2" a="1"/>
  <c r="T730" i="2" s="1"/>
  <c r="T731" i="2" a="1"/>
  <c r="T731" i="2" s="1"/>
  <c r="T732" i="2" a="1"/>
  <c r="T732" i="2" s="1"/>
  <c r="T733" i="2" a="1"/>
  <c r="T733" i="2" s="1"/>
  <c r="T734" i="2" a="1"/>
  <c r="T734" i="2" s="1"/>
  <c r="T735" i="2" a="1"/>
  <c r="T735" i="2" s="1"/>
  <c r="T736" i="2" a="1"/>
  <c r="T736" i="2" s="1"/>
  <c r="T737" i="2" a="1"/>
  <c r="T737" i="2" s="1"/>
  <c r="T738" i="2" a="1"/>
  <c r="T738" i="2" s="1"/>
  <c r="T739" i="2" a="1"/>
  <c r="T739" i="2" s="1"/>
  <c r="T740" i="2" a="1"/>
  <c r="T740" i="2" s="1"/>
  <c r="T741" i="2" a="1"/>
  <c r="T741" i="2" s="1"/>
  <c r="T742" i="2" a="1"/>
  <c r="T742" i="2" s="1"/>
  <c r="T743" i="2" a="1"/>
  <c r="T743" i="2" s="1"/>
  <c r="T744" i="2" a="1"/>
  <c r="T744" i="2" s="1"/>
  <c r="T745" i="2" a="1"/>
  <c r="T745" i="2" s="1"/>
  <c r="T746" i="2" a="1"/>
  <c r="T746" i="2" s="1"/>
  <c r="T747" i="2" a="1"/>
  <c r="T747" i="2" s="1"/>
  <c r="T748" i="2" a="1"/>
  <c r="T748" i="2" s="1"/>
  <c r="T749" i="2" a="1"/>
  <c r="T749" i="2" s="1"/>
  <c r="T750" i="2" a="1"/>
  <c r="T750" i="2" s="1"/>
  <c r="T751" i="2" a="1"/>
  <c r="T751" i="2" s="1"/>
  <c r="T752" i="2" a="1"/>
  <c r="T752" i="2" s="1"/>
  <c r="T753" i="2" a="1"/>
  <c r="T753" i="2" s="1"/>
  <c r="T754" i="2" a="1"/>
  <c r="T754" i="2" s="1"/>
  <c r="T755" i="2" a="1"/>
  <c r="T755" i="2" s="1"/>
  <c r="T756" i="2" a="1"/>
  <c r="T756" i="2" s="1"/>
  <c r="T757" i="2" a="1"/>
  <c r="T757" i="2" s="1"/>
  <c r="T758" i="2" a="1"/>
  <c r="T758" i="2" s="1"/>
  <c r="T759" i="2" a="1"/>
  <c r="T759" i="2" s="1"/>
  <c r="T760" i="2" a="1"/>
  <c r="T760" i="2" s="1"/>
  <c r="T761" i="2" a="1"/>
  <c r="T761" i="2" s="1"/>
  <c r="T762" i="2" a="1"/>
  <c r="T762" i="2" s="1"/>
  <c r="T763" i="2" a="1"/>
  <c r="T763" i="2" s="1"/>
  <c r="T764" i="2" a="1"/>
  <c r="T764" i="2" s="1"/>
  <c r="T765" i="2" a="1"/>
  <c r="T765" i="2" s="1"/>
  <c r="T766" i="2" a="1"/>
  <c r="T766" i="2" s="1"/>
  <c r="T767" i="2" a="1"/>
  <c r="T767" i="2" s="1"/>
  <c r="T768" i="2" a="1"/>
  <c r="T768" i="2" s="1"/>
  <c r="T769" i="2" a="1"/>
  <c r="T769" i="2" s="1"/>
  <c r="T770" i="2" a="1"/>
  <c r="T770" i="2" s="1"/>
  <c r="T771" i="2" a="1"/>
  <c r="T771" i="2" s="1"/>
  <c r="T772" i="2" a="1"/>
  <c r="T772" i="2" s="1"/>
  <c r="T773" i="2" a="1"/>
  <c r="T773" i="2" s="1"/>
  <c r="T774" i="2" a="1"/>
  <c r="T774" i="2" s="1"/>
  <c r="T775" i="2" a="1"/>
  <c r="T775" i="2" s="1"/>
  <c r="T776" i="2" a="1"/>
  <c r="T776" i="2" s="1"/>
  <c r="T777" i="2" a="1"/>
  <c r="T777" i="2" s="1"/>
  <c r="T778" i="2" a="1"/>
  <c r="T778" i="2" s="1"/>
  <c r="T779" i="2" a="1"/>
  <c r="T779" i="2" s="1"/>
  <c r="T780" i="2" a="1"/>
  <c r="T780" i="2" s="1"/>
  <c r="T781" i="2" a="1"/>
  <c r="T781" i="2" s="1"/>
  <c r="T782" i="2" a="1"/>
  <c r="T782" i="2" s="1"/>
  <c r="T783" i="2" a="1"/>
  <c r="T783" i="2" s="1"/>
  <c r="T784" i="2" a="1"/>
  <c r="T784" i="2" s="1"/>
  <c r="T785" i="2" a="1"/>
  <c r="T785" i="2" s="1"/>
  <c r="T786" i="2" a="1"/>
  <c r="T786" i="2" s="1"/>
  <c r="T787" i="2" a="1"/>
  <c r="T787" i="2" s="1"/>
  <c r="T788" i="2" a="1"/>
  <c r="T788" i="2" s="1"/>
  <c r="T789" i="2" a="1"/>
  <c r="T789" i="2" s="1"/>
  <c r="T790" i="2" a="1"/>
  <c r="T790" i="2" s="1"/>
  <c r="T791" i="2" a="1"/>
  <c r="T791" i="2" s="1"/>
  <c r="T792" i="2" a="1"/>
  <c r="T792" i="2" s="1"/>
  <c r="T793" i="2" a="1"/>
  <c r="T793" i="2" s="1"/>
  <c r="T794" i="2" a="1"/>
  <c r="T794" i="2" s="1"/>
  <c r="T795" i="2" a="1"/>
  <c r="T795" i="2" s="1"/>
  <c r="T796" i="2" a="1"/>
  <c r="T796" i="2" s="1"/>
  <c r="T797" i="2" a="1"/>
  <c r="T797" i="2" s="1"/>
  <c r="T798" i="2" a="1"/>
  <c r="T798" i="2" s="1"/>
  <c r="T799" i="2" a="1"/>
  <c r="T799" i="2" s="1"/>
  <c r="T800" i="2" a="1"/>
  <c r="T800" i="2" s="1"/>
  <c r="T801" i="2" a="1"/>
  <c r="T801" i="2" s="1"/>
  <c r="T802" i="2" a="1"/>
  <c r="T802" i="2" s="1"/>
  <c r="T803" i="2" a="1"/>
  <c r="T803" i="2" s="1"/>
  <c r="T804" i="2" a="1"/>
  <c r="T804" i="2" s="1"/>
  <c r="T805" i="2" a="1"/>
  <c r="T805" i="2" s="1"/>
  <c r="T806" i="2" a="1"/>
  <c r="T806" i="2" s="1"/>
  <c r="T807" i="2" a="1"/>
  <c r="T807" i="2" s="1"/>
  <c r="T808" i="2" a="1"/>
  <c r="T808" i="2" s="1"/>
  <c r="T809" i="2" a="1"/>
  <c r="T809" i="2" s="1"/>
  <c r="T810" i="2" a="1"/>
  <c r="T810" i="2" s="1"/>
  <c r="T811" i="2" a="1"/>
  <c r="T811" i="2" s="1"/>
  <c r="T812" i="2" a="1"/>
  <c r="T812" i="2" s="1"/>
  <c r="T813" i="2" a="1"/>
  <c r="T813" i="2" s="1"/>
  <c r="T814" i="2" a="1"/>
  <c r="T814" i="2" s="1"/>
  <c r="T815" i="2" a="1"/>
  <c r="T815" i="2" s="1"/>
  <c r="T816" i="2" a="1"/>
  <c r="T816" i="2" s="1"/>
  <c r="T817" i="2" a="1"/>
  <c r="T817" i="2" s="1"/>
  <c r="T818" i="2" a="1"/>
  <c r="T818" i="2" s="1"/>
  <c r="T819" i="2" a="1"/>
  <c r="T819" i="2" s="1"/>
  <c r="T820" i="2" a="1"/>
  <c r="T820" i="2" s="1"/>
  <c r="T821" i="2" a="1"/>
  <c r="T821" i="2" s="1"/>
  <c r="T822" i="2" a="1"/>
  <c r="T822" i="2" s="1"/>
  <c r="T823" i="2" a="1"/>
  <c r="T823" i="2" s="1"/>
  <c r="T824" i="2" a="1"/>
  <c r="T824" i="2" s="1"/>
  <c r="T825" i="2" a="1"/>
  <c r="T825" i="2" s="1"/>
  <c r="T826" i="2" a="1"/>
  <c r="T826" i="2" s="1"/>
  <c r="T827" i="2" a="1"/>
  <c r="T827" i="2" s="1"/>
  <c r="T828" i="2" a="1"/>
  <c r="T828" i="2" s="1"/>
  <c r="T829" i="2" a="1"/>
  <c r="T829" i="2" s="1"/>
  <c r="T830" i="2" a="1"/>
  <c r="T830" i="2" s="1"/>
  <c r="T831" i="2" a="1"/>
  <c r="T831" i="2" s="1"/>
  <c r="T832" i="2" a="1"/>
  <c r="T832" i="2" s="1"/>
  <c r="T833" i="2" a="1"/>
  <c r="T833" i="2" s="1"/>
  <c r="T834" i="2" a="1"/>
  <c r="T834" i="2" s="1"/>
  <c r="T835" i="2" a="1"/>
  <c r="T835" i="2" s="1"/>
  <c r="T836" i="2" a="1"/>
  <c r="T836" i="2" s="1"/>
  <c r="T837" i="2" a="1"/>
  <c r="T837" i="2" s="1"/>
  <c r="T838" i="2" a="1"/>
  <c r="T838" i="2" s="1"/>
  <c r="T839" i="2" a="1"/>
  <c r="T839" i="2" s="1"/>
  <c r="T840" i="2" a="1"/>
  <c r="T840" i="2" s="1"/>
  <c r="T841" i="2" a="1"/>
  <c r="T841" i="2" s="1"/>
  <c r="T842" i="2" a="1"/>
  <c r="T842" i="2" s="1"/>
  <c r="T843" i="2" a="1"/>
  <c r="T843" i="2" s="1"/>
  <c r="T844" i="2" a="1"/>
  <c r="T844" i="2" s="1"/>
  <c r="T845" i="2" a="1"/>
  <c r="T845" i="2" s="1"/>
  <c r="T846" i="2" a="1"/>
  <c r="T846" i="2" s="1"/>
  <c r="T847" i="2" a="1"/>
  <c r="T847" i="2" s="1"/>
  <c r="T848" i="2" a="1"/>
  <c r="T848" i="2" s="1"/>
  <c r="T849" i="2" a="1"/>
  <c r="T849" i="2" s="1"/>
  <c r="T850" i="2" a="1"/>
  <c r="T850" i="2" s="1"/>
  <c r="T851" i="2" a="1"/>
  <c r="T851" i="2" s="1"/>
  <c r="T852" i="2" a="1"/>
  <c r="T852" i="2" s="1"/>
  <c r="T853" i="2" a="1"/>
  <c r="T853" i="2" s="1"/>
  <c r="T854" i="2" a="1"/>
  <c r="T854" i="2" s="1"/>
  <c r="T855" i="2" a="1"/>
  <c r="T855" i="2" s="1"/>
  <c r="T856" i="2" a="1"/>
  <c r="T856" i="2" s="1"/>
  <c r="T857" i="2" a="1"/>
  <c r="T857" i="2" s="1"/>
  <c r="T858" i="2" a="1"/>
  <c r="T858" i="2" s="1"/>
  <c r="T859" i="2" a="1"/>
  <c r="T859" i="2" s="1"/>
  <c r="T860" i="2" a="1"/>
  <c r="T860" i="2" s="1"/>
  <c r="T861" i="2" a="1"/>
  <c r="T861" i="2" s="1"/>
  <c r="T862" i="2" a="1"/>
  <c r="T862" i="2" s="1"/>
  <c r="T863" i="2" a="1"/>
  <c r="T863" i="2" s="1"/>
  <c r="T864" i="2" a="1"/>
  <c r="T864" i="2" s="1"/>
  <c r="T865" i="2" a="1"/>
  <c r="T865" i="2" s="1"/>
  <c r="T866" i="2" a="1"/>
  <c r="T866" i="2" s="1"/>
  <c r="T867" i="2" a="1"/>
  <c r="T867" i="2" s="1"/>
  <c r="T868" i="2" a="1"/>
  <c r="T868" i="2" s="1"/>
  <c r="T869" i="2" a="1"/>
  <c r="T869" i="2" s="1"/>
  <c r="T870" i="2" a="1"/>
  <c r="T870" i="2" s="1"/>
  <c r="T871" i="2" a="1"/>
  <c r="T871" i="2" s="1"/>
  <c r="T872" i="2" a="1"/>
  <c r="T872" i="2" s="1"/>
  <c r="T873" i="2" a="1"/>
  <c r="T873" i="2" s="1"/>
  <c r="T874" i="2" a="1"/>
  <c r="T874" i="2" s="1"/>
  <c r="T875" i="2" a="1"/>
  <c r="T875" i="2" s="1"/>
  <c r="T876" i="2" a="1"/>
  <c r="T876" i="2" s="1"/>
  <c r="T877" i="2" a="1"/>
  <c r="T877" i="2" s="1"/>
  <c r="T878" i="2" a="1"/>
  <c r="T878" i="2"/>
  <c r="T879" i="2" a="1"/>
  <c r="T879" i="2" s="1"/>
  <c r="T880" i="2" a="1"/>
  <c r="T880" i="2" s="1"/>
  <c r="T881" i="2" a="1"/>
  <c r="T881" i="2" s="1"/>
  <c r="T882" i="2" a="1"/>
  <c r="T882" i="2" s="1"/>
  <c r="T883" i="2" a="1"/>
  <c r="T883" i="2" s="1"/>
  <c r="T884" i="2" a="1"/>
  <c r="T884" i="2" s="1"/>
  <c r="T885" i="2" a="1"/>
  <c r="T885" i="2" s="1"/>
  <c r="T886" i="2" a="1"/>
  <c r="T886" i="2" s="1"/>
  <c r="T887" i="2" a="1"/>
  <c r="T887" i="2" s="1"/>
  <c r="T888" i="2" a="1"/>
  <c r="T888" i="2" s="1"/>
  <c r="T889" i="2" a="1"/>
  <c r="T889" i="2" s="1"/>
  <c r="T890" i="2" a="1"/>
  <c r="T890" i="2" s="1"/>
  <c r="T891" i="2" a="1"/>
  <c r="T891" i="2" s="1"/>
  <c r="T892" i="2" a="1"/>
  <c r="T892" i="2" s="1"/>
  <c r="T893" i="2" a="1"/>
  <c r="T893" i="2" s="1"/>
  <c r="T894" i="2" a="1"/>
  <c r="T894" i="2" s="1"/>
  <c r="T895" i="2" a="1"/>
  <c r="T895" i="2" s="1"/>
  <c r="T896" i="2" a="1"/>
  <c r="T896" i="2" s="1"/>
  <c r="T897" i="2" a="1"/>
  <c r="T897" i="2" s="1"/>
  <c r="T898" i="2" a="1"/>
  <c r="T898" i="2" s="1"/>
  <c r="T899" i="2" a="1"/>
  <c r="T899" i="2" s="1"/>
  <c r="T900" i="2" a="1"/>
  <c r="T900" i="2" s="1"/>
  <c r="T901" i="2" a="1"/>
  <c r="T901" i="2" s="1"/>
  <c r="T902" i="2" a="1"/>
  <c r="T902" i="2" s="1"/>
  <c r="T903" i="2" a="1"/>
  <c r="T903" i="2" s="1"/>
  <c r="T904" i="2" a="1"/>
  <c r="T904" i="2" s="1"/>
  <c r="T905" i="2" a="1"/>
  <c r="T905" i="2" s="1"/>
  <c r="T906" i="2" a="1"/>
  <c r="T906" i="2" s="1"/>
  <c r="T907" i="2" a="1"/>
  <c r="T907" i="2" s="1"/>
  <c r="T908" i="2" a="1"/>
  <c r="T908" i="2" s="1"/>
  <c r="T909" i="2" a="1"/>
  <c r="T909" i="2" s="1"/>
  <c r="T910" i="2" a="1"/>
  <c r="T910" i="2" s="1"/>
  <c r="T911" i="2" a="1"/>
  <c r="T911" i="2" s="1"/>
  <c r="T912" i="2" a="1"/>
  <c r="T912" i="2" s="1"/>
  <c r="T913" i="2" a="1"/>
  <c r="T913" i="2" s="1"/>
  <c r="T914" i="2" a="1"/>
  <c r="T914" i="2" s="1"/>
  <c r="T915" i="2" a="1"/>
  <c r="T915" i="2" s="1"/>
  <c r="T916" i="2" a="1"/>
  <c r="T916" i="2" s="1"/>
  <c r="T917" i="2" a="1"/>
  <c r="T917" i="2" s="1"/>
  <c r="T918" i="2" a="1"/>
  <c r="T918" i="2" s="1"/>
  <c r="T919" i="2" a="1"/>
  <c r="T919" i="2" s="1"/>
  <c r="T920" i="2" a="1"/>
  <c r="T920" i="2" s="1"/>
  <c r="T921" i="2" a="1"/>
  <c r="T921" i="2" s="1"/>
  <c r="T922" i="2" a="1"/>
  <c r="T922" i="2" s="1"/>
  <c r="T923" i="2" a="1"/>
  <c r="T923" i="2" s="1"/>
  <c r="T924" i="2" a="1"/>
  <c r="T924" i="2" s="1"/>
  <c r="T925" i="2" a="1"/>
  <c r="T925" i="2" s="1"/>
  <c r="T926" i="2" a="1"/>
  <c r="T926" i="2" s="1"/>
  <c r="T927" i="2" a="1"/>
  <c r="T927" i="2" s="1"/>
  <c r="T928" i="2" a="1"/>
  <c r="T928" i="2" s="1"/>
  <c r="T929" i="2" a="1"/>
  <c r="T929" i="2" s="1"/>
  <c r="T930" i="2" a="1"/>
  <c r="T930" i="2" s="1"/>
  <c r="T931" i="2" a="1"/>
  <c r="T931" i="2" s="1"/>
  <c r="T932" i="2" a="1"/>
  <c r="T932" i="2" s="1"/>
  <c r="T933" i="2" a="1"/>
  <c r="T933" i="2" s="1"/>
  <c r="T934" i="2" a="1"/>
  <c r="T934" i="2" s="1"/>
  <c r="T935" i="2" a="1"/>
  <c r="T935" i="2" s="1"/>
  <c r="T936" i="2" a="1"/>
  <c r="T936" i="2" s="1"/>
  <c r="T937" i="2" a="1"/>
  <c r="T937" i="2" s="1"/>
  <c r="T938" i="2" a="1"/>
  <c r="T938" i="2" s="1"/>
  <c r="T939" i="2" a="1"/>
  <c r="T939" i="2" s="1"/>
  <c r="T940" i="2" a="1"/>
  <c r="T940" i="2" s="1"/>
  <c r="T941" i="2" a="1"/>
  <c r="T941" i="2" s="1"/>
  <c r="T942" i="2" a="1"/>
  <c r="T942" i="2" s="1"/>
  <c r="T943" i="2" a="1"/>
  <c r="T943" i="2" s="1"/>
  <c r="T944" i="2" a="1"/>
  <c r="T944" i="2" s="1"/>
  <c r="T945" i="2" a="1"/>
  <c r="T945" i="2" s="1"/>
  <c r="T946" i="2" a="1"/>
  <c r="T946" i="2" s="1"/>
  <c r="T947" i="2" a="1"/>
  <c r="T947" i="2" s="1"/>
  <c r="T948" i="2" a="1"/>
  <c r="T948" i="2" s="1"/>
  <c r="T949" i="2" a="1"/>
  <c r="T949" i="2" s="1"/>
  <c r="T950" i="2" a="1"/>
  <c r="T950" i="2" s="1"/>
  <c r="T951" i="2" a="1"/>
  <c r="T951" i="2" s="1"/>
  <c r="T952" i="2" a="1"/>
  <c r="T952" i="2" s="1"/>
  <c r="T953" i="2" a="1"/>
  <c r="T953" i="2" s="1"/>
  <c r="T954" i="2" a="1"/>
  <c r="T954" i="2" s="1"/>
  <c r="T955" i="2" a="1"/>
  <c r="T955" i="2" s="1"/>
  <c r="T956" i="2" a="1"/>
  <c r="T956" i="2" s="1"/>
  <c r="T957" i="2" a="1"/>
  <c r="T957" i="2" s="1"/>
  <c r="T958" i="2" a="1"/>
  <c r="T958" i="2" s="1"/>
  <c r="T959" i="2" a="1"/>
  <c r="T959" i="2" s="1"/>
  <c r="T960" i="2" a="1"/>
  <c r="T960" i="2" s="1"/>
  <c r="T961" i="2" a="1"/>
  <c r="T961" i="2" s="1"/>
  <c r="T962" i="2" a="1"/>
  <c r="T962" i="2" s="1"/>
  <c r="T963" i="2" a="1"/>
  <c r="T963" i="2" s="1"/>
  <c r="T964" i="2" a="1"/>
  <c r="T964" i="2" s="1"/>
  <c r="T965" i="2" a="1"/>
  <c r="T965" i="2" s="1"/>
  <c r="T966" i="2" a="1"/>
  <c r="T966" i="2" s="1"/>
  <c r="T967" i="2" a="1"/>
  <c r="T967" i="2" s="1"/>
  <c r="T968" i="2" a="1"/>
  <c r="T968" i="2" s="1"/>
  <c r="T969" i="2" a="1"/>
  <c r="T969" i="2" s="1"/>
  <c r="T970" i="2" a="1"/>
  <c r="T970" i="2" s="1"/>
  <c r="T971" i="2" a="1"/>
  <c r="T971" i="2" s="1"/>
  <c r="T972" i="2" a="1"/>
  <c r="T972" i="2" s="1"/>
  <c r="T973" i="2" a="1"/>
  <c r="T973" i="2" s="1"/>
  <c r="T974" i="2" a="1"/>
  <c r="T974" i="2" s="1"/>
  <c r="T975" i="2" a="1"/>
  <c r="T975" i="2" s="1"/>
  <c r="T976" i="2" a="1"/>
  <c r="T976" i="2" s="1"/>
  <c r="T977" i="2" a="1"/>
  <c r="T977" i="2" s="1"/>
  <c r="T978" i="2" a="1"/>
  <c r="T978" i="2" s="1"/>
  <c r="T979" i="2" a="1"/>
  <c r="T979" i="2" s="1"/>
  <c r="T980" i="2" a="1"/>
  <c r="T980" i="2" s="1"/>
  <c r="T981" i="2" a="1"/>
  <c r="T981" i="2" s="1"/>
  <c r="T982" i="2" a="1"/>
  <c r="T982" i="2" s="1"/>
  <c r="T983" i="2" a="1"/>
  <c r="T983" i="2" s="1"/>
  <c r="T984" i="2" a="1"/>
  <c r="T984" i="2" s="1"/>
  <c r="T985" i="2" a="1"/>
  <c r="T985" i="2" s="1"/>
  <c r="T986" i="2" a="1"/>
  <c r="T986" i="2" s="1"/>
  <c r="T987" i="2" a="1"/>
  <c r="T987" i="2" s="1"/>
  <c r="T988" i="2" a="1"/>
  <c r="T988" i="2" s="1"/>
  <c r="T989" i="2" a="1"/>
  <c r="T989" i="2" s="1"/>
  <c r="T990" i="2" a="1"/>
  <c r="T990" i="2" s="1"/>
  <c r="T991" i="2" a="1"/>
  <c r="T991" i="2" s="1"/>
  <c r="T992" i="2" a="1"/>
  <c r="T992" i="2" s="1"/>
  <c r="T993" i="2" a="1"/>
  <c r="T993" i="2" s="1"/>
  <c r="T994" i="2" a="1"/>
  <c r="T994" i="2" s="1"/>
  <c r="T995" i="2" a="1"/>
  <c r="T995" i="2" s="1"/>
  <c r="T996" i="2" a="1"/>
  <c r="T996" i="2" s="1"/>
  <c r="T997" i="2" a="1"/>
  <c r="T997" i="2" s="1"/>
  <c r="T998" i="2" a="1"/>
  <c r="T998" i="2" s="1"/>
  <c r="T999" i="2" a="1"/>
  <c r="T999" i="2" s="1"/>
  <c r="T1000" i="2" a="1"/>
  <c r="T1000" i="2" s="1"/>
  <c r="T1001" i="2" a="1"/>
  <c r="T1001" i="2" s="1"/>
  <c r="T2" i="2" a="1"/>
  <c r="T2" i="2" s="1"/>
  <c r="S3" i="2" a="1"/>
  <c r="S3" i="2" s="1"/>
  <c r="S4" i="2" a="1"/>
  <c r="S4" i="2" s="1"/>
  <c r="S5" i="2" a="1"/>
  <c r="S5" i="2" s="1"/>
  <c r="S6" i="2" a="1"/>
  <c r="S6" i="2" s="1"/>
  <c r="S7" i="2" a="1"/>
  <c r="S7" i="2" s="1"/>
  <c r="S8" i="2" a="1"/>
  <c r="S8" i="2" s="1"/>
  <c r="S9" i="2" a="1"/>
  <c r="S9" i="2" s="1"/>
  <c r="S10" i="2" a="1"/>
  <c r="S10" i="2" s="1"/>
  <c r="S11" i="2" a="1"/>
  <c r="S11" i="2" s="1"/>
  <c r="S12" i="2" a="1"/>
  <c r="S12" i="2" s="1"/>
  <c r="S13" i="2" a="1"/>
  <c r="S13" i="2" s="1"/>
  <c r="S14" i="2" a="1"/>
  <c r="S14" i="2" s="1"/>
  <c r="S15" i="2" a="1"/>
  <c r="S15" i="2" s="1"/>
  <c r="S16" i="2" a="1"/>
  <c r="S16" i="2" s="1"/>
  <c r="S17" i="2" a="1"/>
  <c r="S17" i="2" s="1"/>
  <c r="S18" i="2" a="1"/>
  <c r="S18" i="2" s="1"/>
  <c r="S19" i="2" a="1"/>
  <c r="S19" i="2" s="1"/>
  <c r="S20" i="2" a="1"/>
  <c r="S20" i="2" s="1"/>
  <c r="S21" i="2" a="1"/>
  <c r="S21" i="2" s="1"/>
  <c r="S22" i="2" a="1"/>
  <c r="S22" i="2" s="1"/>
  <c r="S23" i="2" a="1"/>
  <c r="S23" i="2" s="1"/>
  <c r="S24" i="2" a="1"/>
  <c r="S24" i="2" s="1"/>
  <c r="S25" i="2" a="1"/>
  <c r="S25" i="2" s="1"/>
  <c r="S26" i="2" a="1"/>
  <c r="S26" i="2" s="1"/>
  <c r="S27" i="2" a="1"/>
  <c r="S27" i="2" s="1"/>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s="1"/>
  <c r="S39" i="2" a="1"/>
  <c r="S39" i="2" s="1"/>
  <c r="S40" i="2" a="1"/>
  <c r="S40" i="2" s="1"/>
  <c r="S41" i="2" a="1"/>
  <c r="S41" i="2" s="1"/>
  <c r="S42" i="2" a="1"/>
  <c r="S42" i="2" s="1"/>
  <c r="S43" i="2" a="1"/>
  <c r="S43" i="2" s="1"/>
  <c r="S44" i="2" a="1"/>
  <c r="S44" i="2" s="1"/>
  <c r="S45" i="2" a="1"/>
  <c r="S45" i="2" s="1"/>
  <c r="S46" i="2" a="1"/>
  <c r="S46" i="2" s="1"/>
  <c r="S47" i="2" a="1"/>
  <c r="S47" i="2" s="1"/>
  <c r="S48" i="2" a="1"/>
  <c r="S48" i="2" s="1"/>
  <c r="S49" i="2" a="1"/>
  <c r="S49" i="2" s="1"/>
  <c r="S50" i="2" a="1"/>
  <c r="S50" i="2" s="1"/>
  <c r="S51" i="2" a="1"/>
  <c r="S51" i="2" s="1"/>
  <c r="S52" i="2" a="1"/>
  <c r="S52" i="2" s="1"/>
  <c r="S53" i="2" a="1"/>
  <c r="S53" i="2" s="1"/>
  <c r="S54" i="2" a="1"/>
  <c r="S54" i="2" s="1"/>
  <c r="S55" i="2" a="1"/>
  <c r="S55" i="2" s="1"/>
  <c r="S56" i="2" a="1"/>
  <c r="S56" i="2" s="1"/>
  <c r="S57" i="2" a="1"/>
  <c r="S57" i="2" s="1"/>
  <c r="S58" i="2" a="1"/>
  <c r="S58" i="2" s="1"/>
  <c r="S59" i="2" a="1"/>
  <c r="S59" i="2" s="1"/>
  <c r="S60" i="2" a="1"/>
  <c r="S60" i="2" s="1"/>
  <c r="S61" i="2" a="1"/>
  <c r="S61" i="2" s="1"/>
  <c r="S62" i="2" a="1"/>
  <c r="S62" i="2" s="1"/>
  <c r="S63" i="2" a="1"/>
  <c r="S63" i="2" s="1"/>
  <c r="S64" i="2" a="1"/>
  <c r="S64" i="2" s="1"/>
  <c r="S65" i="2" a="1"/>
  <c r="S65" i="2" s="1"/>
  <c r="S66" i="2" a="1"/>
  <c r="S66" i="2" s="1"/>
  <c r="S67" i="2" a="1"/>
  <c r="S67" i="2" s="1"/>
  <c r="S68" i="2" a="1"/>
  <c r="S68" i="2" s="1"/>
  <c r="S69" i="2" a="1"/>
  <c r="S69" i="2" s="1"/>
  <c r="S70" i="2" a="1"/>
  <c r="S70" i="2" s="1"/>
  <c r="S71" i="2" a="1"/>
  <c r="S71" i="2" s="1"/>
  <c r="S72" i="2" a="1"/>
  <c r="S72" i="2" s="1"/>
  <c r="S73" i="2" a="1"/>
  <c r="S73" i="2" s="1"/>
  <c r="S74" i="2" a="1"/>
  <c r="S74" i="2" s="1"/>
  <c r="S75" i="2" a="1"/>
  <c r="S75" i="2" s="1"/>
  <c r="S76" i="2" a="1"/>
  <c r="S76" i="2" s="1"/>
  <c r="S77" i="2" a="1"/>
  <c r="S77" i="2" s="1"/>
  <c r="S78" i="2" a="1"/>
  <c r="S78" i="2" s="1"/>
  <c r="S79" i="2" a="1"/>
  <c r="S79" i="2" s="1"/>
  <c r="S80" i="2" a="1"/>
  <c r="S80" i="2" s="1"/>
  <c r="S81" i="2" a="1"/>
  <c r="S81" i="2" s="1"/>
  <c r="S82" i="2" a="1"/>
  <c r="S82" i="2" s="1"/>
  <c r="S83" i="2" a="1"/>
  <c r="S83" i="2" s="1"/>
  <c r="S84" i="2" a="1"/>
  <c r="S84" i="2" s="1"/>
  <c r="S85" i="2" a="1"/>
  <c r="S85" i="2" s="1"/>
  <c r="S86" i="2" a="1"/>
  <c r="S86" i="2" s="1"/>
  <c r="S87" i="2" a="1"/>
  <c r="S87" i="2" s="1"/>
  <c r="S88" i="2" a="1"/>
  <c r="S88" i="2" s="1"/>
  <c r="S89" i="2" a="1"/>
  <c r="S89" i="2" s="1"/>
  <c r="S90" i="2" a="1"/>
  <c r="S90" i="2" s="1"/>
  <c r="S91" i="2" a="1"/>
  <c r="S91" i="2" s="1"/>
  <c r="S92" i="2" a="1"/>
  <c r="S92" i="2" s="1"/>
  <c r="S93" i="2" a="1"/>
  <c r="S93" i="2" s="1"/>
  <c r="S94" i="2" a="1"/>
  <c r="S94" i="2" s="1"/>
  <c r="S95" i="2" a="1"/>
  <c r="S95" i="2" s="1"/>
  <c r="S96" i="2" a="1"/>
  <c r="S96" i="2" s="1"/>
  <c r="S97" i="2" a="1"/>
  <c r="S97" i="2" s="1"/>
  <c r="S98" i="2" a="1"/>
  <c r="S98" i="2" s="1"/>
  <c r="S99" i="2" a="1"/>
  <c r="S99" i="2" s="1"/>
  <c r="S100" i="2" a="1"/>
  <c r="S100" i="2" s="1"/>
  <c r="S101" i="2" a="1"/>
  <c r="S101" i="2" s="1"/>
  <c r="S102" i="2" a="1"/>
  <c r="S102" i="2" s="1"/>
  <c r="S103" i="2" a="1"/>
  <c r="S103" i="2" s="1"/>
  <c r="S104" i="2" a="1"/>
  <c r="S104" i="2" s="1"/>
  <c r="S105" i="2" a="1"/>
  <c r="S105" i="2" s="1"/>
  <c r="S106" i="2" a="1"/>
  <c r="S106" i="2" s="1"/>
  <c r="S107" i="2" a="1"/>
  <c r="S107" i="2" s="1"/>
  <c r="S108" i="2" a="1"/>
  <c r="S108" i="2" s="1"/>
  <c r="S109" i="2" a="1"/>
  <c r="S109" i="2" s="1"/>
  <c r="S110" i="2" a="1"/>
  <c r="S110" i="2" s="1"/>
  <c r="S111" i="2" a="1"/>
  <c r="S111" i="2" s="1"/>
  <c r="S112" i="2" a="1"/>
  <c r="S112" i="2" s="1"/>
  <c r="S113" i="2" a="1"/>
  <c r="S113" i="2" s="1"/>
  <c r="S114" i="2" a="1"/>
  <c r="S114" i="2" s="1"/>
  <c r="S115" i="2" a="1"/>
  <c r="S115" i="2" s="1"/>
  <c r="S116" i="2" a="1"/>
  <c r="S116" i="2" s="1"/>
  <c r="S117" i="2" a="1"/>
  <c r="S117" i="2" s="1"/>
  <c r="S118" i="2" a="1"/>
  <c r="S118" i="2" s="1"/>
  <c r="S119" i="2" a="1"/>
  <c r="S119" i="2" s="1"/>
  <c r="S120" i="2" a="1"/>
  <c r="S120" i="2" s="1"/>
  <c r="S121" i="2" a="1"/>
  <c r="S121" i="2" s="1"/>
  <c r="S122" i="2" a="1"/>
  <c r="S122" i="2" s="1"/>
  <c r="S123" i="2" a="1"/>
  <c r="S123" i="2" s="1"/>
  <c r="S124" i="2" a="1"/>
  <c r="S124" i="2" s="1"/>
  <c r="S125" i="2" a="1"/>
  <c r="S125" i="2" s="1"/>
  <c r="S126" i="2" a="1"/>
  <c r="S126" i="2" s="1"/>
  <c r="S127" i="2" a="1"/>
  <c r="S127" i="2" s="1"/>
  <c r="S128" i="2" a="1"/>
  <c r="S128" i="2" s="1"/>
  <c r="S129" i="2" a="1"/>
  <c r="S129" i="2" s="1"/>
  <c r="S130" i="2" a="1"/>
  <c r="S130" i="2" s="1"/>
  <c r="S131" i="2" a="1"/>
  <c r="S131" i="2" s="1"/>
  <c r="S132" i="2" a="1"/>
  <c r="S132" i="2" s="1"/>
  <c r="S133" i="2" a="1"/>
  <c r="S133" i="2" s="1"/>
  <c r="S134" i="2" a="1"/>
  <c r="S134" i="2" s="1"/>
  <c r="S135" i="2" a="1"/>
  <c r="S135" i="2" s="1"/>
  <c r="S136" i="2" a="1"/>
  <c r="S136" i="2" s="1"/>
  <c r="S137" i="2" a="1"/>
  <c r="S137" i="2" s="1"/>
  <c r="S138" i="2" a="1"/>
  <c r="S138" i="2" s="1"/>
  <c r="S139" i="2" a="1"/>
  <c r="S139" i="2" s="1"/>
  <c r="S140" i="2" a="1"/>
  <c r="S140" i="2" s="1"/>
  <c r="S141" i="2" a="1"/>
  <c r="S141" i="2" s="1"/>
  <c r="S142" i="2" a="1"/>
  <c r="S142" i="2" s="1"/>
  <c r="S143" i="2" a="1"/>
  <c r="S143" i="2" s="1"/>
  <c r="S144" i="2" a="1"/>
  <c r="S144" i="2" s="1"/>
  <c r="S145" i="2" a="1"/>
  <c r="S145" i="2" s="1"/>
  <c r="S146" i="2" a="1"/>
  <c r="S146" i="2" s="1"/>
  <c r="S147" i="2" a="1"/>
  <c r="S147" i="2" s="1"/>
  <c r="S148" i="2" a="1"/>
  <c r="S148" i="2" s="1"/>
  <c r="S149" i="2" a="1"/>
  <c r="S149" i="2" s="1"/>
  <c r="S150" i="2" a="1"/>
  <c r="S150" i="2" s="1"/>
  <c r="S151" i="2" a="1"/>
  <c r="S151" i="2" s="1"/>
  <c r="S152" i="2" a="1"/>
  <c r="S152" i="2" s="1"/>
  <c r="S153" i="2" a="1"/>
  <c r="S153" i="2" s="1"/>
  <c r="S154" i="2" a="1"/>
  <c r="S154" i="2" s="1"/>
  <c r="S155" i="2" a="1"/>
  <c r="S155" i="2" s="1"/>
  <c r="S156" i="2" a="1"/>
  <c r="S156" i="2" s="1"/>
  <c r="S157" i="2" a="1"/>
  <c r="S157" i="2" s="1"/>
  <c r="S158" i="2" a="1"/>
  <c r="S158" i="2" s="1"/>
  <c r="S159" i="2" a="1"/>
  <c r="S159" i="2" s="1"/>
  <c r="S160" i="2" a="1"/>
  <c r="S160" i="2" s="1"/>
  <c r="S161" i="2" a="1"/>
  <c r="S161" i="2" s="1"/>
  <c r="S162" i="2" a="1"/>
  <c r="S162" i="2" s="1"/>
  <c r="S163" i="2" a="1"/>
  <c r="S163" i="2" s="1"/>
  <c r="S164" i="2" a="1"/>
  <c r="S164" i="2" s="1"/>
  <c r="S165" i="2" a="1"/>
  <c r="S165" i="2" s="1"/>
  <c r="S166" i="2" a="1"/>
  <c r="S166" i="2" s="1"/>
  <c r="S167" i="2" a="1"/>
  <c r="S167" i="2" s="1"/>
  <c r="S168" i="2" a="1"/>
  <c r="S168" i="2" s="1"/>
  <c r="S169" i="2" a="1"/>
  <c r="S169" i="2" s="1"/>
  <c r="S170" i="2" a="1"/>
  <c r="S170" i="2" s="1"/>
  <c r="S171" i="2" a="1"/>
  <c r="S171" i="2" s="1"/>
  <c r="S172" i="2" a="1"/>
  <c r="S172" i="2" s="1"/>
  <c r="S173" i="2" a="1"/>
  <c r="S173" i="2" s="1"/>
  <c r="S174" i="2" a="1"/>
  <c r="S174" i="2" s="1"/>
  <c r="S175" i="2" a="1"/>
  <c r="S175" i="2" s="1"/>
  <c r="S176" i="2" a="1"/>
  <c r="S176" i="2" s="1"/>
  <c r="S177" i="2" a="1"/>
  <c r="S177" i="2" s="1"/>
  <c r="S178" i="2" a="1"/>
  <c r="S178" i="2" s="1"/>
  <c r="S179" i="2" a="1"/>
  <c r="S179" i="2" s="1"/>
  <c r="S180" i="2" a="1"/>
  <c r="S180" i="2" s="1"/>
  <c r="S181" i="2" a="1"/>
  <c r="S181" i="2" s="1"/>
  <c r="S182" i="2" a="1"/>
  <c r="S182" i="2" s="1"/>
  <c r="S183" i="2" a="1"/>
  <c r="S183" i="2" s="1"/>
  <c r="S184" i="2" a="1"/>
  <c r="S184" i="2" s="1"/>
  <c r="S185" i="2" a="1"/>
  <c r="S185" i="2" s="1"/>
  <c r="S186" i="2" a="1"/>
  <c r="S186" i="2" s="1"/>
  <c r="S187" i="2" a="1"/>
  <c r="S187" i="2" s="1"/>
  <c r="S188" i="2" a="1"/>
  <c r="S188" i="2" s="1"/>
  <c r="S189" i="2" a="1"/>
  <c r="S189" i="2" s="1"/>
  <c r="S190" i="2" a="1"/>
  <c r="S190" i="2" s="1"/>
  <c r="S191" i="2" a="1"/>
  <c r="S191" i="2" s="1"/>
  <c r="S192" i="2" a="1"/>
  <c r="S192" i="2" s="1"/>
  <c r="S193" i="2" a="1"/>
  <c r="S193" i="2" s="1"/>
  <c r="S194" i="2" a="1"/>
  <c r="S194" i="2" s="1"/>
  <c r="S195" i="2" a="1"/>
  <c r="S195" i="2" s="1"/>
  <c r="S196" i="2" a="1"/>
  <c r="S196" i="2" s="1"/>
  <c r="S197" i="2" a="1"/>
  <c r="S197" i="2" s="1"/>
  <c r="S198" i="2" a="1"/>
  <c r="S198" i="2" s="1"/>
  <c r="S199" i="2" a="1"/>
  <c r="S199" i="2" s="1"/>
  <c r="S200" i="2" a="1"/>
  <c r="S200" i="2" s="1"/>
  <c r="S201" i="2" a="1"/>
  <c r="S201" i="2" s="1"/>
  <c r="S202" i="2" a="1"/>
  <c r="S202" i="2" s="1"/>
  <c r="S203" i="2" a="1"/>
  <c r="S203" i="2" s="1"/>
  <c r="S204" i="2" a="1"/>
  <c r="S204" i="2" s="1"/>
  <c r="S205" i="2" a="1"/>
  <c r="S205" i="2" s="1"/>
  <c r="S206" i="2" a="1"/>
  <c r="S206" i="2" s="1"/>
  <c r="S207" i="2" a="1"/>
  <c r="S207" i="2" s="1"/>
  <c r="S208" i="2" a="1"/>
  <c r="S208" i="2" s="1"/>
  <c r="S209" i="2" a="1"/>
  <c r="S209" i="2" s="1"/>
  <c r="S210" i="2" a="1"/>
  <c r="S210" i="2" s="1"/>
  <c r="S211" i="2" a="1"/>
  <c r="S211" i="2" s="1"/>
  <c r="S212" i="2" a="1"/>
  <c r="S212" i="2" s="1"/>
  <c r="S213" i="2" a="1"/>
  <c r="S213" i="2" s="1"/>
  <c r="S214" i="2" a="1"/>
  <c r="S214" i="2" s="1"/>
  <c r="S215" i="2" a="1"/>
  <c r="S215" i="2" s="1"/>
  <c r="S216" i="2" a="1"/>
  <c r="S216" i="2" s="1"/>
  <c r="S217" i="2" a="1"/>
  <c r="S217" i="2" s="1"/>
  <c r="S218" i="2" a="1"/>
  <c r="S218" i="2" s="1"/>
  <c r="S219" i="2" a="1"/>
  <c r="S219" i="2" s="1"/>
  <c r="S220" i="2" a="1"/>
  <c r="S220" i="2" s="1"/>
  <c r="S221" i="2" a="1"/>
  <c r="S221" i="2" s="1"/>
  <c r="S222" i="2" a="1"/>
  <c r="S222" i="2" s="1"/>
  <c r="S223" i="2" a="1"/>
  <c r="S223" i="2" s="1"/>
  <c r="S224" i="2" a="1"/>
  <c r="S224" i="2" s="1"/>
  <c r="S225" i="2" a="1"/>
  <c r="S225" i="2" s="1"/>
  <c r="S226" i="2" a="1"/>
  <c r="S226" i="2" s="1"/>
  <c r="S227" i="2" a="1"/>
  <c r="S227" i="2" s="1"/>
  <c r="S228" i="2" a="1"/>
  <c r="S228" i="2" s="1"/>
  <c r="S229" i="2" a="1"/>
  <c r="S229" i="2" s="1"/>
  <c r="S230" i="2" a="1"/>
  <c r="S230" i="2" s="1"/>
  <c r="S231" i="2" a="1"/>
  <c r="S231" i="2" s="1"/>
  <c r="S232" i="2" a="1"/>
  <c r="S232" i="2" s="1"/>
  <c r="S233" i="2" a="1"/>
  <c r="S233" i="2" s="1"/>
  <c r="S234" i="2" a="1"/>
  <c r="S234" i="2" s="1"/>
  <c r="S235" i="2" a="1"/>
  <c r="S235" i="2" s="1"/>
  <c r="S236" i="2" a="1"/>
  <c r="S236" i="2" s="1"/>
  <c r="S237" i="2" a="1"/>
  <c r="S237" i="2" s="1"/>
  <c r="S238" i="2" a="1"/>
  <c r="S238" i="2" s="1"/>
  <c r="S239" i="2" a="1"/>
  <c r="S239" i="2" s="1"/>
  <c r="S240" i="2" a="1"/>
  <c r="S240" i="2" s="1"/>
  <c r="S241" i="2" a="1"/>
  <c r="S241" i="2" s="1"/>
  <c r="S242" i="2" a="1"/>
  <c r="S242" i="2" s="1"/>
  <c r="S243" i="2" a="1"/>
  <c r="S243" i="2" s="1"/>
  <c r="S244" i="2" a="1"/>
  <c r="S244" i="2" s="1"/>
  <c r="S245" i="2" a="1"/>
  <c r="S245" i="2" s="1"/>
  <c r="S246" i="2" a="1"/>
  <c r="S246" i="2" s="1"/>
  <c r="S247" i="2" a="1"/>
  <c r="S247" i="2" s="1"/>
  <c r="S248" i="2" a="1"/>
  <c r="S248" i="2" s="1"/>
  <c r="S249" i="2" a="1"/>
  <c r="S249" i="2" s="1"/>
  <c r="S250" i="2" a="1"/>
  <c r="S250" i="2" s="1"/>
  <c r="S251" i="2" a="1"/>
  <c r="S251" i="2" s="1"/>
  <c r="S252" i="2" a="1"/>
  <c r="S252" i="2" s="1"/>
  <c r="S253" i="2" a="1"/>
  <c r="S253" i="2" s="1"/>
  <c r="S254" i="2" a="1"/>
  <c r="S254" i="2" s="1"/>
  <c r="S255" i="2" a="1"/>
  <c r="S255" i="2" s="1"/>
  <c r="S256" i="2" a="1"/>
  <c r="S256" i="2" s="1"/>
  <c r="S257" i="2" a="1"/>
  <c r="S257" i="2" s="1"/>
  <c r="S258" i="2" a="1"/>
  <c r="S258" i="2" s="1"/>
  <c r="S259" i="2" a="1"/>
  <c r="S259" i="2" s="1"/>
  <c r="S260" i="2" a="1"/>
  <c r="S260" i="2" s="1"/>
  <c r="S261" i="2" a="1"/>
  <c r="S261" i="2" s="1"/>
  <c r="S262" i="2" a="1"/>
  <c r="S262" i="2" s="1"/>
  <c r="S263" i="2" a="1"/>
  <c r="S263" i="2" s="1"/>
  <c r="S264" i="2" a="1"/>
  <c r="S264" i="2" s="1"/>
  <c r="S265" i="2" a="1"/>
  <c r="S265" i="2" s="1"/>
  <c r="S266" i="2" a="1"/>
  <c r="S266" i="2" s="1"/>
  <c r="S267" i="2" a="1"/>
  <c r="S267" i="2" s="1"/>
  <c r="S268" i="2" a="1"/>
  <c r="S268" i="2" s="1"/>
  <c r="S269" i="2" a="1"/>
  <c r="S269" i="2" s="1"/>
  <c r="S270" i="2" a="1"/>
  <c r="S270" i="2" s="1"/>
  <c r="S271" i="2" a="1"/>
  <c r="S271" i="2" s="1"/>
  <c r="S272" i="2" a="1"/>
  <c r="S272" i="2" s="1"/>
  <c r="S273" i="2" a="1"/>
  <c r="S273" i="2" s="1"/>
  <c r="S274" i="2" a="1"/>
  <c r="S274" i="2" s="1"/>
  <c r="S275" i="2" a="1"/>
  <c r="S275" i="2" s="1"/>
  <c r="S276" i="2" a="1"/>
  <c r="S276" i="2" s="1"/>
  <c r="S277" i="2" a="1"/>
  <c r="S277" i="2" s="1"/>
  <c r="S278" i="2" a="1"/>
  <c r="S278" i="2" s="1"/>
  <c r="S279" i="2" a="1"/>
  <c r="S279" i="2" s="1"/>
  <c r="S280" i="2" a="1"/>
  <c r="S280" i="2" s="1"/>
  <c r="S281" i="2" a="1"/>
  <c r="S281" i="2" s="1"/>
  <c r="S282" i="2" a="1"/>
  <c r="S282" i="2" s="1"/>
  <c r="S283" i="2" a="1"/>
  <c r="S283" i="2" s="1"/>
  <c r="S284" i="2" a="1"/>
  <c r="S284" i="2" s="1"/>
  <c r="S285" i="2" a="1"/>
  <c r="S285" i="2" s="1"/>
  <c r="S286" i="2" a="1"/>
  <c r="S286" i="2" s="1"/>
  <c r="S287" i="2" a="1"/>
  <c r="S287" i="2" s="1"/>
  <c r="S288" i="2" a="1"/>
  <c r="S288" i="2" s="1"/>
  <c r="S289" i="2" a="1"/>
  <c r="S289" i="2" s="1"/>
  <c r="S290" i="2" a="1"/>
  <c r="S290" i="2" s="1"/>
  <c r="S291" i="2" a="1"/>
  <c r="S291" i="2" s="1"/>
  <c r="S292" i="2" a="1"/>
  <c r="S292" i="2" s="1"/>
  <c r="S293" i="2" a="1"/>
  <c r="S293" i="2" s="1"/>
  <c r="S294" i="2" a="1"/>
  <c r="S294" i="2" s="1"/>
  <c r="S295" i="2" a="1"/>
  <c r="S295" i="2" s="1"/>
  <c r="S296" i="2" a="1"/>
  <c r="S296" i="2" s="1"/>
  <c r="S297" i="2" a="1"/>
  <c r="S297" i="2" s="1"/>
  <c r="S298" i="2" a="1"/>
  <c r="S298" i="2" s="1"/>
  <c r="S299" i="2" a="1"/>
  <c r="S299" i="2" s="1"/>
  <c r="S300" i="2" a="1"/>
  <c r="S300" i="2" s="1"/>
  <c r="S301" i="2" a="1"/>
  <c r="S301" i="2" s="1"/>
  <c r="S302" i="2" a="1"/>
  <c r="S302" i="2" s="1"/>
  <c r="S303" i="2" a="1"/>
  <c r="S303" i="2" s="1"/>
  <c r="S304" i="2" a="1"/>
  <c r="S304" i="2" s="1"/>
  <c r="S305" i="2" a="1"/>
  <c r="S305" i="2" s="1"/>
  <c r="S306" i="2" a="1"/>
  <c r="S306" i="2" s="1"/>
  <c r="S307" i="2" a="1"/>
  <c r="S307" i="2" s="1"/>
  <c r="S308" i="2" a="1"/>
  <c r="S308" i="2" s="1"/>
  <c r="S309" i="2" a="1"/>
  <c r="S309" i="2" s="1"/>
  <c r="S310" i="2" a="1"/>
  <c r="S310" i="2" s="1"/>
  <c r="S311" i="2" a="1"/>
  <c r="S311" i="2" s="1"/>
  <c r="S312" i="2" a="1"/>
  <c r="S312" i="2" s="1"/>
  <c r="S313" i="2" a="1"/>
  <c r="S313" i="2" s="1"/>
  <c r="S314" i="2" a="1"/>
  <c r="S314" i="2" s="1"/>
  <c r="S315" i="2" a="1"/>
  <c r="S315" i="2" s="1"/>
  <c r="S316" i="2" a="1"/>
  <c r="S316" i="2" s="1"/>
  <c r="S317" i="2" a="1"/>
  <c r="S317" i="2" s="1"/>
  <c r="S318" i="2" a="1"/>
  <c r="S318" i="2" s="1"/>
  <c r="S319" i="2" a="1"/>
  <c r="S319" i="2" s="1"/>
  <c r="S320" i="2" a="1"/>
  <c r="S320" i="2" s="1"/>
  <c r="S321" i="2" a="1"/>
  <c r="S321" i="2" s="1"/>
  <c r="S322" i="2" a="1"/>
  <c r="S322" i="2" s="1"/>
  <c r="S323" i="2" a="1"/>
  <c r="S323" i="2" s="1"/>
  <c r="S324" i="2" a="1"/>
  <c r="S324" i="2" s="1"/>
  <c r="S325" i="2" a="1"/>
  <c r="S325" i="2" s="1"/>
  <c r="S326" i="2" a="1"/>
  <c r="S326" i="2" s="1"/>
  <c r="S327" i="2" a="1"/>
  <c r="S327" i="2" s="1"/>
  <c r="S328" i="2" a="1"/>
  <c r="S328" i="2" s="1"/>
  <c r="S329" i="2" a="1"/>
  <c r="S329" i="2" s="1"/>
  <c r="S330" i="2" a="1"/>
  <c r="S330" i="2" s="1"/>
  <c r="S331" i="2" a="1"/>
  <c r="S331" i="2" s="1"/>
  <c r="S332" i="2" a="1"/>
  <c r="S332" i="2" s="1"/>
  <c r="S333" i="2" a="1"/>
  <c r="S333" i="2" s="1"/>
  <c r="S334" i="2" a="1"/>
  <c r="S334" i="2" s="1"/>
  <c r="S335" i="2" a="1"/>
  <c r="S335" i="2" s="1"/>
  <c r="S336" i="2" a="1"/>
  <c r="S336" i="2" s="1"/>
  <c r="S337" i="2" a="1"/>
  <c r="S337" i="2" s="1"/>
  <c r="S338" i="2" a="1"/>
  <c r="S338" i="2" s="1"/>
  <c r="S339" i="2" a="1"/>
  <c r="S339" i="2" s="1"/>
  <c r="S340" i="2" a="1"/>
  <c r="S340" i="2" s="1"/>
  <c r="S341" i="2" a="1"/>
  <c r="S341" i="2" s="1"/>
  <c r="S342" i="2" a="1"/>
  <c r="S342" i="2" s="1"/>
  <c r="S343" i="2" a="1"/>
  <c r="S343" i="2" s="1"/>
  <c r="S344" i="2" a="1"/>
  <c r="S344" i="2" s="1"/>
  <c r="S345" i="2" a="1"/>
  <c r="S345" i="2" s="1"/>
  <c r="S346" i="2" a="1"/>
  <c r="S346" i="2" s="1"/>
  <c r="S347" i="2" a="1"/>
  <c r="S347" i="2" s="1"/>
  <c r="S348" i="2" a="1"/>
  <c r="S348" i="2" s="1"/>
  <c r="S349" i="2" a="1"/>
  <c r="S349" i="2" s="1"/>
  <c r="S350" i="2" a="1"/>
  <c r="S350" i="2" s="1"/>
  <c r="S351" i="2" a="1"/>
  <c r="S351" i="2" s="1"/>
  <c r="S352" i="2" a="1"/>
  <c r="S352" i="2" s="1"/>
  <c r="S353" i="2" a="1"/>
  <c r="S353" i="2" s="1"/>
  <c r="S354" i="2" a="1"/>
  <c r="S354" i="2" s="1"/>
  <c r="S355" i="2" a="1"/>
  <c r="S355" i="2" s="1"/>
  <c r="S356" i="2" a="1"/>
  <c r="S356" i="2" s="1"/>
  <c r="S357" i="2" a="1"/>
  <c r="S357" i="2" s="1"/>
  <c r="S358" i="2" a="1"/>
  <c r="S358" i="2" s="1"/>
  <c r="S359" i="2" a="1"/>
  <c r="S359" i="2" s="1"/>
  <c r="S360" i="2" a="1"/>
  <c r="S360" i="2" s="1"/>
  <c r="S361" i="2" a="1"/>
  <c r="S361" i="2" s="1"/>
  <c r="S362" i="2" a="1"/>
  <c r="S362" i="2" s="1"/>
  <c r="S363" i="2" a="1"/>
  <c r="S363" i="2" s="1"/>
  <c r="S364" i="2" a="1"/>
  <c r="S364" i="2" s="1"/>
  <c r="S365" i="2" a="1"/>
  <c r="S365" i="2" s="1"/>
  <c r="S366" i="2" a="1"/>
  <c r="S366" i="2" s="1"/>
  <c r="S367" i="2" a="1"/>
  <c r="S367" i="2" s="1"/>
  <c r="S368" i="2" a="1"/>
  <c r="S368" i="2" s="1"/>
  <c r="S369" i="2" a="1"/>
  <c r="S369" i="2" s="1"/>
  <c r="S370" i="2" a="1"/>
  <c r="S370" i="2" s="1"/>
  <c r="S371" i="2" a="1"/>
  <c r="S371" i="2" s="1"/>
  <c r="S372" i="2" a="1"/>
  <c r="S372" i="2" s="1"/>
  <c r="S373" i="2" a="1"/>
  <c r="S373" i="2" s="1"/>
  <c r="S374" i="2" a="1"/>
  <c r="S374" i="2" s="1"/>
  <c r="S375" i="2" a="1"/>
  <c r="S375" i="2" s="1"/>
  <c r="S376" i="2" a="1"/>
  <c r="S376" i="2" s="1"/>
  <c r="S377" i="2" a="1"/>
  <c r="S377" i="2" s="1"/>
  <c r="S378" i="2" a="1"/>
  <c r="S378" i="2" s="1"/>
  <c r="S379" i="2" a="1"/>
  <c r="S379" i="2" s="1"/>
  <c r="S380" i="2" a="1"/>
  <c r="S380" i="2" s="1"/>
  <c r="S381" i="2" a="1"/>
  <c r="S381" i="2" s="1"/>
  <c r="S382" i="2" a="1"/>
  <c r="S382" i="2" s="1"/>
  <c r="S383" i="2" a="1"/>
  <c r="S383" i="2" s="1"/>
  <c r="S384" i="2" a="1"/>
  <c r="S384" i="2" s="1"/>
  <c r="S385" i="2" a="1"/>
  <c r="S385" i="2" s="1"/>
  <c r="S386" i="2" a="1"/>
  <c r="S386" i="2" s="1"/>
  <c r="S387" i="2" a="1"/>
  <c r="S387" i="2" s="1"/>
  <c r="S388" i="2" a="1"/>
  <c r="S388" i="2" s="1"/>
  <c r="S389" i="2" a="1"/>
  <c r="S389" i="2" s="1"/>
  <c r="S390" i="2" a="1"/>
  <c r="S390" i="2" s="1"/>
  <c r="S391" i="2" a="1"/>
  <c r="S391" i="2" s="1"/>
  <c r="S392" i="2" a="1"/>
  <c r="S392" i="2" s="1"/>
  <c r="S393" i="2" a="1"/>
  <c r="S393" i="2" s="1"/>
  <c r="S394" i="2" a="1"/>
  <c r="S394" i="2" s="1"/>
  <c r="S395" i="2" a="1"/>
  <c r="S395" i="2" s="1"/>
  <c r="S396" i="2" a="1"/>
  <c r="S396" i="2" s="1"/>
  <c r="S397" i="2" a="1"/>
  <c r="S397" i="2" s="1"/>
  <c r="S398" i="2" a="1"/>
  <c r="S398" i="2" s="1"/>
  <c r="S399" i="2" a="1"/>
  <c r="S399" i="2" s="1"/>
  <c r="S400" i="2" a="1"/>
  <c r="S400" i="2" s="1"/>
  <c r="S401" i="2" a="1"/>
  <c r="S401" i="2" s="1"/>
  <c r="S402" i="2" a="1"/>
  <c r="S402" i="2" s="1"/>
  <c r="S403" i="2" a="1"/>
  <c r="S403" i="2" s="1"/>
  <c r="S404" i="2" a="1"/>
  <c r="S404" i="2" s="1"/>
  <c r="S405" i="2" a="1"/>
  <c r="S405" i="2" s="1"/>
  <c r="S406" i="2" a="1"/>
  <c r="S406" i="2" s="1"/>
  <c r="S407" i="2" a="1"/>
  <c r="S407" i="2" s="1"/>
  <c r="S408" i="2" a="1"/>
  <c r="S408" i="2" s="1"/>
  <c r="S409" i="2" a="1"/>
  <c r="S409" i="2" s="1"/>
  <c r="S410" i="2" a="1"/>
  <c r="S410" i="2" s="1"/>
  <c r="S411" i="2" a="1"/>
  <c r="S411" i="2" s="1"/>
  <c r="S412" i="2" a="1"/>
  <c r="S412" i="2" s="1"/>
  <c r="S413" i="2" a="1"/>
  <c r="S413" i="2" s="1"/>
  <c r="S414" i="2" a="1"/>
  <c r="S414" i="2" s="1"/>
  <c r="S415" i="2" a="1"/>
  <c r="S415" i="2" s="1"/>
  <c r="S416" i="2" a="1"/>
  <c r="S416" i="2" s="1"/>
  <c r="S417" i="2" a="1"/>
  <c r="S417" i="2" s="1"/>
  <c r="S418" i="2" a="1"/>
  <c r="S418" i="2" s="1"/>
  <c r="S419" i="2" a="1"/>
  <c r="S419" i="2" s="1"/>
  <c r="S420" i="2" a="1"/>
  <c r="S420" i="2" s="1"/>
  <c r="S421" i="2" a="1"/>
  <c r="S421" i="2" s="1"/>
  <c r="S422" i="2" a="1"/>
  <c r="S422" i="2" s="1"/>
  <c r="S423" i="2" a="1"/>
  <c r="S423" i="2" s="1"/>
  <c r="S424" i="2" a="1"/>
  <c r="S424" i="2" s="1"/>
  <c r="S425" i="2" a="1"/>
  <c r="S425" i="2" s="1"/>
  <c r="S426" i="2" a="1"/>
  <c r="S426" i="2" s="1"/>
  <c r="S427" i="2" a="1"/>
  <c r="S427" i="2" s="1"/>
  <c r="S428" i="2" a="1"/>
  <c r="S428" i="2" s="1"/>
  <c r="S429" i="2" a="1"/>
  <c r="S429" i="2" s="1"/>
  <c r="S430" i="2" a="1"/>
  <c r="S430" i="2" s="1"/>
  <c r="S431" i="2" a="1"/>
  <c r="S431" i="2" s="1"/>
  <c r="S432" i="2" a="1"/>
  <c r="S432" i="2" s="1"/>
  <c r="S433" i="2" a="1"/>
  <c r="S433" i="2" s="1"/>
  <c r="S434" i="2" a="1"/>
  <c r="S434" i="2" s="1"/>
  <c r="S435" i="2" a="1"/>
  <c r="S435" i="2" s="1"/>
  <c r="S436" i="2" a="1"/>
  <c r="S436" i="2" s="1"/>
  <c r="S437" i="2" a="1"/>
  <c r="S437" i="2" s="1"/>
  <c r="S438" i="2" a="1"/>
  <c r="S438" i="2" s="1"/>
  <c r="S439" i="2" a="1"/>
  <c r="S439" i="2" s="1"/>
  <c r="S440" i="2" a="1"/>
  <c r="S440" i="2" s="1"/>
  <c r="S441" i="2" a="1"/>
  <c r="S441" i="2" s="1"/>
  <c r="S442" i="2" a="1"/>
  <c r="S442" i="2" s="1"/>
  <c r="S443" i="2" a="1"/>
  <c r="S443" i="2" s="1"/>
  <c r="S444" i="2" a="1"/>
  <c r="S444" i="2" s="1"/>
  <c r="S445" i="2" a="1"/>
  <c r="S445" i="2" s="1"/>
  <c r="S446" i="2" a="1"/>
  <c r="S446" i="2" s="1"/>
  <c r="S447" i="2" a="1"/>
  <c r="S447" i="2" s="1"/>
  <c r="S448" i="2" a="1"/>
  <c r="S448" i="2" s="1"/>
  <c r="S449" i="2" a="1"/>
  <c r="S449" i="2" s="1"/>
  <c r="S450" i="2" a="1"/>
  <c r="S450" i="2" s="1"/>
  <c r="S451" i="2" a="1"/>
  <c r="S451" i="2" s="1"/>
  <c r="S452" i="2" a="1"/>
  <c r="S452" i="2" s="1"/>
  <c r="S453" i="2" a="1"/>
  <c r="S453" i="2" s="1"/>
  <c r="S454" i="2" a="1"/>
  <c r="S454" i="2" s="1"/>
  <c r="S455" i="2" a="1"/>
  <c r="S455" i="2" s="1"/>
  <c r="S456" i="2" a="1"/>
  <c r="S456" i="2" s="1"/>
  <c r="S457" i="2" a="1"/>
  <c r="S457" i="2" s="1"/>
  <c r="S458" i="2" a="1"/>
  <c r="S458" i="2" s="1"/>
  <c r="S459" i="2" a="1"/>
  <c r="S459" i="2" s="1"/>
  <c r="S460" i="2" a="1"/>
  <c r="S460" i="2" s="1"/>
  <c r="S461" i="2" a="1"/>
  <c r="S461" i="2" s="1"/>
  <c r="S462" i="2" a="1"/>
  <c r="S462" i="2" s="1"/>
  <c r="S463" i="2" a="1"/>
  <c r="S463" i="2" s="1"/>
  <c r="S464" i="2" a="1"/>
  <c r="S464" i="2" s="1"/>
  <c r="S465" i="2" a="1"/>
  <c r="S465" i="2" s="1"/>
  <c r="S466" i="2" a="1"/>
  <c r="S466" i="2" s="1"/>
  <c r="S467" i="2" a="1"/>
  <c r="S467" i="2" s="1"/>
  <c r="S468" i="2" a="1"/>
  <c r="S468" i="2" s="1"/>
  <c r="S469" i="2" a="1"/>
  <c r="S469" i="2" s="1"/>
  <c r="S470" i="2" a="1"/>
  <c r="S470" i="2" s="1"/>
  <c r="S471" i="2" a="1"/>
  <c r="S471" i="2" s="1"/>
  <c r="S472" i="2" a="1"/>
  <c r="S472" i="2" s="1"/>
  <c r="S473" i="2" a="1"/>
  <c r="S473" i="2" s="1"/>
  <c r="S474" i="2" a="1"/>
  <c r="S474" i="2" s="1"/>
  <c r="S475" i="2" a="1"/>
  <c r="S475" i="2" s="1"/>
  <c r="S476" i="2" a="1"/>
  <c r="S476" i="2" s="1"/>
  <c r="S477" i="2" a="1"/>
  <c r="S477" i="2" s="1"/>
  <c r="S478" i="2" a="1"/>
  <c r="S478" i="2" s="1"/>
  <c r="S479" i="2" a="1"/>
  <c r="S479" i="2" s="1"/>
  <c r="S480" i="2" a="1"/>
  <c r="S480" i="2" s="1"/>
  <c r="S481" i="2" a="1"/>
  <c r="S481" i="2" s="1"/>
  <c r="S482" i="2" a="1"/>
  <c r="S482" i="2" s="1"/>
  <c r="S483" i="2" a="1"/>
  <c r="S483" i="2" s="1"/>
  <c r="S484" i="2" a="1"/>
  <c r="S484" i="2" s="1"/>
  <c r="S485" i="2" a="1"/>
  <c r="S485" i="2" s="1"/>
  <c r="S486" i="2" a="1"/>
  <c r="S486" i="2" s="1"/>
  <c r="S487" i="2" a="1"/>
  <c r="S487" i="2" s="1"/>
  <c r="S488" i="2" a="1"/>
  <c r="S488" i="2" s="1"/>
  <c r="S489" i="2" a="1"/>
  <c r="S489" i="2" s="1"/>
  <c r="S490" i="2" a="1"/>
  <c r="S490" i="2" s="1"/>
  <c r="S491" i="2" a="1"/>
  <c r="S491" i="2" s="1"/>
  <c r="S492" i="2" a="1"/>
  <c r="S492" i="2" s="1"/>
  <c r="S493" i="2" a="1"/>
  <c r="S493" i="2" s="1"/>
  <c r="S494" i="2" a="1"/>
  <c r="S494" i="2" s="1"/>
  <c r="S495" i="2" a="1"/>
  <c r="S495" i="2" s="1"/>
  <c r="S496" i="2" a="1"/>
  <c r="S496" i="2" s="1"/>
  <c r="S497" i="2" a="1"/>
  <c r="S497" i="2" s="1"/>
  <c r="S498" i="2" a="1"/>
  <c r="S498" i="2" s="1"/>
  <c r="S499" i="2" a="1"/>
  <c r="S499" i="2" s="1"/>
  <c r="S500" i="2" a="1"/>
  <c r="S500" i="2" s="1"/>
  <c r="S501" i="2" a="1"/>
  <c r="S501" i="2" s="1"/>
  <c r="S502" i="2" a="1"/>
  <c r="S502" i="2" s="1"/>
  <c r="S503" i="2" a="1"/>
  <c r="S503" i="2" s="1"/>
  <c r="S504" i="2" a="1"/>
  <c r="S504" i="2" s="1"/>
  <c r="S505" i="2" a="1"/>
  <c r="S505" i="2" s="1"/>
  <c r="S506" i="2" a="1"/>
  <c r="S506" i="2" s="1"/>
  <c r="S507" i="2" a="1"/>
  <c r="S507" i="2" s="1"/>
  <c r="S508" i="2" a="1"/>
  <c r="S508" i="2" s="1"/>
  <c r="S509" i="2" a="1"/>
  <c r="S509" i="2" s="1"/>
  <c r="S510" i="2" a="1"/>
  <c r="S510" i="2" s="1"/>
  <c r="S511" i="2" a="1"/>
  <c r="S511" i="2" s="1"/>
  <c r="S512" i="2" a="1"/>
  <c r="S512" i="2" s="1"/>
  <c r="S513" i="2" a="1"/>
  <c r="S513" i="2" s="1"/>
  <c r="S514" i="2" a="1"/>
  <c r="S514" i="2" s="1"/>
  <c r="S515" i="2" a="1"/>
  <c r="S515" i="2" s="1"/>
  <c r="S516" i="2" a="1"/>
  <c r="S516" i="2" s="1"/>
  <c r="S517" i="2" a="1"/>
  <c r="S517" i="2" s="1"/>
  <c r="S518" i="2" a="1"/>
  <c r="S518" i="2" s="1"/>
  <c r="S519" i="2" a="1"/>
  <c r="S519" i="2" s="1"/>
  <c r="S520" i="2" a="1"/>
  <c r="S520" i="2" s="1"/>
  <c r="S521" i="2" a="1"/>
  <c r="S521" i="2" s="1"/>
  <c r="S522" i="2" a="1"/>
  <c r="S522" i="2" s="1"/>
  <c r="S523" i="2" a="1"/>
  <c r="S523" i="2" s="1"/>
  <c r="S524" i="2" a="1"/>
  <c r="S524" i="2" s="1"/>
  <c r="S525" i="2" a="1"/>
  <c r="S525" i="2" s="1"/>
  <c r="S526" i="2" a="1"/>
  <c r="S526" i="2" s="1"/>
  <c r="S527" i="2" a="1"/>
  <c r="S527" i="2" s="1"/>
  <c r="S528" i="2" a="1"/>
  <c r="S528" i="2" s="1"/>
  <c r="S529" i="2" a="1"/>
  <c r="S529" i="2" s="1"/>
  <c r="S530" i="2" a="1"/>
  <c r="S530" i="2" s="1"/>
  <c r="S531" i="2" a="1"/>
  <c r="S531" i="2" s="1"/>
  <c r="S532" i="2" a="1"/>
  <c r="S532" i="2" s="1"/>
  <c r="S533" i="2" a="1"/>
  <c r="S533" i="2" s="1"/>
  <c r="S534" i="2" a="1"/>
  <c r="S534" i="2" s="1"/>
  <c r="S535" i="2" a="1"/>
  <c r="S535" i="2" s="1"/>
  <c r="S536" i="2" a="1"/>
  <c r="S536" i="2" s="1"/>
  <c r="S537" i="2" a="1"/>
  <c r="S537" i="2" s="1"/>
  <c r="S538" i="2" a="1"/>
  <c r="S538" i="2" s="1"/>
  <c r="S539" i="2" a="1"/>
  <c r="S539" i="2" s="1"/>
  <c r="S540" i="2" a="1"/>
  <c r="S540" i="2" s="1"/>
  <c r="S541" i="2" a="1"/>
  <c r="S541" i="2" s="1"/>
  <c r="S542" i="2" a="1"/>
  <c r="S542" i="2" s="1"/>
  <c r="S543" i="2" a="1"/>
  <c r="S543" i="2" s="1"/>
  <c r="S544" i="2" a="1"/>
  <c r="S544" i="2" s="1"/>
  <c r="S545" i="2" a="1"/>
  <c r="S545" i="2" s="1"/>
  <c r="S546" i="2" a="1"/>
  <c r="S546" i="2" s="1"/>
  <c r="S547" i="2" a="1"/>
  <c r="S547" i="2" s="1"/>
  <c r="S548" i="2" a="1"/>
  <c r="S548" i="2" s="1"/>
  <c r="S549" i="2" a="1"/>
  <c r="S549" i="2" s="1"/>
  <c r="S550" i="2" a="1"/>
  <c r="S550" i="2" s="1"/>
  <c r="S551" i="2" a="1"/>
  <c r="S551" i="2" s="1"/>
  <c r="S552" i="2" a="1"/>
  <c r="S552" i="2" s="1"/>
  <c r="S553" i="2" a="1"/>
  <c r="S553" i="2" s="1"/>
  <c r="S554" i="2" a="1"/>
  <c r="S554" i="2" s="1"/>
  <c r="S555" i="2" a="1"/>
  <c r="S555" i="2" s="1"/>
  <c r="S556" i="2" a="1"/>
  <c r="S556" i="2" s="1"/>
  <c r="S557" i="2" a="1"/>
  <c r="S557" i="2" s="1"/>
  <c r="S558" i="2" a="1"/>
  <c r="S558" i="2" s="1"/>
  <c r="S559" i="2" a="1"/>
  <c r="S559" i="2" s="1"/>
  <c r="S560" i="2" a="1"/>
  <c r="S560" i="2" s="1"/>
  <c r="S561" i="2" a="1"/>
  <c r="S561" i="2" s="1"/>
  <c r="S562" i="2" a="1"/>
  <c r="S562" i="2" s="1"/>
  <c r="S563" i="2" a="1"/>
  <c r="S563" i="2" s="1"/>
  <c r="S564" i="2" a="1"/>
  <c r="S564" i="2" s="1"/>
  <c r="S565" i="2" a="1"/>
  <c r="S565" i="2" s="1"/>
  <c r="S566" i="2" a="1"/>
  <c r="S566" i="2" s="1"/>
  <c r="S567" i="2" a="1"/>
  <c r="S567" i="2" s="1"/>
  <c r="S568" i="2" a="1"/>
  <c r="S568" i="2" s="1"/>
  <c r="S569" i="2" a="1"/>
  <c r="S569" i="2" s="1"/>
  <c r="S570" i="2" a="1"/>
  <c r="S570" i="2" s="1"/>
  <c r="S571" i="2" a="1"/>
  <c r="S571" i="2" s="1"/>
  <c r="S572" i="2" a="1"/>
  <c r="S572" i="2" s="1"/>
  <c r="S573" i="2" a="1"/>
  <c r="S573" i="2" s="1"/>
  <c r="S574" i="2" a="1"/>
  <c r="S574" i="2" s="1"/>
  <c r="S575" i="2" a="1"/>
  <c r="S575" i="2" s="1"/>
  <c r="S576" i="2" a="1"/>
  <c r="S576" i="2" s="1"/>
  <c r="S577" i="2" a="1"/>
  <c r="S577" i="2" s="1"/>
  <c r="S578" i="2" a="1"/>
  <c r="S578" i="2" s="1"/>
  <c r="S579" i="2" a="1"/>
  <c r="S579" i="2" s="1"/>
  <c r="S580" i="2" a="1"/>
  <c r="S580" i="2" s="1"/>
  <c r="S581" i="2" a="1"/>
  <c r="S581" i="2" s="1"/>
  <c r="S582" i="2" a="1"/>
  <c r="S582" i="2" s="1"/>
  <c r="S583" i="2" a="1"/>
  <c r="S583" i="2" s="1"/>
  <c r="S584" i="2" a="1"/>
  <c r="S584" i="2" s="1"/>
  <c r="S585" i="2" a="1"/>
  <c r="S585" i="2" s="1"/>
  <c r="S586" i="2" a="1"/>
  <c r="S586" i="2" s="1"/>
  <c r="S587" i="2" a="1"/>
  <c r="S587" i="2" s="1"/>
  <c r="S588" i="2" a="1"/>
  <c r="S588" i="2" s="1"/>
  <c r="S589" i="2" a="1"/>
  <c r="S589" i="2" s="1"/>
  <c r="S590" i="2" a="1"/>
  <c r="S590" i="2" s="1"/>
  <c r="S591" i="2" a="1"/>
  <c r="S591" i="2" s="1"/>
  <c r="S592" i="2" a="1"/>
  <c r="S592" i="2" s="1"/>
  <c r="S593" i="2" a="1"/>
  <c r="S593" i="2" s="1"/>
  <c r="S594" i="2" a="1"/>
  <c r="S594" i="2" s="1"/>
  <c r="S595" i="2" a="1"/>
  <c r="S595" i="2" s="1"/>
  <c r="S596" i="2" a="1"/>
  <c r="S596" i="2" s="1"/>
  <c r="S597" i="2" a="1"/>
  <c r="S597" i="2" s="1"/>
  <c r="S598" i="2" a="1"/>
  <c r="S598" i="2" s="1"/>
  <c r="S599" i="2" a="1"/>
  <c r="S599" i="2" s="1"/>
  <c r="S600" i="2" a="1"/>
  <c r="S600" i="2" s="1"/>
  <c r="S601" i="2" a="1"/>
  <c r="S601" i="2" s="1"/>
  <c r="S602" i="2" a="1"/>
  <c r="S602" i="2" s="1"/>
  <c r="S603" i="2" a="1"/>
  <c r="S603" i="2" s="1"/>
  <c r="S604" i="2" a="1"/>
  <c r="S604" i="2" s="1"/>
  <c r="S605" i="2" a="1"/>
  <c r="S605" i="2" s="1"/>
  <c r="S606" i="2" a="1"/>
  <c r="S606" i="2" s="1"/>
  <c r="S607" i="2" a="1"/>
  <c r="S607" i="2" s="1"/>
  <c r="S608" i="2" a="1"/>
  <c r="S608" i="2" s="1"/>
  <c r="S609" i="2" a="1"/>
  <c r="S609" i="2" s="1"/>
  <c r="S610" i="2" a="1"/>
  <c r="S610" i="2" s="1"/>
  <c r="S611" i="2" a="1"/>
  <c r="S611" i="2" s="1"/>
  <c r="S612" i="2" a="1"/>
  <c r="S612" i="2" s="1"/>
  <c r="S613" i="2" a="1"/>
  <c r="S613" i="2" s="1"/>
  <c r="S614" i="2" a="1"/>
  <c r="S614" i="2" s="1"/>
  <c r="S615" i="2" a="1"/>
  <c r="S615" i="2" s="1"/>
  <c r="S616" i="2" a="1"/>
  <c r="S616" i="2" s="1"/>
  <c r="S617" i="2" a="1"/>
  <c r="S617" i="2" s="1"/>
  <c r="S618" i="2" a="1"/>
  <c r="S618" i="2" s="1"/>
  <c r="S619" i="2" a="1"/>
  <c r="S619" i="2" s="1"/>
  <c r="S620" i="2" a="1"/>
  <c r="S620" i="2" s="1"/>
  <c r="S621" i="2" a="1"/>
  <c r="S621" i="2" s="1"/>
  <c r="S622" i="2" a="1"/>
  <c r="S622" i="2" s="1"/>
  <c r="S623" i="2" a="1"/>
  <c r="S623" i="2" s="1"/>
  <c r="S624" i="2" a="1"/>
  <c r="S624" i="2" s="1"/>
  <c r="S625" i="2" a="1"/>
  <c r="S625" i="2" s="1"/>
  <c r="S626" i="2" a="1"/>
  <c r="S626" i="2" s="1"/>
  <c r="S627" i="2" a="1"/>
  <c r="S627" i="2" s="1"/>
  <c r="S628" i="2" a="1"/>
  <c r="S628" i="2" s="1"/>
  <c r="S629" i="2" a="1"/>
  <c r="S629" i="2" s="1"/>
  <c r="S630" i="2" a="1"/>
  <c r="S630" i="2" s="1"/>
  <c r="S631" i="2" a="1"/>
  <c r="S631" i="2" s="1"/>
  <c r="S632" i="2" a="1"/>
  <c r="S632" i="2" s="1"/>
  <c r="S633" i="2" a="1"/>
  <c r="S633" i="2" s="1"/>
  <c r="S634" i="2" a="1"/>
  <c r="S634" i="2" s="1"/>
  <c r="S635" i="2" a="1"/>
  <c r="S635" i="2" s="1"/>
  <c r="S636" i="2" a="1"/>
  <c r="S636" i="2" s="1"/>
  <c r="S637" i="2" a="1"/>
  <c r="S637" i="2" s="1"/>
  <c r="S638" i="2" a="1"/>
  <c r="S638" i="2" s="1"/>
  <c r="S639" i="2" a="1"/>
  <c r="S639" i="2" s="1"/>
  <c r="S640" i="2" a="1"/>
  <c r="S640" i="2" s="1"/>
  <c r="S641" i="2" a="1"/>
  <c r="S641" i="2" s="1"/>
  <c r="S642" i="2" a="1"/>
  <c r="S642" i="2" s="1"/>
  <c r="S643" i="2" a="1"/>
  <c r="S643" i="2" s="1"/>
  <c r="S644" i="2" a="1"/>
  <c r="S644" i="2" s="1"/>
  <c r="S645" i="2" a="1"/>
  <c r="S645" i="2" s="1"/>
  <c r="S646" i="2" a="1"/>
  <c r="S646" i="2" s="1"/>
  <c r="S647" i="2" a="1"/>
  <c r="S647" i="2" s="1"/>
  <c r="S648" i="2" a="1"/>
  <c r="S648" i="2" s="1"/>
  <c r="S649" i="2" a="1"/>
  <c r="S649" i="2" s="1"/>
  <c r="S650" i="2" a="1"/>
  <c r="S650" i="2" s="1"/>
  <c r="S651" i="2" a="1"/>
  <c r="S651" i="2" s="1"/>
  <c r="S652" i="2" a="1"/>
  <c r="S652" i="2" s="1"/>
  <c r="S653" i="2" a="1"/>
  <c r="S653" i="2" s="1"/>
  <c r="S654" i="2" a="1"/>
  <c r="S654" i="2" s="1"/>
  <c r="S655" i="2" a="1"/>
  <c r="S655" i="2" s="1"/>
  <c r="S656" i="2" a="1"/>
  <c r="S656" i="2" s="1"/>
  <c r="S657" i="2" a="1"/>
  <c r="S657" i="2" s="1"/>
  <c r="S658" i="2" a="1"/>
  <c r="S658" i="2" s="1"/>
  <c r="S659" i="2" a="1"/>
  <c r="S659" i="2" s="1"/>
  <c r="S660" i="2" a="1"/>
  <c r="S660" i="2" s="1"/>
  <c r="S661" i="2" a="1"/>
  <c r="S661" i="2" s="1"/>
  <c r="S662" i="2" a="1"/>
  <c r="S662" i="2" s="1"/>
  <c r="S663" i="2" a="1"/>
  <c r="S663" i="2" s="1"/>
  <c r="S664" i="2" a="1"/>
  <c r="S664" i="2" s="1"/>
  <c r="S665" i="2" a="1"/>
  <c r="S665" i="2" s="1"/>
  <c r="S666" i="2" a="1"/>
  <c r="S666" i="2" s="1"/>
  <c r="S667" i="2" a="1"/>
  <c r="S667" i="2" s="1"/>
  <c r="S668" i="2" a="1"/>
  <c r="S668" i="2" s="1"/>
  <c r="S669" i="2" a="1"/>
  <c r="S669" i="2" s="1"/>
  <c r="S670" i="2" a="1"/>
  <c r="S670" i="2" s="1"/>
  <c r="S671" i="2" a="1"/>
  <c r="S671" i="2" s="1"/>
  <c r="S672" i="2" a="1"/>
  <c r="S672" i="2" s="1"/>
  <c r="S673" i="2" a="1"/>
  <c r="S673" i="2" s="1"/>
  <c r="S674" i="2" a="1"/>
  <c r="S674" i="2" s="1"/>
  <c r="S675" i="2" a="1"/>
  <c r="S675" i="2" s="1"/>
  <c r="S676" i="2" a="1"/>
  <c r="S676" i="2" s="1"/>
  <c r="S677" i="2" a="1"/>
  <c r="S677" i="2" s="1"/>
  <c r="S678" i="2" a="1"/>
  <c r="S678" i="2" s="1"/>
  <c r="S679" i="2" a="1"/>
  <c r="S679" i="2" s="1"/>
  <c r="S680" i="2" a="1"/>
  <c r="S680" i="2" s="1"/>
  <c r="S681" i="2" a="1"/>
  <c r="S681" i="2" s="1"/>
  <c r="S682" i="2" a="1"/>
  <c r="S682" i="2" s="1"/>
  <c r="S683" i="2" a="1"/>
  <c r="S683" i="2" s="1"/>
  <c r="S684" i="2" a="1"/>
  <c r="S684" i="2" s="1"/>
  <c r="S685" i="2" a="1"/>
  <c r="S685" i="2" s="1"/>
  <c r="S686" i="2" a="1"/>
  <c r="S686" i="2" s="1"/>
  <c r="S687" i="2" a="1"/>
  <c r="S687" i="2" s="1"/>
  <c r="S688" i="2" a="1"/>
  <c r="S688" i="2" s="1"/>
  <c r="S689" i="2" a="1"/>
  <c r="S689" i="2" s="1"/>
  <c r="S690" i="2" a="1"/>
  <c r="S690" i="2" s="1"/>
  <c r="S691" i="2" a="1"/>
  <c r="S691" i="2" s="1"/>
  <c r="S692" i="2" a="1"/>
  <c r="S692" i="2" s="1"/>
  <c r="S693" i="2" a="1"/>
  <c r="S693" i="2" s="1"/>
  <c r="S694" i="2" a="1"/>
  <c r="S694" i="2" s="1"/>
  <c r="S695" i="2" a="1"/>
  <c r="S695" i="2" s="1"/>
  <c r="S696" i="2" a="1"/>
  <c r="S696" i="2" s="1"/>
  <c r="S697" i="2" a="1"/>
  <c r="S697" i="2" s="1"/>
  <c r="S698" i="2" a="1"/>
  <c r="S698" i="2" s="1"/>
  <c r="S699" i="2" a="1"/>
  <c r="S699" i="2" s="1"/>
  <c r="S700" i="2" a="1"/>
  <c r="S700" i="2" s="1"/>
  <c r="S701" i="2" a="1"/>
  <c r="S701" i="2" s="1"/>
  <c r="S702" i="2" a="1"/>
  <c r="S702" i="2" s="1"/>
  <c r="S703" i="2" a="1"/>
  <c r="S703" i="2" s="1"/>
  <c r="S704" i="2" a="1"/>
  <c r="S704" i="2" s="1"/>
  <c r="S705" i="2" a="1"/>
  <c r="S705" i="2" s="1"/>
  <c r="S706" i="2" a="1"/>
  <c r="S706" i="2" s="1"/>
  <c r="S707" i="2" a="1"/>
  <c r="S707" i="2" s="1"/>
  <c r="S708" i="2" a="1"/>
  <c r="S708" i="2" s="1"/>
  <c r="S709" i="2" a="1"/>
  <c r="S709" i="2" s="1"/>
  <c r="S710" i="2" a="1"/>
  <c r="S710" i="2" s="1"/>
  <c r="S711" i="2" a="1"/>
  <c r="S711" i="2" s="1"/>
  <c r="S712" i="2" a="1"/>
  <c r="S712" i="2" s="1"/>
  <c r="S713" i="2" a="1"/>
  <c r="S713" i="2" s="1"/>
  <c r="S714" i="2" a="1"/>
  <c r="S714" i="2" s="1"/>
  <c r="S715" i="2" a="1"/>
  <c r="S715" i="2" s="1"/>
  <c r="S716" i="2" a="1"/>
  <c r="S716" i="2" s="1"/>
  <c r="S717" i="2" a="1"/>
  <c r="S717" i="2" s="1"/>
  <c r="S718" i="2" a="1"/>
  <c r="S718" i="2" s="1"/>
  <c r="S719" i="2" a="1"/>
  <c r="S719" i="2" s="1"/>
  <c r="S720" i="2" a="1"/>
  <c r="S720" i="2" s="1"/>
  <c r="S721" i="2" a="1"/>
  <c r="S721" i="2" s="1"/>
  <c r="S722" i="2" a="1"/>
  <c r="S722" i="2" s="1"/>
  <c r="S723" i="2" a="1"/>
  <c r="S723" i="2" s="1"/>
  <c r="S724" i="2" a="1"/>
  <c r="S724" i="2" s="1"/>
  <c r="S725" i="2" a="1"/>
  <c r="S725" i="2" s="1"/>
  <c r="S726" i="2" a="1"/>
  <c r="S726" i="2" s="1"/>
  <c r="S727" i="2" a="1"/>
  <c r="S727" i="2" s="1"/>
  <c r="S728" i="2" a="1"/>
  <c r="S728" i="2" s="1"/>
  <c r="S729" i="2" a="1"/>
  <c r="S729" i="2" s="1"/>
  <c r="S730" i="2" a="1"/>
  <c r="S730" i="2" s="1"/>
  <c r="S731" i="2" a="1"/>
  <c r="S731" i="2" s="1"/>
  <c r="S732" i="2" a="1"/>
  <c r="S732" i="2" s="1"/>
  <c r="S733" i="2" a="1"/>
  <c r="S733" i="2" s="1"/>
  <c r="S734" i="2" a="1"/>
  <c r="S734" i="2" s="1"/>
  <c r="S735" i="2" a="1"/>
  <c r="S735" i="2" s="1"/>
  <c r="S736" i="2" a="1"/>
  <c r="S736" i="2" s="1"/>
  <c r="S737" i="2" a="1"/>
  <c r="S737" i="2" s="1"/>
  <c r="S738" i="2" a="1"/>
  <c r="S738" i="2" s="1"/>
  <c r="S739" i="2" a="1"/>
  <c r="S739" i="2" s="1"/>
  <c r="S740" i="2" a="1"/>
  <c r="S740" i="2" s="1"/>
  <c r="S741" i="2" a="1"/>
  <c r="S741" i="2" s="1"/>
  <c r="S742" i="2" a="1"/>
  <c r="S742" i="2" s="1"/>
  <c r="S743" i="2" a="1"/>
  <c r="S743" i="2" s="1"/>
  <c r="S744" i="2" a="1"/>
  <c r="S744" i="2" s="1"/>
  <c r="S745" i="2" a="1"/>
  <c r="S745" i="2" s="1"/>
  <c r="S746" i="2" a="1"/>
  <c r="S746" i="2" s="1"/>
  <c r="S747" i="2" a="1"/>
  <c r="S747" i="2" s="1"/>
  <c r="S748" i="2" a="1"/>
  <c r="S748" i="2" s="1"/>
  <c r="S749" i="2" a="1"/>
  <c r="S749" i="2" s="1"/>
  <c r="S750" i="2" a="1"/>
  <c r="S750" i="2" s="1"/>
  <c r="S751" i="2" a="1"/>
  <c r="S751" i="2" s="1"/>
  <c r="S752" i="2" a="1"/>
  <c r="S752" i="2" s="1"/>
  <c r="S753" i="2" a="1"/>
  <c r="S753" i="2" s="1"/>
  <c r="S754" i="2" a="1"/>
  <c r="S754" i="2" s="1"/>
  <c r="S755" i="2" a="1"/>
  <c r="S755" i="2" s="1"/>
  <c r="S756" i="2" a="1"/>
  <c r="S756" i="2" s="1"/>
  <c r="S757" i="2" a="1"/>
  <c r="S757" i="2" s="1"/>
  <c r="S758" i="2" a="1"/>
  <c r="S758" i="2" s="1"/>
  <c r="S759" i="2" a="1"/>
  <c r="S759" i="2" s="1"/>
  <c r="S760" i="2" a="1"/>
  <c r="S760" i="2" s="1"/>
  <c r="S761" i="2" a="1"/>
  <c r="S761" i="2" s="1"/>
  <c r="S762" i="2" a="1"/>
  <c r="S762" i="2" s="1"/>
  <c r="S763" i="2" a="1"/>
  <c r="S763" i="2" s="1"/>
  <c r="S764" i="2" a="1"/>
  <c r="S764" i="2" s="1"/>
  <c r="S765" i="2" a="1"/>
  <c r="S765" i="2" s="1"/>
  <c r="S766" i="2" a="1"/>
  <c r="S766" i="2" s="1"/>
  <c r="S767" i="2" a="1"/>
  <c r="S767" i="2" s="1"/>
  <c r="S768" i="2" a="1"/>
  <c r="S768" i="2" s="1"/>
  <c r="S769" i="2" a="1"/>
  <c r="S769" i="2" s="1"/>
  <c r="S770" i="2" a="1"/>
  <c r="S770" i="2" s="1"/>
  <c r="S771" i="2" a="1"/>
  <c r="S771" i="2" s="1"/>
  <c r="S772" i="2" a="1"/>
  <c r="S772" i="2" s="1"/>
  <c r="S773" i="2" a="1"/>
  <c r="S773" i="2" s="1"/>
  <c r="S774" i="2" a="1"/>
  <c r="S774" i="2" s="1"/>
  <c r="S775" i="2" a="1"/>
  <c r="S775" i="2" s="1"/>
  <c r="S776" i="2" a="1"/>
  <c r="S776" i="2" s="1"/>
  <c r="S777" i="2" a="1"/>
  <c r="S777" i="2" s="1"/>
  <c r="S778" i="2" a="1"/>
  <c r="S778" i="2" s="1"/>
  <c r="S779" i="2" a="1"/>
  <c r="S779" i="2" s="1"/>
  <c r="S780" i="2" a="1"/>
  <c r="S780" i="2" s="1"/>
  <c r="S781" i="2" a="1"/>
  <c r="S781" i="2" s="1"/>
  <c r="S782" i="2" a="1"/>
  <c r="S782" i="2" s="1"/>
  <c r="S783" i="2" a="1"/>
  <c r="S783" i="2" s="1"/>
  <c r="S784" i="2" a="1"/>
  <c r="S784" i="2" s="1"/>
  <c r="S785" i="2" a="1"/>
  <c r="S785" i="2" s="1"/>
  <c r="S786" i="2" a="1"/>
  <c r="S786" i="2" s="1"/>
  <c r="S787" i="2" a="1"/>
  <c r="S787" i="2" s="1"/>
  <c r="S788" i="2" a="1"/>
  <c r="S788" i="2" s="1"/>
  <c r="S789" i="2" a="1"/>
  <c r="S789" i="2" s="1"/>
  <c r="S790" i="2" a="1"/>
  <c r="S790" i="2" s="1"/>
  <c r="S791" i="2" a="1"/>
  <c r="S791" i="2" s="1"/>
  <c r="S792" i="2" a="1"/>
  <c r="S792" i="2" s="1"/>
  <c r="S793" i="2" a="1"/>
  <c r="S793" i="2" s="1"/>
  <c r="S794" i="2" a="1"/>
  <c r="S794" i="2" s="1"/>
  <c r="S795" i="2" a="1"/>
  <c r="S795" i="2" s="1"/>
  <c r="S796" i="2" a="1"/>
  <c r="S796" i="2" s="1"/>
  <c r="S797" i="2" a="1"/>
  <c r="S797" i="2" s="1"/>
  <c r="S798" i="2" a="1"/>
  <c r="S798" i="2" s="1"/>
  <c r="S799" i="2" a="1"/>
  <c r="S799" i="2" s="1"/>
  <c r="S800" i="2" a="1"/>
  <c r="S800" i="2" s="1"/>
  <c r="S801" i="2" a="1"/>
  <c r="S801" i="2" s="1"/>
  <c r="S802" i="2" a="1"/>
  <c r="S802" i="2" s="1"/>
  <c r="S803" i="2" a="1"/>
  <c r="S803" i="2" s="1"/>
  <c r="S804" i="2" a="1"/>
  <c r="S804" i="2" s="1"/>
  <c r="S805" i="2" a="1"/>
  <c r="S805" i="2" s="1"/>
  <c r="S806" i="2" a="1"/>
  <c r="S806" i="2" s="1"/>
  <c r="S807" i="2" a="1"/>
  <c r="S807" i="2" s="1"/>
  <c r="S808" i="2" a="1"/>
  <c r="S808" i="2" s="1"/>
  <c r="S809" i="2" a="1"/>
  <c r="S809" i="2" s="1"/>
  <c r="S810" i="2" a="1"/>
  <c r="S810" i="2" s="1"/>
  <c r="S811" i="2" a="1"/>
  <c r="S811" i="2" s="1"/>
  <c r="S812" i="2" a="1"/>
  <c r="S812" i="2" s="1"/>
  <c r="S813" i="2" a="1"/>
  <c r="S813" i="2" s="1"/>
  <c r="S814" i="2" a="1"/>
  <c r="S814" i="2" s="1"/>
  <c r="S815" i="2" a="1"/>
  <c r="S815" i="2" s="1"/>
  <c r="S816" i="2" a="1"/>
  <c r="S816" i="2" s="1"/>
  <c r="S817" i="2" a="1"/>
  <c r="S817" i="2" s="1"/>
  <c r="S818" i="2" a="1"/>
  <c r="S818" i="2" s="1"/>
  <c r="S819" i="2" a="1"/>
  <c r="S819" i="2" s="1"/>
  <c r="S820" i="2" a="1"/>
  <c r="S820" i="2" s="1"/>
  <c r="S821" i="2" a="1"/>
  <c r="S821" i="2" s="1"/>
  <c r="S822" i="2" a="1"/>
  <c r="S822" i="2" s="1"/>
  <c r="S823" i="2" a="1"/>
  <c r="S823" i="2" s="1"/>
  <c r="S824" i="2" a="1"/>
  <c r="S824" i="2" s="1"/>
  <c r="S825" i="2" a="1"/>
  <c r="S825" i="2" s="1"/>
  <c r="S826" i="2" a="1"/>
  <c r="S826" i="2" s="1"/>
  <c r="S827" i="2" a="1"/>
  <c r="S827" i="2" s="1"/>
  <c r="S828" i="2" a="1"/>
  <c r="S828" i="2" s="1"/>
  <c r="S829" i="2" a="1"/>
  <c r="S829" i="2" s="1"/>
  <c r="S830" i="2" a="1"/>
  <c r="S830" i="2" s="1"/>
  <c r="S831" i="2" a="1"/>
  <c r="S831" i="2" s="1"/>
  <c r="S832" i="2" a="1"/>
  <c r="S832" i="2" s="1"/>
  <c r="S833" i="2" a="1"/>
  <c r="S833" i="2" s="1"/>
  <c r="S834" i="2" a="1"/>
  <c r="S834" i="2" s="1"/>
  <c r="S835" i="2" a="1"/>
  <c r="S835" i="2" s="1"/>
  <c r="S836" i="2" a="1"/>
  <c r="S836" i="2" s="1"/>
  <c r="S837" i="2" a="1"/>
  <c r="S837" i="2" s="1"/>
  <c r="S838" i="2" a="1"/>
  <c r="S838" i="2" s="1"/>
  <c r="S839" i="2" a="1"/>
  <c r="S839" i="2" s="1"/>
  <c r="S840" i="2" a="1"/>
  <c r="S840" i="2" s="1"/>
  <c r="S841" i="2" a="1"/>
  <c r="S841" i="2" s="1"/>
  <c r="S842" i="2" a="1"/>
  <c r="S842" i="2" s="1"/>
  <c r="S843" i="2" a="1"/>
  <c r="S843" i="2" s="1"/>
  <c r="S844" i="2" a="1"/>
  <c r="S844" i="2" s="1"/>
  <c r="S845" i="2" a="1"/>
  <c r="S845" i="2" s="1"/>
  <c r="S846" i="2" a="1"/>
  <c r="S846" i="2" s="1"/>
  <c r="S847" i="2" a="1"/>
  <c r="S847" i="2" s="1"/>
  <c r="S848" i="2" a="1"/>
  <c r="S848" i="2" s="1"/>
  <c r="S849" i="2" a="1"/>
  <c r="S849" i="2" s="1"/>
  <c r="S850" i="2" a="1"/>
  <c r="S850" i="2" s="1"/>
  <c r="S851" i="2" a="1"/>
  <c r="S851" i="2" s="1"/>
  <c r="S852" i="2" a="1"/>
  <c r="S852" i="2" s="1"/>
  <c r="S853" i="2" a="1"/>
  <c r="S853" i="2" s="1"/>
  <c r="S854" i="2" a="1"/>
  <c r="S854" i="2" s="1"/>
  <c r="S855" i="2" a="1"/>
  <c r="S855" i="2" s="1"/>
  <c r="S856" i="2" a="1"/>
  <c r="S856" i="2" s="1"/>
  <c r="S857" i="2" a="1"/>
  <c r="S857" i="2" s="1"/>
  <c r="S858" i="2" a="1"/>
  <c r="S858" i="2" s="1"/>
  <c r="S859" i="2" a="1"/>
  <c r="S859" i="2" s="1"/>
  <c r="S860" i="2" a="1"/>
  <c r="S860" i="2" s="1"/>
  <c r="S861" i="2" a="1"/>
  <c r="S861" i="2" s="1"/>
  <c r="S862" i="2" a="1"/>
  <c r="S862" i="2" s="1"/>
  <c r="S863" i="2" a="1"/>
  <c r="S863" i="2" s="1"/>
  <c r="S864" i="2" a="1"/>
  <c r="S864" i="2" s="1"/>
  <c r="S865" i="2" a="1"/>
  <c r="S865" i="2" s="1"/>
  <c r="S866" i="2" a="1"/>
  <c r="S866" i="2" s="1"/>
  <c r="S867" i="2" a="1"/>
  <c r="S867" i="2" s="1"/>
  <c r="S868" i="2" a="1"/>
  <c r="S868" i="2" s="1"/>
  <c r="S869" i="2" a="1"/>
  <c r="S869" i="2" s="1"/>
  <c r="S870" i="2" a="1"/>
  <c r="S870" i="2" s="1"/>
  <c r="S871" i="2" a="1"/>
  <c r="S871" i="2" s="1"/>
  <c r="S872" i="2" a="1"/>
  <c r="S872" i="2" s="1"/>
  <c r="S873" i="2" a="1"/>
  <c r="S873" i="2" s="1"/>
  <c r="S874" i="2" a="1"/>
  <c r="S874" i="2" s="1"/>
  <c r="S875" i="2" a="1"/>
  <c r="S875" i="2" s="1"/>
  <c r="S876" i="2" a="1"/>
  <c r="S876" i="2" s="1"/>
  <c r="S877" i="2" a="1"/>
  <c r="S877" i="2" s="1"/>
  <c r="S878" i="2" a="1"/>
  <c r="S878" i="2" s="1"/>
  <c r="S879" i="2" a="1"/>
  <c r="S879" i="2" s="1"/>
  <c r="S880" i="2" a="1"/>
  <c r="S880" i="2" s="1"/>
  <c r="S881" i="2" a="1"/>
  <c r="S881" i="2" s="1"/>
  <c r="S882" i="2" a="1"/>
  <c r="S882" i="2" s="1"/>
  <c r="S883" i="2" a="1"/>
  <c r="S883" i="2" s="1"/>
  <c r="S884" i="2" a="1"/>
  <c r="S884" i="2" s="1"/>
  <c r="S885" i="2" a="1"/>
  <c r="S885" i="2" s="1"/>
  <c r="S886" i="2" a="1"/>
  <c r="S886" i="2" s="1"/>
  <c r="S887" i="2" a="1"/>
  <c r="S887" i="2" s="1"/>
  <c r="S888" i="2" a="1"/>
  <c r="S888" i="2" s="1"/>
  <c r="S889" i="2" a="1"/>
  <c r="S889" i="2" s="1"/>
  <c r="S890" i="2" a="1"/>
  <c r="S890" i="2" s="1"/>
  <c r="S891" i="2" a="1"/>
  <c r="S891" i="2" s="1"/>
  <c r="S892" i="2" a="1"/>
  <c r="S892" i="2" s="1"/>
  <c r="S893" i="2" a="1"/>
  <c r="S893" i="2" s="1"/>
  <c r="S894" i="2" a="1"/>
  <c r="S894" i="2" s="1"/>
  <c r="S895" i="2" a="1"/>
  <c r="S895" i="2" s="1"/>
  <c r="S896" i="2" a="1"/>
  <c r="S896" i="2" s="1"/>
  <c r="S897" i="2" a="1"/>
  <c r="S897" i="2" s="1"/>
  <c r="S898" i="2" a="1"/>
  <c r="S898" i="2" s="1"/>
  <c r="S899" i="2" a="1"/>
  <c r="S899" i="2" s="1"/>
  <c r="S900" i="2" a="1"/>
  <c r="S900" i="2" s="1"/>
  <c r="S901" i="2" a="1"/>
  <c r="S901" i="2" s="1"/>
  <c r="S902" i="2" a="1"/>
  <c r="S902" i="2" s="1"/>
  <c r="S903" i="2" a="1"/>
  <c r="S903" i="2" s="1"/>
  <c r="S904" i="2" a="1"/>
  <c r="S904" i="2" s="1"/>
  <c r="S905" i="2" a="1"/>
  <c r="S905" i="2" s="1"/>
  <c r="S906" i="2" a="1"/>
  <c r="S906" i="2" s="1"/>
  <c r="S907" i="2" a="1"/>
  <c r="S907" i="2" s="1"/>
  <c r="S908" i="2" a="1"/>
  <c r="S908" i="2" s="1"/>
  <c r="S909" i="2" a="1"/>
  <c r="S909" i="2" s="1"/>
  <c r="S910" i="2" a="1"/>
  <c r="S910" i="2" s="1"/>
  <c r="S911" i="2" a="1"/>
  <c r="S911" i="2" s="1"/>
  <c r="S912" i="2" a="1"/>
  <c r="S912" i="2" s="1"/>
  <c r="S913" i="2" a="1"/>
  <c r="S913" i="2" s="1"/>
  <c r="S914" i="2" a="1"/>
  <c r="S914" i="2" s="1"/>
  <c r="S915" i="2" a="1"/>
  <c r="S915" i="2" s="1"/>
  <c r="S916" i="2" a="1"/>
  <c r="S916" i="2" s="1"/>
  <c r="S917" i="2" a="1"/>
  <c r="S917" i="2" s="1"/>
  <c r="S918" i="2" a="1"/>
  <c r="S918" i="2" s="1"/>
  <c r="S919" i="2" a="1"/>
  <c r="S919" i="2" s="1"/>
  <c r="S920" i="2" a="1"/>
  <c r="S920" i="2" s="1"/>
  <c r="S921" i="2" a="1"/>
  <c r="S921" i="2" s="1"/>
  <c r="S922" i="2" a="1"/>
  <c r="S922" i="2" s="1"/>
  <c r="S923" i="2" a="1"/>
  <c r="S923" i="2" s="1"/>
  <c r="S924" i="2" a="1"/>
  <c r="S924" i="2" s="1"/>
  <c r="S925" i="2" a="1"/>
  <c r="S925" i="2" s="1"/>
  <c r="S926" i="2" a="1"/>
  <c r="S926" i="2" s="1"/>
  <c r="S927" i="2" a="1"/>
  <c r="S927" i="2" s="1"/>
  <c r="S928" i="2" a="1"/>
  <c r="S928" i="2" s="1"/>
  <c r="S929" i="2" a="1"/>
  <c r="S929" i="2" s="1"/>
  <c r="S930" i="2" a="1"/>
  <c r="S930" i="2" s="1"/>
  <c r="S931" i="2" a="1"/>
  <c r="S931" i="2" s="1"/>
  <c r="S932" i="2" a="1"/>
  <c r="S932" i="2" s="1"/>
  <c r="S933" i="2" a="1"/>
  <c r="S933" i="2" s="1"/>
  <c r="S934" i="2" a="1"/>
  <c r="S934" i="2" s="1"/>
  <c r="S935" i="2" a="1"/>
  <c r="S935" i="2" s="1"/>
  <c r="S936" i="2" a="1"/>
  <c r="S936" i="2" s="1"/>
  <c r="S937" i="2" a="1"/>
  <c r="S937" i="2" s="1"/>
  <c r="S938" i="2" a="1"/>
  <c r="S938" i="2" s="1"/>
  <c r="S939" i="2" a="1"/>
  <c r="S939" i="2" s="1"/>
  <c r="S940" i="2" a="1"/>
  <c r="S940" i="2" s="1"/>
  <c r="S941" i="2" a="1"/>
  <c r="S941" i="2" s="1"/>
  <c r="S942" i="2" a="1"/>
  <c r="S942" i="2" s="1"/>
  <c r="S943" i="2" a="1"/>
  <c r="S943" i="2" s="1"/>
  <c r="S944" i="2" a="1"/>
  <c r="S944" i="2" s="1"/>
  <c r="S945" i="2" a="1"/>
  <c r="S945" i="2" s="1"/>
  <c r="S946" i="2" a="1"/>
  <c r="S946" i="2" s="1"/>
  <c r="S947" i="2" a="1"/>
  <c r="S947" i="2" s="1"/>
  <c r="S948" i="2" a="1"/>
  <c r="S948" i="2" s="1"/>
  <c r="S949" i="2" a="1"/>
  <c r="S949" i="2" s="1"/>
  <c r="S950" i="2" a="1"/>
  <c r="S950" i="2" s="1"/>
  <c r="S951" i="2" a="1"/>
  <c r="S951" i="2" s="1"/>
  <c r="S952" i="2" a="1"/>
  <c r="S952" i="2" s="1"/>
  <c r="S953" i="2" a="1"/>
  <c r="S953" i="2" s="1"/>
  <c r="S954" i="2" a="1"/>
  <c r="S954" i="2" s="1"/>
  <c r="S955" i="2" a="1"/>
  <c r="S955" i="2" s="1"/>
  <c r="S956" i="2" a="1"/>
  <c r="S956" i="2" s="1"/>
  <c r="S957" i="2" a="1"/>
  <c r="S957" i="2" s="1"/>
  <c r="S958" i="2" a="1"/>
  <c r="S958" i="2" s="1"/>
  <c r="S959" i="2" a="1"/>
  <c r="S959" i="2" s="1"/>
  <c r="S960" i="2" a="1"/>
  <c r="S960" i="2" s="1"/>
  <c r="S961" i="2" a="1"/>
  <c r="S961" i="2" s="1"/>
  <c r="S962" i="2" a="1"/>
  <c r="S962" i="2" s="1"/>
  <c r="S963" i="2" a="1"/>
  <c r="S963" i="2" s="1"/>
  <c r="S964" i="2" a="1"/>
  <c r="S964" i="2" s="1"/>
  <c r="S965" i="2" a="1"/>
  <c r="S965" i="2" s="1"/>
  <c r="S966" i="2" a="1"/>
  <c r="S966" i="2" s="1"/>
  <c r="S967" i="2" a="1"/>
  <c r="S967" i="2" s="1"/>
  <c r="S968" i="2" a="1"/>
  <c r="S968" i="2" s="1"/>
  <c r="S969" i="2" a="1"/>
  <c r="S969" i="2" s="1"/>
  <c r="S970" i="2" a="1"/>
  <c r="S970" i="2" s="1"/>
  <c r="S971" i="2" a="1"/>
  <c r="S971" i="2" s="1"/>
  <c r="S972" i="2" a="1"/>
  <c r="S972" i="2" s="1"/>
  <c r="S973" i="2" a="1"/>
  <c r="S973" i="2" s="1"/>
  <c r="S974" i="2" a="1"/>
  <c r="S974" i="2" s="1"/>
  <c r="S975" i="2" a="1"/>
  <c r="S975" i="2" s="1"/>
  <c r="S976" i="2" a="1"/>
  <c r="S976" i="2" s="1"/>
  <c r="S977" i="2" a="1"/>
  <c r="S977" i="2" s="1"/>
  <c r="S978" i="2" a="1"/>
  <c r="S978" i="2" s="1"/>
  <c r="S979" i="2" a="1"/>
  <c r="S979" i="2" s="1"/>
  <c r="S980" i="2" a="1"/>
  <c r="S980" i="2" s="1"/>
  <c r="S981" i="2" a="1"/>
  <c r="S981" i="2" s="1"/>
  <c r="S982" i="2" a="1"/>
  <c r="S982" i="2" s="1"/>
  <c r="S983" i="2" a="1"/>
  <c r="S983" i="2" s="1"/>
  <c r="S984" i="2" a="1"/>
  <c r="S984" i="2" s="1"/>
  <c r="S985" i="2" a="1"/>
  <c r="S985" i="2" s="1"/>
  <c r="S986" i="2" a="1"/>
  <c r="S986" i="2" s="1"/>
  <c r="S987" i="2" a="1"/>
  <c r="S987" i="2" s="1"/>
  <c r="S988" i="2" a="1"/>
  <c r="S988" i="2" s="1"/>
  <c r="S989" i="2" a="1"/>
  <c r="S989" i="2" s="1"/>
  <c r="S990" i="2" a="1"/>
  <c r="S990" i="2" s="1"/>
  <c r="S991" i="2" a="1"/>
  <c r="S991" i="2" s="1"/>
  <c r="S992" i="2" a="1"/>
  <c r="S992" i="2" s="1"/>
  <c r="S993" i="2" a="1"/>
  <c r="S993" i="2" s="1"/>
  <c r="S994" i="2" a="1"/>
  <c r="S994" i="2" s="1"/>
  <c r="S995" i="2" a="1"/>
  <c r="S995" i="2" s="1"/>
  <c r="S996" i="2" a="1"/>
  <c r="S996" i="2" s="1"/>
  <c r="S997" i="2" a="1"/>
  <c r="S997" i="2" s="1"/>
  <c r="S998" i="2" a="1"/>
  <c r="S998" i="2" s="1"/>
  <c r="S999" i="2" a="1"/>
  <c r="S999" i="2" s="1"/>
  <c r="S1000" i="2" a="1"/>
  <c r="S1000" i="2" s="1"/>
  <c r="S1001" i="2" a="1"/>
  <c r="S1001" i="2" s="1"/>
  <c r="S2" i="2" a="1"/>
  <c r="S2" i="2" s="1"/>
  <c r="R3" i="2" a="1"/>
  <c r="R3" i="2" s="1"/>
  <c r="R4" i="2" a="1"/>
  <c r="R4" i="2" s="1"/>
  <c r="R5" i="2" a="1"/>
  <c r="R5" i="2" s="1"/>
  <c r="R6" i="2" a="1"/>
  <c r="R6" i="2" s="1"/>
  <c r="R7" i="2" a="1"/>
  <c r="R7" i="2" s="1"/>
  <c r="R8" i="2" a="1"/>
  <c r="R8" i="2" s="1"/>
  <c r="R9" i="2" a="1"/>
  <c r="R9" i="2" s="1"/>
  <c r="R10" i="2" a="1"/>
  <c r="R10" i="2" s="1"/>
  <c r="R11" i="2" a="1"/>
  <c r="R11" i="2" s="1"/>
  <c r="R12" i="2" a="1"/>
  <c r="R12" i="2" s="1"/>
  <c r="R13" i="2" a="1"/>
  <c r="R13" i="2" s="1"/>
  <c r="R14" i="2" a="1"/>
  <c r="R14" i="2" s="1"/>
  <c r="R15" i="2" a="1"/>
  <c r="R15" i="2" s="1"/>
  <c r="R16" i="2" a="1"/>
  <c r="R16" i="2" s="1"/>
  <c r="R17" i="2" a="1"/>
  <c r="R17" i="2" s="1"/>
  <c r="R18" i="2" a="1"/>
  <c r="R18" i="2" s="1"/>
  <c r="R19" i="2" a="1"/>
  <c r="R19" i="2" s="1"/>
  <c r="R20" i="2" a="1"/>
  <c r="R20" i="2" s="1"/>
  <c r="R21" i="2" a="1"/>
  <c r="R21" i="2" s="1"/>
  <c r="R22" i="2" a="1"/>
  <c r="R22" i="2" s="1"/>
  <c r="R23" i="2" a="1"/>
  <c r="R23" i="2" s="1"/>
  <c r="R24" i="2" a="1"/>
  <c r="R24" i="2" s="1"/>
  <c r="R25" i="2" a="1"/>
  <c r="R25" i="2" s="1"/>
  <c r="R26" i="2" a="1"/>
  <c r="R26" i="2" s="1"/>
  <c r="R27" i="2" a="1"/>
  <c r="R27" i="2" s="1"/>
  <c r="R28" i="2" a="1"/>
  <c r="R28" i="2" s="1"/>
  <c r="R29" i="2" a="1"/>
  <c r="R29" i="2" s="1"/>
  <c r="R30" i="2" a="1"/>
  <c r="R30" i="2" s="1"/>
  <c r="R31" i="2" a="1"/>
  <c r="R31" i="2" s="1"/>
  <c r="R32" i="2" a="1"/>
  <c r="R32" i="2" s="1"/>
  <c r="R33" i="2" a="1"/>
  <c r="R33" i="2" s="1"/>
  <c r="R34" i="2" a="1"/>
  <c r="R34" i="2" s="1"/>
  <c r="R35" i="2" a="1"/>
  <c r="R35" i="2" s="1"/>
  <c r="R36" i="2" a="1"/>
  <c r="R36" i="2" s="1"/>
  <c r="R37" i="2" a="1"/>
  <c r="R37" i="2" s="1"/>
  <c r="R38" i="2" a="1"/>
  <c r="R38" i="2" s="1"/>
  <c r="R39" i="2" a="1"/>
  <c r="R39" i="2" s="1"/>
  <c r="R40" i="2" a="1"/>
  <c r="R40" i="2" s="1"/>
  <c r="R41" i="2" a="1"/>
  <c r="R41" i="2" s="1"/>
  <c r="R42" i="2" a="1"/>
  <c r="R42" i="2" s="1"/>
  <c r="R43" i="2" a="1"/>
  <c r="R43" i="2" s="1"/>
  <c r="R44" i="2" a="1"/>
  <c r="R44" i="2" s="1"/>
  <c r="R45" i="2" a="1"/>
  <c r="R45" i="2" s="1"/>
  <c r="R46" i="2" a="1"/>
  <c r="R46" i="2" s="1"/>
  <c r="R47" i="2" a="1"/>
  <c r="R47" i="2" s="1"/>
  <c r="R48" i="2" a="1"/>
  <c r="R48" i="2" s="1"/>
  <c r="R49" i="2" a="1"/>
  <c r="R49" i="2" s="1"/>
  <c r="R50" i="2" a="1"/>
  <c r="R50" i="2" s="1"/>
  <c r="R51" i="2" a="1"/>
  <c r="R51" i="2" s="1"/>
  <c r="R52" i="2" a="1"/>
  <c r="R52" i="2" s="1"/>
  <c r="R53" i="2" a="1"/>
  <c r="R53" i="2" s="1"/>
  <c r="R54" i="2" a="1"/>
  <c r="R54" i="2" s="1"/>
  <c r="R55" i="2" a="1"/>
  <c r="R55" i="2" s="1"/>
  <c r="R56" i="2" a="1"/>
  <c r="R56" i="2" s="1"/>
  <c r="R57" i="2" a="1"/>
  <c r="R57" i="2" s="1"/>
  <c r="R58" i="2" a="1"/>
  <c r="R58" i="2" s="1"/>
  <c r="R59" i="2" a="1"/>
  <c r="R59" i="2" s="1"/>
  <c r="R60" i="2" a="1"/>
  <c r="R60" i="2" s="1"/>
  <c r="R61" i="2" a="1"/>
  <c r="R61" i="2" s="1"/>
  <c r="R62" i="2" a="1"/>
  <c r="R62" i="2" s="1"/>
  <c r="R63" i="2" a="1"/>
  <c r="R63" i="2" s="1"/>
  <c r="R64" i="2" a="1"/>
  <c r="R64" i="2" s="1"/>
  <c r="R65" i="2" a="1"/>
  <c r="R65" i="2" s="1"/>
  <c r="R66" i="2" a="1"/>
  <c r="R66" i="2" s="1"/>
  <c r="R67" i="2" a="1"/>
  <c r="R67" i="2" s="1"/>
  <c r="R68" i="2" a="1"/>
  <c r="R68" i="2" s="1"/>
  <c r="R69" i="2" a="1"/>
  <c r="R69" i="2" s="1"/>
  <c r="R70" i="2" a="1"/>
  <c r="R70" i="2" s="1"/>
  <c r="R71" i="2" a="1"/>
  <c r="R71" i="2" s="1"/>
  <c r="R72" i="2" a="1"/>
  <c r="R72" i="2" s="1"/>
  <c r="R73" i="2" a="1"/>
  <c r="R73" i="2" s="1"/>
  <c r="R74" i="2" a="1"/>
  <c r="R74" i="2" s="1"/>
  <c r="R75" i="2" a="1"/>
  <c r="R75" i="2" s="1"/>
  <c r="R76" i="2" a="1"/>
  <c r="R76" i="2" s="1"/>
  <c r="R77" i="2" a="1"/>
  <c r="R77" i="2" s="1"/>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s="1"/>
  <c r="R97" i="2" a="1"/>
  <c r="R97" i="2" s="1"/>
  <c r="R98" i="2" a="1"/>
  <c r="R98" i="2" s="1"/>
  <c r="R99" i="2" a="1"/>
  <c r="R99" i="2" s="1"/>
  <c r="R100" i="2" a="1"/>
  <c r="R100" i="2" s="1"/>
  <c r="R101" i="2" a="1"/>
  <c r="R101" i="2" s="1"/>
  <c r="R102" i="2" a="1"/>
  <c r="R102" i="2" s="1"/>
  <c r="R103" i="2" a="1"/>
  <c r="R103" i="2" s="1"/>
  <c r="R104" i="2" a="1"/>
  <c r="R104" i="2" s="1"/>
  <c r="R105" i="2" a="1"/>
  <c r="R105" i="2" s="1"/>
  <c r="R106" i="2" a="1"/>
  <c r="R106" i="2" s="1"/>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s="1"/>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s="1"/>
  <c r="R144" i="2" a="1"/>
  <c r="R144" i="2" s="1"/>
  <c r="R145" i="2" a="1"/>
  <c r="R145" i="2" s="1"/>
  <c r="R146" i="2" a="1"/>
  <c r="R146" i="2" s="1"/>
  <c r="R147" i="2" a="1"/>
  <c r="R147" i="2" s="1"/>
  <c r="R148" i="2" a="1"/>
  <c r="R148" i="2" s="1"/>
  <c r="R149" i="2" a="1"/>
  <c r="R149" i="2" s="1"/>
  <c r="R150" i="2" a="1"/>
  <c r="R150" i="2" s="1"/>
  <c r="R151" i="2" a="1"/>
  <c r="R151" i="2" s="1"/>
  <c r="R152" i="2" a="1"/>
  <c r="R152" i="2" s="1"/>
  <c r="R153" i="2" a="1"/>
  <c r="R153" i="2" s="1"/>
  <c r="R154" i="2" a="1"/>
  <c r="R154" i="2" s="1"/>
  <c r="R155" i="2" a="1"/>
  <c r="R155" i="2" s="1"/>
  <c r="R156" i="2" a="1"/>
  <c r="R156" i="2" s="1"/>
  <c r="R157" i="2" a="1"/>
  <c r="R157" i="2" s="1"/>
  <c r="R158" i="2" a="1"/>
  <c r="R158" i="2" s="1"/>
  <c r="R159" i="2" a="1"/>
  <c r="R159" i="2" s="1"/>
  <c r="R160" i="2" a="1"/>
  <c r="R160" i="2" s="1"/>
  <c r="R161" i="2" a="1"/>
  <c r="R161" i="2" s="1"/>
  <c r="R162" i="2" a="1"/>
  <c r="R162" i="2" s="1"/>
  <c r="R163" i="2" a="1"/>
  <c r="R163" i="2" s="1"/>
  <c r="R164" i="2" a="1"/>
  <c r="R164" i="2" s="1"/>
  <c r="R165" i="2" a="1"/>
  <c r="R165" i="2" s="1"/>
  <c r="R166" i="2" a="1"/>
  <c r="R166" i="2" s="1"/>
  <c r="R167" i="2" a="1"/>
  <c r="R167" i="2" s="1"/>
  <c r="R168" i="2" a="1"/>
  <c r="R168" i="2" s="1"/>
  <c r="R169" i="2" a="1"/>
  <c r="R169" i="2" s="1"/>
  <c r="R170" i="2" a="1"/>
  <c r="R170" i="2" s="1"/>
  <c r="R171" i="2" a="1"/>
  <c r="R171" i="2" s="1"/>
  <c r="R172" i="2" a="1"/>
  <c r="R172" i="2" s="1"/>
  <c r="R173" i="2" a="1"/>
  <c r="R173" i="2" s="1"/>
  <c r="R174" i="2" a="1"/>
  <c r="R174" i="2" s="1"/>
  <c r="R175" i="2" a="1"/>
  <c r="R175" i="2" s="1"/>
  <c r="R176" i="2" a="1"/>
  <c r="R176" i="2" s="1"/>
  <c r="R177" i="2" a="1"/>
  <c r="R177" i="2" s="1"/>
  <c r="R178" i="2" a="1"/>
  <c r="R178" i="2" s="1"/>
  <c r="R179" i="2" a="1"/>
  <c r="R179" i="2" s="1"/>
  <c r="R180" i="2" a="1"/>
  <c r="R180" i="2" s="1"/>
  <c r="R181" i="2" a="1"/>
  <c r="R181" i="2" s="1"/>
  <c r="R182" i="2" a="1"/>
  <c r="R182" i="2" s="1"/>
  <c r="R183" i="2" a="1"/>
  <c r="R183" i="2" s="1"/>
  <c r="R184" i="2" a="1"/>
  <c r="R184" i="2" s="1"/>
  <c r="R185" i="2" a="1"/>
  <c r="R185" i="2" s="1"/>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s="1"/>
  <c r="R198" i="2" a="1"/>
  <c r="R198" i="2" s="1"/>
  <c r="R199" i="2" a="1"/>
  <c r="R199" i="2" s="1"/>
  <c r="R200" i="2" a="1"/>
  <c r="R200" i="2" s="1"/>
  <c r="R201" i="2" a="1"/>
  <c r="R201" i="2" s="1"/>
  <c r="R202" i="2" a="1"/>
  <c r="R202" i="2" s="1"/>
  <c r="R203" i="2" a="1"/>
  <c r="R203" i="2" s="1"/>
  <c r="R204" i="2" a="1"/>
  <c r="R204" i="2" s="1"/>
  <c r="R205" i="2" a="1"/>
  <c r="R205" i="2" s="1"/>
  <c r="R206" i="2" a="1"/>
  <c r="R206" i="2" s="1"/>
  <c r="R207" i="2" a="1"/>
  <c r="R207" i="2" s="1"/>
  <c r="R208" i="2" a="1"/>
  <c r="R208" i="2" s="1"/>
  <c r="R209" i="2" a="1"/>
  <c r="R209" i="2" s="1"/>
  <c r="R210" i="2" a="1"/>
  <c r="R210" i="2" s="1"/>
  <c r="R211" i="2" a="1"/>
  <c r="R211" i="2" s="1"/>
  <c r="R212" i="2" a="1"/>
  <c r="R212" i="2" s="1"/>
  <c r="R213" i="2" a="1"/>
  <c r="R213" i="2" s="1"/>
  <c r="R214" i="2" a="1"/>
  <c r="R214" i="2" s="1"/>
  <c r="R215" i="2" a="1"/>
  <c r="R215" i="2" s="1"/>
  <c r="R216" i="2" a="1"/>
  <c r="R216" i="2" s="1"/>
  <c r="R217" i="2" a="1"/>
  <c r="R217" i="2" s="1"/>
  <c r="R218" i="2" a="1"/>
  <c r="R218" i="2" s="1"/>
  <c r="R219" i="2" a="1"/>
  <c r="R219" i="2" s="1"/>
  <c r="R220" i="2" a="1"/>
  <c r="R220" i="2"/>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s="1"/>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s="1"/>
  <c r="R252" i="2" a="1"/>
  <c r="R252" i="2" s="1"/>
  <c r="R253" i="2" a="1"/>
  <c r="R253" i="2" s="1"/>
  <c r="R254" i="2" a="1"/>
  <c r="R254" i="2" s="1"/>
  <c r="R255" i="2" a="1"/>
  <c r="R255" i="2" s="1"/>
  <c r="R256" i="2" a="1"/>
  <c r="R256" i="2" s="1"/>
  <c r="R257" i="2" a="1"/>
  <c r="R257" i="2" s="1"/>
  <c r="R258" i="2" a="1"/>
  <c r="R258" i="2" s="1"/>
  <c r="R259" i="2" a="1"/>
  <c r="R259" i="2" s="1"/>
  <c r="R260" i="2" a="1"/>
  <c r="R260" i="2" s="1"/>
  <c r="R261" i="2" a="1"/>
  <c r="R261" i="2" s="1"/>
  <c r="R262" i="2" a="1"/>
  <c r="R262" i="2" s="1"/>
  <c r="R263" i="2" a="1"/>
  <c r="R263" i="2" s="1"/>
  <c r="R264" i="2" a="1"/>
  <c r="R264" i="2" s="1"/>
  <c r="R265" i="2" a="1"/>
  <c r="R265" i="2" s="1"/>
  <c r="R266" i="2" a="1"/>
  <c r="R266" i="2" s="1"/>
  <c r="R267" i="2" a="1"/>
  <c r="R267" i="2" s="1"/>
  <c r="R268" i="2" a="1"/>
  <c r="R268" i="2" s="1"/>
  <c r="R269" i="2" a="1"/>
  <c r="R269" i="2" s="1"/>
  <c r="R270" i="2" a="1"/>
  <c r="R270" i="2" s="1"/>
  <c r="R271" i="2" a="1"/>
  <c r="R271" i="2" s="1"/>
  <c r="R272" i="2" a="1"/>
  <c r="R272" i="2" s="1"/>
  <c r="R273" i="2" a="1"/>
  <c r="R273" i="2" s="1"/>
  <c r="R274" i="2" a="1"/>
  <c r="R274" i="2" s="1"/>
  <c r="R275" i="2" a="1"/>
  <c r="R275" i="2" s="1"/>
  <c r="R276" i="2" a="1"/>
  <c r="R276" i="2" s="1"/>
  <c r="R277" i="2" a="1"/>
  <c r="R277" i="2" s="1"/>
  <c r="R278" i="2" a="1"/>
  <c r="R278" i="2" s="1"/>
  <c r="R279" i="2" a="1"/>
  <c r="R279" i="2" s="1"/>
  <c r="R280" i="2" a="1"/>
  <c r="R280" i="2" s="1"/>
  <c r="R281" i="2" a="1"/>
  <c r="R281" i="2" s="1"/>
  <c r="R282" i="2" a="1"/>
  <c r="R282" i="2" s="1"/>
  <c r="R283" i="2" a="1"/>
  <c r="R283" i="2" s="1"/>
  <c r="R284" i="2" a="1"/>
  <c r="R284" i="2" s="1"/>
  <c r="R285" i="2" a="1"/>
  <c r="R285" i="2" s="1"/>
  <c r="R286" i="2" a="1"/>
  <c r="R286" i="2" s="1"/>
  <c r="R287" i="2" a="1"/>
  <c r="R287" i="2" s="1"/>
  <c r="R288" i="2" a="1"/>
  <c r="R288" i="2" s="1"/>
  <c r="R289" i="2" a="1"/>
  <c r="R289" i="2" s="1"/>
  <c r="R290" i="2" a="1"/>
  <c r="R290" i="2" s="1"/>
  <c r="R291" i="2" a="1"/>
  <c r="R291" i="2" s="1"/>
  <c r="R292" i="2" a="1"/>
  <c r="R292" i="2" s="1"/>
  <c r="R293" i="2" a="1"/>
  <c r="R293" i="2" s="1"/>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s="1"/>
  <c r="R306" i="2" a="1"/>
  <c r="R306" i="2" s="1"/>
  <c r="R307" i="2" a="1"/>
  <c r="R307" i="2" s="1"/>
  <c r="R308" i="2" a="1"/>
  <c r="R308" i="2" s="1"/>
  <c r="R309" i="2" a="1"/>
  <c r="R309" i="2" s="1"/>
  <c r="R310" i="2" a="1"/>
  <c r="R310" i="2" s="1"/>
  <c r="R311" i="2" a="1"/>
  <c r="R311" i="2" s="1"/>
  <c r="R312" i="2" a="1"/>
  <c r="R312" i="2" s="1"/>
  <c r="R313" i="2" a="1"/>
  <c r="R313" i="2" s="1"/>
  <c r="R314" i="2" a="1"/>
  <c r="R314" i="2" s="1"/>
  <c r="R315" i="2" a="1"/>
  <c r="R315" i="2" s="1"/>
  <c r="R316" i="2" a="1"/>
  <c r="R316" i="2" s="1"/>
  <c r="R317" i="2" a="1"/>
  <c r="R317" i="2" s="1"/>
  <c r="R318" i="2" a="1"/>
  <c r="R318" i="2" s="1"/>
  <c r="R319" i="2" a="1"/>
  <c r="R319" i="2" s="1"/>
  <c r="R320" i="2" a="1"/>
  <c r="R320" i="2" s="1"/>
  <c r="R321" i="2" a="1"/>
  <c r="R321" i="2" s="1"/>
  <c r="R322" i="2" a="1"/>
  <c r="R322" i="2" s="1"/>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s="1"/>
  <c r="R342" i="2" a="1"/>
  <c r="R342" i="2" s="1"/>
  <c r="R343" i="2" a="1"/>
  <c r="R343" i="2" s="1"/>
  <c r="R344" i="2" a="1"/>
  <c r="R344" i="2" s="1"/>
  <c r="R345" i="2" a="1"/>
  <c r="R345" i="2" s="1"/>
  <c r="R346" i="2" a="1"/>
  <c r="R346" i="2" s="1"/>
  <c r="R347" i="2" a="1"/>
  <c r="R347" i="2" s="1"/>
  <c r="R348" i="2" a="1"/>
  <c r="R348" i="2" s="1"/>
  <c r="R349" i="2" a="1"/>
  <c r="R349" i="2" s="1"/>
  <c r="R350" i="2" a="1"/>
  <c r="R350" i="2" s="1"/>
  <c r="R351" i="2" a="1"/>
  <c r="R351" i="2" s="1"/>
  <c r="R352" i="2" a="1"/>
  <c r="R352" i="2" s="1"/>
  <c r="R353" i="2" a="1"/>
  <c r="R353" i="2" s="1"/>
  <c r="R354" i="2" a="1"/>
  <c r="R354" i="2" s="1"/>
  <c r="R355" i="2" a="1"/>
  <c r="R355" i="2" s="1"/>
  <c r="R356" i="2" a="1"/>
  <c r="R356" i="2" s="1"/>
  <c r="R357" i="2" a="1"/>
  <c r="R357" i="2" s="1"/>
  <c r="R358" i="2" a="1"/>
  <c r="R358" i="2" s="1"/>
  <c r="R359" i="2" a="1"/>
  <c r="R359" i="2" s="1"/>
  <c r="R360" i="2" a="1"/>
  <c r="R360" i="2" s="1"/>
  <c r="R361" i="2" a="1"/>
  <c r="R361" i="2" s="1"/>
  <c r="R362" i="2" a="1"/>
  <c r="R362" i="2" s="1"/>
  <c r="R363" i="2" a="1"/>
  <c r="R363" i="2" s="1"/>
  <c r="R364" i="2" a="1"/>
  <c r="R364" i="2" s="1"/>
  <c r="R365" i="2" a="1"/>
  <c r="R365" i="2" s="1"/>
  <c r="R366" i="2" a="1"/>
  <c r="R366" i="2" s="1"/>
  <c r="R367" i="2" a="1"/>
  <c r="R367" i="2" s="1"/>
  <c r="R368" i="2" a="1"/>
  <c r="R368" i="2" s="1"/>
  <c r="R369" i="2" a="1"/>
  <c r="R369" i="2" s="1"/>
  <c r="R370" i="2" a="1"/>
  <c r="R370" i="2" s="1"/>
  <c r="R371" i="2" a="1"/>
  <c r="R371" i="2" s="1"/>
  <c r="R372" i="2" a="1"/>
  <c r="R372" i="2" s="1"/>
  <c r="R373" i="2" a="1"/>
  <c r="R373" i="2" s="1"/>
  <c r="R374" i="2" a="1"/>
  <c r="R374" i="2" s="1"/>
  <c r="R375" i="2" a="1"/>
  <c r="R375" i="2" s="1"/>
  <c r="R376" i="2" a="1"/>
  <c r="R376" i="2" s="1"/>
  <c r="R377" i="2" a="1"/>
  <c r="R377" i="2" s="1"/>
  <c r="R378" i="2" a="1"/>
  <c r="R378" i="2" s="1"/>
  <c r="R379" i="2" a="1"/>
  <c r="R379" i="2" s="1"/>
  <c r="R380" i="2" a="1"/>
  <c r="R380" i="2" s="1"/>
  <c r="R381" i="2" a="1"/>
  <c r="R381" i="2" s="1"/>
  <c r="R382" i="2" a="1"/>
  <c r="R382" i="2" s="1"/>
  <c r="R383" i="2" a="1"/>
  <c r="R383" i="2" s="1"/>
  <c r="R384" i="2" a="1"/>
  <c r="R384" i="2" s="1"/>
  <c r="R385" i="2" a="1"/>
  <c r="R385" i="2" s="1"/>
  <c r="R386" i="2" a="1"/>
  <c r="R386" i="2" s="1"/>
  <c r="R387" i="2" a="1"/>
  <c r="R387" i="2" s="1"/>
  <c r="R388" i="2" a="1"/>
  <c r="R388" i="2" s="1"/>
  <c r="R389" i="2" a="1"/>
  <c r="R389" i="2" s="1"/>
  <c r="R390" i="2" a="1"/>
  <c r="R390" i="2" s="1"/>
  <c r="R391" i="2" a="1"/>
  <c r="R391" i="2" s="1"/>
  <c r="R392" i="2" a="1"/>
  <c r="R392" i="2" s="1"/>
  <c r="R393" i="2" a="1"/>
  <c r="R393" i="2" s="1"/>
  <c r="R394" i="2" a="1"/>
  <c r="R394" i="2" s="1"/>
  <c r="R395" i="2" a="1"/>
  <c r="R395" i="2" s="1"/>
  <c r="R396" i="2" a="1"/>
  <c r="R396" i="2" s="1"/>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s="1"/>
  <c r="R418" i="2" a="1"/>
  <c r="R418" i="2" s="1"/>
  <c r="R419" i="2" a="1"/>
  <c r="R419" i="2" s="1"/>
  <c r="R420" i="2" a="1"/>
  <c r="R420" i="2" s="1"/>
  <c r="R421" i="2" a="1"/>
  <c r="R421" i="2" s="1"/>
  <c r="R422" i="2" a="1"/>
  <c r="R422" i="2" s="1"/>
  <c r="R423" i="2" a="1"/>
  <c r="R423" i="2" s="1"/>
  <c r="R424" i="2" a="1"/>
  <c r="R424" i="2" s="1"/>
  <c r="R425" i="2" a="1"/>
  <c r="R425" i="2" s="1"/>
  <c r="R426" i="2" a="1"/>
  <c r="R426" i="2" s="1"/>
  <c r="R427" i="2" a="1"/>
  <c r="R427" i="2" s="1"/>
  <c r="R428" i="2" a="1"/>
  <c r="R428" i="2" s="1"/>
  <c r="R429" i="2" a="1"/>
  <c r="R429" i="2" s="1"/>
  <c r="R430" i="2" a="1"/>
  <c r="R430" i="2" s="1"/>
  <c r="R431" i="2" a="1"/>
  <c r="R431" i="2" s="1"/>
  <c r="R432" i="2" a="1"/>
  <c r="R432" i="2" s="1"/>
  <c r="R433" i="2" a="1"/>
  <c r="R433" i="2" s="1"/>
  <c r="R434" i="2" a="1"/>
  <c r="R434" i="2" s="1"/>
  <c r="R435" i="2" a="1"/>
  <c r="R435" i="2" s="1"/>
  <c r="R436" i="2" a="1"/>
  <c r="R436" i="2" s="1"/>
  <c r="R437" i="2" a="1"/>
  <c r="R437" i="2" s="1"/>
  <c r="R438" i="2" a="1"/>
  <c r="R438" i="2" s="1"/>
  <c r="R439" i="2" a="1"/>
  <c r="R439" i="2" s="1"/>
  <c r="R440" i="2" a="1"/>
  <c r="R440" i="2" s="1"/>
  <c r="R441" i="2" a="1"/>
  <c r="R441" i="2" s="1"/>
  <c r="R442" i="2" a="1"/>
  <c r="R442" i="2" s="1"/>
  <c r="R443" i="2" a="1"/>
  <c r="R443" i="2" s="1"/>
  <c r="R444" i="2" a="1"/>
  <c r="R444" i="2" s="1"/>
  <c r="R445" i="2" a="1"/>
  <c r="R445" i="2" s="1"/>
  <c r="R446" i="2" a="1"/>
  <c r="R446" i="2" s="1"/>
  <c r="R447" i="2" a="1"/>
  <c r="R447" i="2" s="1"/>
  <c r="R448" i="2" a="1"/>
  <c r="R448" i="2" s="1"/>
  <c r="R449" i="2" a="1"/>
  <c r="R449" i="2" s="1"/>
  <c r="R450" i="2" a="1"/>
  <c r="R450" i="2" s="1"/>
  <c r="R451" i="2" a="1"/>
  <c r="R451" i="2" s="1"/>
  <c r="R452" i="2" a="1"/>
  <c r="R452" i="2" s="1"/>
  <c r="R453" i="2" a="1"/>
  <c r="R453" i="2" s="1"/>
  <c r="R454" i="2" a="1"/>
  <c r="R454" i="2" s="1"/>
  <c r="R455" i="2" a="1"/>
  <c r="R455" i="2" s="1"/>
  <c r="R456" i="2" a="1"/>
  <c r="R456" i="2" s="1"/>
  <c r="R457" i="2" a="1"/>
  <c r="R457" i="2" s="1"/>
  <c r="R458" i="2" a="1"/>
  <c r="R458" i="2" s="1"/>
  <c r="R459" i="2" a="1"/>
  <c r="R459" i="2" s="1"/>
  <c r="R460" i="2" a="1"/>
  <c r="R460" i="2" s="1"/>
  <c r="R461" i="2" a="1"/>
  <c r="R461" i="2" s="1"/>
  <c r="R462" i="2" a="1"/>
  <c r="R462" i="2" s="1"/>
  <c r="R463" i="2" a="1"/>
  <c r="R463" i="2" s="1"/>
  <c r="R464" i="2" a="1"/>
  <c r="R464" i="2" s="1"/>
  <c r="R465" i="2" a="1"/>
  <c r="R465" i="2" s="1"/>
  <c r="R466" i="2" a="1"/>
  <c r="R466" i="2" s="1"/>
  <c r="R467" i="2" a="1"/>
  <c r="R467" i="2" s="1"/>
  <c r="R468" i="2" a="1"/>
  <c r="R468" i="2" s="1"/>
  <c r="R469" i="2" a="1"/>
  <c r="R469" i="2" s="1"/>
  <c r="R470" i="2" a="1"/>
  <c r="R470" i="2" s="1"/>
  <c r="R471" i="2" a="1"/>
  <c r="R471" i="2" s="1"/>
  <c r="R472" i="2" a="1"/>
  <c r="R472" i="2" s="1"/>
  <c r="R473" i="2" a="1"/>
  <c r="R473" i="2" s="1"/>
  <c r="R474" i="2" a="1"/>
  <c r="R474" i="2" s="1"/>
  <c r="R475" i="2" a="1"/>
  <c r="R475" i="2" s="1"/>
  <c r="R476" i="2" a="1"/>
  <c r="R476" i="2" s="1"/>
  <c r="R477" i="2" a="1"/>
  <c r="R477" i="2" s="1"/>
  <c r="R478" i="2" a="1"/>
  <c r="R478" i="2" s="1"/>
  <c r="R479" i="2" a="1"/>
  <c r="R479" i="2" s="1"/>
  <c r="R480" i="2" a="1"/>
  <c r="R480" i="2" s="1"/>
  <c r="R481" i="2" a="1"/>
  <c r="R481" i="2" s="1"/>
  <c r="R482" i="2" a="1"/>
  <c r="R482" i="2" s="1"/>
  <c r="R483" i="2" a="1"/>
  <c r="R483" i="2" s="1"/>
  <c r="R484" i="2" a="1"/>
  <c r="R484" i="2" s="1"/>
  <c r="R485" i="2" a="1"/>
  <c r="R485" i="2" s="1"/>
  <c r="R486" i="2" a="1"/>
  <c r="R486" i="2" s="1"/>
  <c r="R487" i="2" a="1"/>
  <c r="R487" i="2" s="1"/>
  <c r="R488" i="2" a="1"/>
  <c r="R488" i="2" s="1"/>
  <c r="R489" i="2" a="1"/>
  <c r="R489" i="2" s="1"/>
  <c r="R490" i="2" a="1"/>
  <c r="R490" i="2" s="1"/>
  <c r="R491" i="2" a="1"/>
  <c r="R491" i="2" s="1"/>
  <c r="R492" i="2" a="1"/>
  <c r="R492" i="2" s="1"/>
  <c r="R493" i="2" a="1"/>
  <c r="R493" i="2" s="1"/>
  <c r="R494" i="2" a="1"/>
  <c r="R494" i="2" s="1"/>
  <c r="R495" i="2" a="1"/>
  <c r="R495" i="2" s="1"/>
  <c r="R496" i="2" a="1"/>
  <c r="R496" i="2" s="1"/>
  <c r="R497" i="2" a="1"/>
  <c r="R497" i="2" s="1"/>
  <c r="R498" i="2" a="1"/>
  <c r="R498" i="2" s="1"/>
  <c r="R499" i="2" a="1"/>
  <c r="R499" i="2" s="1"/>
  <c r="R500" i="2" a="1"/>
  <c r="R500" i="2" s="1"/>
  <c r="R501" i="2" a="1"/>
  <c r="R501" i="2" s="1"/>
  <c r="R502" i="2" a="1"/>
  <c r="R502" i="2" s="1"/>
  <c r="R503" i="2" a="1"/>
  <c r="R503" i="2" s="1"/>
  <c r="R504" i="2" a="1"/>
  <c r="R504" i="2" s="1"/>
  <c r="R505" i="2" a="1"/>
  <c r="R505" i="2" s="1"/>
  <c r="R506" i="2" a="1"/>
  <c r="R506" i="2" s="1"/>
  <c r="R507" i="2" a="1"/>
  <c r="R507" i="2" s="1"/>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s="1"/>
  <c r="R519" i="2" a="1"/>
  <c r="R519" i="2" s="1"/>
  <c r="R520" i="2" a="1"/>
  <c r="R520" i="2" s="1"/>
  <c r="R521" i="2" a="1"/>
  <c r="R521" i="2" s="1"/>
  <c r="R522" i="2" a="1"/>
  <c r="R522" i="2" s="1"/>
  <c r="R523" i="2" a="1"/>
  <c r="R523" i="2" s="1"/>
  <c r="R524" i="2" a="1"/>
  <c r="R524" i="2" s="1"/>
  <c r="R525" i="2" a="1"/>
  <c r="R525" i="2" s="1"/>
  <c r="R526" i="2" a="1"/>
  <c r="R526" i="2" s="1"/>
  <c r="R527" i="2" a="1"/>
  <c r="R527" i="2" s="1"/>
  <c r="R528" i="2" a="1"/>
  <c r="R528" i="2" s="1"/>
  <c r="R529" i="2" a="1"/>
  <c r="R529" i="2" s="1"/>
  <c r="R530" i="2" a="1"/>
  <c r="R530" i="2" s="1"/>
  <c r="R531" i="2" a="1"/>
  <c r="R531" i="2" s="1"/>
  <c r="R532" i="2" a="1"/>
  <c r="R532" i="2" s="1"/>
  <c r="R533" i="2" a="1"/>
  <c r="R533" i="2" s="1"/>
  <c r="R534" i="2" a="1"/>
  <c r="R534" i="2" s="1"/>
  <c r="R535" i="2" a="1"/>
  <c r="R535" i="2" s="1"/>
  <c r="R536" i="2" a="1"/>
  <c r="R536" i="2" s="1"/>
  <c r="R537" i="2" a="1"/>
  <c r="R537" i="2" s="1"/>
  <c r="R538" i="2" a="1"/>
  <c r="R538" i="2" s="1"/>
  <c r="R539" i="2" a="1"/>
  <c r="R539" i="2" s="1"/>
  <c r="R540" i="2" a="1"/>
  <c r="R540" i="2" s="1"/>
  <c r="R541" i="2" a="1"/>
  <c r="R541" i="2" s="1"/>
  <c r="R542" i="2" a="1"/>
  <c r="R542" i="2" s="1"/>
  <c r="R543" i="2" a="1"/>
  <c r="R543" i="2" s="1"/>
  <c r="R544" i="2" a="1"/>
  <c r="R544" i="2" s="1"/>
  <c r="R545" i="2" a="1"/>
  <c r="R545" i="2" s="1"/>
  <c r="R546" i="2" a="1"/>
  <c r="R546" i="2" s="1"/>
  <c r="R547" i="2" a="1"/>
  <c r="R547" i="2" s="1"/>
  <c r="R548" i="2" a="1"/>
  <c r="R548" i="2" s="1"/>
  <c r="R549" i="2" a="1"/>
  <c r="R549" i="2" s="1"/>
  <c r="R550" i="2" a="1"/>
  <c r="R550" i="2" s="1"/>
  <c r="R551" i="2" a="1"/>
  <c r="R551" i="2" s="1"/>
  <c r="R552" i="2" a="1"/>
  <c r="R552" i="2" s="1"/>
  <c r="R553" i="2" a="1"/>
  <c r="R553" i="2" s="1"/>
  <c r="R554" i="2" a="1"/>
  <c r="R554" i="2" s="1"/>
  <c r="R555" i="2" a="1"/>
  <c r="R555" i="2" s="1"/>
  <c r="R556" i="2" a="1"/>
  <c r="R556" i="2" s="1"/>
  <c r="R557" i="2" a="1"/>
  <c r="R557" i="2" s="1"/>
  <c r="R558" i="2" a="1"/>
  <c r="R558" i="2" s="1"/>
  <c r="R559" i="2" a="1"/>
  <c r="R559" i="2" s="1"/>
  <c r="R560" i="2" a="1"/>
  <c r="R560" i="2" s="1"/>
  <c r="R561" i="2" a="1"/>
  <c r="R561" i="2" s="1"/>
  <c r="R562" i="2" a="1"/>
  <c r="R562" i="2" s="1"/>
  <c r="R563" i="2" a="1"/>
  <c r="R563" i="2" s="1"/>
  <c r="R564" i="2" a="1"/>
  <c r="R564" i="2" s="1"/>
  <c r="R565" i="2" a="1"/>
  <c r="R565" i="2" s="1"/>
  <c r="R566" i="2" a="1"/>
  <c r="R566" i="2" s="1"/>
  <c r="R567" i="2" a="1"/>
  <c r="R567" i="2" s="1"/>
  <c r="R568" i="2" a="1"/>
  <c r="R568" i="2" s="1"/>
  <c r="R569" i="2" a="1"/>
  <c r="R569" i="2" s="1"/>
  <c r="R570" i="2" a="1"/>
  <c r="R570" i="2" s="1"/>
  <c r="R571" i="2" a="1"/>
  <c r="R571" i="2" s="1"/>
  <c r="R572" i="2" a="1"/>
  <c r="R572" i="2" s="1"/>
  <c r="R573" i="2" a="1"/>
  <c r="R573" i="2" s="1"/>
  <c r="R574" i="2" a="1"/>
  <c r="R574" i="2" s="1"/>
  <c r="R575" i="2" a="1"/>
  <c r="R575" i="2" s="1"/>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s="1"/>
  <c r="R605" i="2" a="1"/>
  <c r="R605" i="2" s="1"/>
  <c r="R606" i="2" a="1"/>
  <c r="R606" i="2" s="1"/>
  <c r="R607" i="2" a="1"/>
  <c r="R607" i="2" s="1"/>
  <c r="R608" i="2" a="1"/>
  <c r="R608" i="2" s="1"/>
  <c r="R609" i="2" a="1"/>
  <c r="R609" i="2" s="1"/>
  <c r="R610" i="2" a="1"/>
  <c r="R610" i="2" s="1"/>
  <c r="R611" i="2" a="1"/>
  <c r="R611" i="2" s="1"/>
  <c r="R612" i="2" a="1"/>
  <c r="R612" i="2" s="1"/>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s="1"/>
  <c r="R625" i="2" a="1"/>
  <c r="R625" i="2" s="1"/>
  <c r="R626" i="2" a="1"/>
  <c r="R626" i="2" s="1"/>
  <c r="R627" i="2" a="1"/>
  <c r="R627" i="2" s="1"/>
  <c r="R628" i="2" a="1"/>
  <c r="R628" i="2" s="1"/>
  <c r="R629" i="2" a="1"/>
  <c r="R629" i="2" s="1"/>
  <c r="R630" i="2" a="1"/>
  <c r="R630" i="2" s="1"/>
  <c r="R631" i="2" a="1"/>
  <c r="R631" i="2" s="1"/>
  <c r="R632" i="2" a="1"/>
  <c r="R632" i="2" s="1"/>
  <c r="R633" i="2" a="1"/>
  <c r="R633" i="2" s="1"/>
  <c r="R634" i="2" a="1"/>
  <c r="R634" i="2" s="1"/>
  <c r="R635" i="2" a="1"/>
  <c r="R635" i="2" s="1"/>
  <c r="R636" i="2" a="1"/>
  <c r="R636" i="2" s="1"/>
  <c r="R637" i="2" a="1"/>
  <c r="R637" i="2" s="1"/>
  <c r="R638" i="2" a="1"/>
  <c r="R638" i="2" s="1"/>
  <c r="R639" i="2" a="1"/>
  <c r="R639" i="2" s="1"/>
  <c r="R640" i="2" a="1"/>
  <c r="R640" i="2" s="1"/>
  <c r="R641" i="2" a="1"/>
  <c r="R641" i="2" s="1"/>
  <c r="R642" i="2" a="1"/>
  <c r="R642" i="2" s="1"/>
  <c r="R643" i="2" a="1"/>
  <c r="R643" i="2" s="1"/>
  <c r="R644" i="2" a="1"/>
  <c r="R644" i="2" s="1"/>
  <c r="R645" i="2" a="1"/>
  <c r="R645" i="2" s="1"/>
  <c r="R646" i="2" a="1"/>
  <c r="R646" i="2" s="1"/>
  <c r="R647" i="2" a="1"/>
  <c r="R647" i="2" s="1"/>
  <c r="R648" i="2" a="1"/>
  <c r="R648" i="2" s="1"/>
  <c r="R649" i="2" a="1"/>
  <c r="R649" i="2" s="1"/>
  <c r="R650" i="2" a="1"/>
  <c r="R650" i="2" s="1"/>
  <c r="R651" i="2" a="1"/>
  <c r="R651" i="2" s="1"/>
  <c r="R652" i="2" a="1"/>
  <c r="R652" i="2" s="1"/>
  <c r="R653" i="2" a="1"/>
  <c r="R653" i="2" s="1"/>
  <c r="R654" i="2" a="1"/>
  <c r="R654" i="2" s="1"/>
  <c r="R655" i="2" a="1"/>
  <c r="R655" i="2" s="1"/>
  <c r="R656" i="2" a="1"/>
  <c r="R656" i="2" s="1"/>
  <c r="R657" i="2" a="1"/>
  <c r="R657" i="2" s="1"/>
  <c r="R658" i="2" a="1"/>
  <c r="R658" i="2" s="1"/>
  <c r="R659" i="2" a="1"/>
  <c r="R659" i="2" s="1"/>
  <c r="R660" i="2" a="1"/>
  <c r="R660" i="2" s="1"/>
  <c r="R661" i="2" a="1"/>
  <c r="R661" i="2" s="1"/>
  <c r="R662" i="2" a="1"/>
  <c r="R662" i="2" s="1"/>
  <c r="R663" i="2" a="1"/>
  <c r="R663" i="2" s="1"/>
  <c r="R664" i="2" a="1"/>
  <c r="R664" i="2" s="1"/>
  <c r="R665" i="2" a="1"/>
  <c r="R665" i="2" s="1"/>
  <c r="R666" i="2" a="1"/>
  <c r="R666" i="2" s="1"/>
  <c r="R667" i="2" a="1"/>
  <c r="R667" i="2" s="1"/>
  <c r="R668" i="2" a="1"/>
  <c r="R668" i="2" s="1"/>
  <c r="R669" i="2" a="1"/>
  <c r="R669" i="2" s="1"/>
  <c r="R670" i="2" a="1"/>
  <c r="R670" i="2" s="1"/>
  <c r="R671" i="2" a="1"/>
  <c r="R671" i="2" s="1"/>
  <c r="R672" i="2" a="1"/>
  <c r="R672" i="2" s="1"/>
  <c r="R673" i="2" a="1"/>
  <c r="R673" i="2" s="1"/>
  <c r="R674" i="2" a="1"/>
  <c r="R674" i="2" s="1"/>
  <c r="R675" i="2" a="1"/>
  <c r="R675" i="2" s="1"/>
  <c r="R676" i="2" a="1"/>
  <c r="R676" i="2" s="1"/>
  <c r="R677" i="2" a="1"/>
  <c r="R677" i="2" s="1"/>
  <c r="R678" i="2" a="1"/>
  <c r="R678" i="2" s="1"/>
  <c r="R679" i="2" a="1"/>
  <c r="R679" i="2" s="1"/>
  <c r="R680" i="2" a="1"/>
  <c r="R680" i="2" s="1"/>
  <c r="R681" i="2" a="1"/>
  <c r="R681" i="2" s="1"/>
  <c r="R682" i="2" a="1"/>
  <c r="R682" i="2" s="1"/>
  <c r="R683" i="2" a="1"/>
  <c r="R683" i="2" s="1"/>
  <c r="R684" i="2" a="1"/>
  <c r="R684" i="2" s="1"/>
  <c r="R685" i="2" a="1"/>
  <c r="R685" i="2" s="1"/>
  <c r="R686" i="2" a="1"/>
  <c r="R686" i="2" s="1"/>
  <c r="R687" i="2" a="1"/>
  <c r="R687" i="2" s="1"/>
  <c r="R688" i="2" a="1"/>
  <c r="R688" i="2" s="1"/>
  <c r="R689" i="2" a="1"/>
  <c r="R689" i="2" s="1"/>
  <c r="R690" i="2" a="1"/>
  <c r="R690" i="2" s="1"/>
  <c r="R691" i="2" a="1"/>
  <c r="R691" i="2" s="1"/>
  <c r="R692" i="2" a="1"/>
  <c r="R692" i="2" s="1"/>
  <c r="R693" i="2" a="1"/>
  <c r="R693" i="2" s="1"/>
  <c r="R694" i="2" a="1"/>
  <c r="R694" i="2" s="1"/>
  <c r="R695" i="2" a="1"/>
  <c r="R695" i="2" s="1"/>
  <c r="R696" i="2" a="1"/>
  <c r="R696" i="2" s="1"/>
  <c r="R697" i="2" a="1"/>
  <c r="R697" i="2" s="1"/>
  <c r="R698" i="2" a="1"/>
  <c r="R698" i="2" s="1"/>
  <c r="R699" i="2" a="1"/>
  <c r="R699" i="2" s="1"/>
  <c r="R700" i="2" a="1"/>
  <c r="R700" i="2" s="1"/>
  <c r="R701" i="2" a="1"/>
  <c r="R701" i="2" s="1"/>
  <c r="R702" i="2" a="1"/>
  <c r="R702" i="2" s="1"/>
  <c r="R703" i="2" a="1"/>
  <c r="R703" i="2" s="1"/>
  <c r="R704" i="2" a="1"/>
  <c r="R704" i="2" s="1"/>
  <c r="R705" i="2" a="1"/>
  <c r="R705" i="2" s="1"/>
  <c r="R706" i="2" a="1"/>
  <c r="R706" i="2" s="1"/>
  <c r="R707" i="2" a="1"/>
  <c r="R707" i="2" s="1"/>
  <c r="R708" i="2" a="1"/>
  <c r="R708" i="2" s="1"/>
  <c r="R709" i="2" a="1"/>
  <c r="R709" i="2" s="1"/>
  <c r="R710" i="2" a="1"/>
  <c r="R710" i="2" s="1"/>
  <c r="R711" i="2" a="1"/>
  <c r="R711" i="2" s="1"/>
  <c r="R712" i="2" a="1"/>
  <c r="R712" i="2" s="1"/>
  <c r="R713" i="2" a="1"/>
  <c r="R713" i="2" s="1"/>
  <c r="R714" i="2" a="1"/>
  <c r="R714" i="2" s="1"/>
  <c r="R715" i="2" a="1"/>
  <c r="R715" i="2" s="1"/>
  <c r="R716" i="2" a="1"/>
  <c r="R716" i="2" s="1"/>
  <c r="R717" i="2" a="1"/>
  <c r="R717" i="2" s="1"/>
  <c r="R718" i="2" a="1"/>
  <c r="R718" i="2" s="1"/>
  <c r="R719" i="2" a="1"/>
  <c r="R719" i="2" s="1"/>
  <c r="R720" i="2" a="1"/>
  <c r="R720" i="2" s="1"/>
  <c r="R721" i="2" a="1"/>
  <c r="R721" i="2" s="1"/>
  <c r="R722" i="2" a="1"/>
  <c r="R722" i="2" s="1"/>
  <c r="R723" i="2" a="1"/>
  <c r="R723" i="2" s="1"/>
  <c r="R724" i="2" a="1"/>
  <c r="R724" i="2" s="1"/>
  <c r="R725" i="2" a="1"/>
  <c r="R725" i="2" s="1"/>
  <c r="R726" i="2" a="1"/>
  <c r="R726" i="2" s="1"/>
  <c r="R727" i="2" a="1"/>
  <c r="R727" i="2" s="1"/>
  <c r="R728" i="2" a="1"/>
  <c r="R728" i="2" s="1"/>
  <c r="R729" i="2" a="1"/>
  <c r="R729" i="2" s="1"/>
  <c r="R730" i="2" a="1"/>
  <c r="R730" i="2" s="1"/>
  <c r="R731" i="2" a="1"/>
  <c r="R731" i="2" s="1"/>
  <c r="R732" i="2" a="1"/>
  <c r="R732" i="2" s="1"/>
  <c r="R733" i="2" a="1"/>
  <c r="R733" i="2" s="1"/>
  <c r="R734" i="2" a="1"/>
  <c r="R734" i="2" s="1"/>
  <c r="R735" i="2" a="1"/>
  <c r="R735" i="2" s="1"/>
  <c r="R736" i="2" a="1"/>
  <c r="R736" i="2" s="1"/>
  <c r="R737" i="2" a="1"/>
  <c r="R737" i="2" s="1"/>
  <c r="R738" i="2" a="1"/>
  <c r="R738" i="2" s="1"/>
  <c r="R739" i="2" a="1"/>
  <c r="R739" i="2" s="1"/>
  <c r="R740" i="2" a="1"/>
  <c r="R740" i="2" s="1"/>
  <c r="R741" i="2" a="1"/>
  <c r="R741" i="2" s="1"/>
  <c r="R742" i="2" a="1"/>
  <c r="R742" i="2" s="1"/>
  <c r="R743" i="2" a="1"/>
  <c r="R743" i="2" s="1"/>
  <c r="R744" i="2" a="1"/>
  <c r="R744" i="2" s="1"/>
  <c r="R745" i="2" a="1"/>
  <c r="R745" i="2" s="1"/>
  <c r="R746" i="2" a="1"/>
  <c r="R746" i="2" s="1"/>
  <c r="R747" i="2" a="1"/>
  <c r="R747" i="2" s="1"/>
  <c r="R748" i="2" a="1"/>
  <c r="R748" i="2" s="1"/>
  <c r="R749" i="2" a="1"/>
  <c r="R749" i="2" s="1"/>
  <c r="R750" i="2" a="1"/>
  <c r="R750" i="2" s="1"/>
  <c r="R751" i="2" a="1"/>
  <c r="R751" i="2" s="1"/>
  <c r="R752" i="2" a="1"/>
  <c r="R752" i="2" s="1"/>
  <c r="R753" i="2" a="1"/>
  <c r="R753" i="2" s="1"/>
  <c r="R754" i="2" a="1"/>
  <c r="R754" i="2" s="1"/>
  <c r="R755" i="2" a="1"/>
  <c r="R755" i="2" s="1"/>
  <c r="R756" i="2" a="1"/>
  <c r="R756" i="2" s="1"/>
  <c r="R757" i="2" a="1"/>
  <c r="R757" i="2" s="1"/>
  <c r="R758" i="2" a="1"/>
  <c r="R758" i="2" s="1"/>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s="1"/>
  <c r="R770" i="2" a="1"/>
  <c r="R770" i="2" s="1"/>
  <c r="R771" i="2" a="1"/>
  <c r="R771" i="2" s="1"/>
  <c r="R772" i="2" a="1"/>
  <c r="R772" i="2" s="1"/>
  <c r="R773" i="2" a="1"/>
  <c r="R773" i="2" s="1"/>
  <c r="R774" i="2" a="1"/>
  <c r="R774" i="2" s="1"/>
  <c r="R775" i="2" a="1"/>
  <c r="R775" i="2" s="1"/>
  <c r="R776" i="2" a="1"/>
  <c r="R776" i="2" s="1"/>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s="1"/>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s="1"/>
  <c r="R806" i="2" a="1"/>
  <c r="R806" i="2" s="1"/>
  <c r="R807" i="2" a="1"/>
  <c r="R807" i="2" s="1"/>
  <c r="R808" i="2" a="1"/>
  <c r="R808" i="2" s="1"/>
  <c r="R809" i="2" a="1"/>
  <c r="R809" i="2" s="1"/>
  <c r="R810" i="2" a="1"/>
  <c r="R810" i="2" s="1"/>
  <c r="R811" i="2" a="1"/>
  <c r="R811" i="2" s="1"/>
  <c r="R812" i="2" a="1"/>
  <c r="R812" i="2" s="1"/>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s="1"/>
  <c r="R841" i="2" a="1"/>
  <c r="R841" i="2" s="1"/>
  <c r="R842" i="2" a="1"/>
  <c r="R842" i="2" s="1"/>
  <c r="R843" i="2" a="1"/>
  <c r="R843" i="2" s="1"/>
  <c r="R844" i="2" a="1"/>
  <c r="R844" i="2" s="1"/>
  <c r="R845" i="2" a="1"/>
  <c r="R845" i="2" s="1"/>
  <c r="R846" i="2" a="1"/>
  <c r="R846" i="2" s="1"/>
  <c r="R847" i="2" a="1"/>
  <c r="R847" i="2" s="1"/>
  <c r="R848" i="2" a="1"/>
  <c r="R848" i="2" s="1"/>
  <c r="R849" i="2" a="1"/>
  <c r="R849" i="2" s="1"/>
  <c r="R850" i="2" a="1"/>
  <c r="R850" i="2" s="1"/>
  <c r="R851" i="2" a="1"/>
  <c r="R851" i="2" s="1"/>
  <c r="R852" i="2" a="1"/>
  <c r="R852" i="2" s="1"/>
  <c r="R853" i="2" a="1"/>
  <c r="R853" i="2" s="1"/>
  <c r="R854" i="2" a="1"/>
  <c r="R854" i="2" s="1"/>
  <c r="R855" i="2" a="1"/>
  <c r="R855" i="2" s="1"/>
  <c r="R856" i="2" a="1"/>
  <c r="R856" i="2" s="1"/>
  <c r="R857" i="2" a="1"/>
  <c r="R857" i="2" s="1"/>
  <c r="R858" i="2" a="1"/>
  <c r="R858" i="2" s="1"/>
  <c r="R859" i="2" a="1"/>
  <c r="R859" i="2" s="1"/>
  <c r="R860" i="2" a="1"/>
  <c r="R860" i="2" s="1"/>
  <c r="R861" i="2" a="1"/>
  <c r="R861" i="2" s="1"/>
  <c r="R862" i="2" a="1"/>
  <c r="R862" i="2" s="1"/>
  <c r="R863" i="2" a="1"/>
  <c r="R863" i="2" s="1"/>
  <c r="R864" i="2" a="1"/>
  <c r="R864" i="2" s="1"/>
  <c r="R865" i="2" a="1"/>
  <c r="R865" i="2" s="1"/>
  <c r="R866" i="2" a="1"/>
  <c r="R866" i="2" s="1"/>
  <c r="R867" i="2" a="1"/>
  <c r="R867" i="2" s="1"/>
  <c r="R868" i="2" a="1"/>
  <c r="R868" i="2" s="1"/>
  <c r="R869" i="2" a="1"/>
  <c r="R869" i="2" s="1"/>
  <c r="R870" i="2" a="1"/>
  <c r="R870" i="2" s="1"/>
  <c r="R871" i="2" a="1"/>
  <c r="R871" i="2" s="1"/>
  <c r="R872" i="2" a="1"/>
  <c r="R872" i="2" s="1"/>
  <c r="R873" i="2" a="1"/>
  <c r="R873" i="2" s="1"/>
  <c r="R874" i="2" a="1"/>
  <c r="R874" i="2" s="1"/>
  <c r="R875" i="2" a="1"/>
  <c r="R875" i="2" s="1"/>
  <c r="R876" i="2" a="1"/>
  <c r="R876" i="2" s="1"/>
  <c r="R877" i="2" a="1"/>
  <c r="R877" i="2" s="1"/>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s="1"/>
  <c r="R894" i="2" a="1"/>
  <c r="R894" i="2" s="1"/>
  <c r="R895" i="2" a="1"/>
  <c r="R895" i="2" s="1"/>
  <c r="R896" i="2" a="1"/>
  <c r="R896" i="2" s="1"/>
  <c r="R897" i="2" a="1"/>
  <c r="R897" i="2" s="1"/>
  <c r="R898" i="2" a="1"/>
  <c r="R898" i="2" s="1"/>
  <c r="R899" i="2" a="1"/>
  <c r="R899" i="2" s="1"/>
  <c r="R900" i="2" a="1"/>
  <c r="R900" i="2" s="1"/>
  <c r="R901" i="2" a="1"/>
  <c r="R901" i="2" s="1"/>
  <c r="R902" i="2" a="1"/>
  <c r="R902" i="2" s="1"/>
  <c r="R903" i="2" a="1"/>
  <c r="R903" i="2" s="1"/>
  <c r="R904" i="2" a="1"/>
  <c r="R904" i="2" s="1"/>
  <c r="R905" i="2" a="1"/>
  <c r="R905" i="2" s="1"/>
  <c r="R906" i="2" a="1"/>
  <c r="R906" i="2" s="1"/>
  <c r="R907" i="2" a="1"/>
  <c r="R907" i="2" s="1"/>
  <c r="R908" i="2" a="1"/>
  <c r="R908" i="2" s="1"/>
  <c r="R909" i="2" a="1"/>
  <c r="R909" i="2" s="1"/>
  <c r="R910" i="2" a="1"/>
  <c r="R910" i="2" s="1"/>
  <c r="R911" i="2" a="1"/>
  <c r="R911" i="2" s="1"/>
  <c r="R912" i="2" a="1"/>
  <c r="R912" i="2" s="1"/>
  <c r="R913" i="2" a="1"/>
  <c r="R913" i="2" s="1"/>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s="1"/>
  <c r="R925" i="2" a="1"/>
  <c r="R925" i="2" s="1"/>
  <c r="R926" i="2" a="1"/>
  <c r="R926" i="2" s="1"/>
  <c r="R927" i="2" a="1"/>
  <c r="R927" i="2" s="1"/>
  <c r="R928" i="2" a="1"/>
  <c r="R928" i="2" s="1"/>
  <c r="R929" i="2" a="1"/>
  <c r="R929" i="2" s="1"/>
  <c r="R930" i="2" a="1"/>
  <c r="R930" i="2" s="1"/>
  <c r="R931" i="2" a="1"/>
  <c r="R931" i="2" s="1"/>
  <c r="R932" i="2" a="1"/>
  <c r="R932" i="2" s="1"/>
  <c r="R933" i="2" a="1"/>
  <c r="R933" i="2" s="1"/>
  <c r="R934" i="2" a="1"/>
  <c r="R934" i="2" s="1"/>
  <c r="R935" i="2" a="1"/>
  <c r="R935" i="2" s="1"/>
  <c r="R936" i="2" a="1"/>
  <c r="R936" i="2" s="1"/>
  <c r="R937" i="2" a="1"/>
  <c r="R937" i="2" s="1"/>
  <c r="R938" i="2" a="1"/>
  <c r="R938" i="2" s="1"/>
  <c r="R939" i="2" a="1"/>
  <c r="R939" i="2" s="1"/>
  <c r="R940" i="2" a="1"/>
  <c r="R940" i="2" s="1"/>
  <c r="R941" i="2" a="1"/>
  <c r="R941" i="2" s="1"/>
  <c r="R942" i="2" a="1"/>
  <c r="R942" i="2" s="1"/>
  <c r="R943" i="2" a="1"/>
  <c r="R943" i="2" s="1"/>
  <c r="R944" i="2" a="1"/>
  <c r="R944" i="2" s="1"/>
  <c r="R945" i="2" a="1"/>
  <c r="R945" i="2" s="1"/>
  <c r="R946" i="2" a="1"/>
  <c r="R946" i="2" s="1"/>
  <c r="R947" i="2" a="1"/>
  <c r="R947" i="2" s="1"/>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s="1"/>
  <c r="R959" i="2" a="1"/>
  <c r="R959" i="2" s="1"/>
  <c r="R960" i="2" a="1"/>
  <c r="R960" i="2" s="1"/>
  <c r="R961" i="2" a="1"/>
  <c r="R961" i="2" s="1"/>
  <c r="R962" i="2" a="1"/>
  <c r="R962" i="2" s="1"/>
  <c r="R963" i="2" a="1"/>
  <c r="R963" i="2" s="1"/>
  <c r="R964" i="2" a="1"/>
  <c r="R964" i="2" s="1"/>
  <c r="R965" i="2" a="1"/>
  <c r="R965" i="2" s="1"/>
  <c r="R966" i="2" a="1"/>
  <c r="R966" i="2" s="1"/>
  <c r="R967" i="2" a="1"/>
  <c r="R967" i="2" s="1"/>
  <c r="R968" i="2" a="1"/>
  <c r="R968" i="2" s="1"/>
  <c r="R969" i="2" a="1"/>
  <c r="R969" i="2" s="1"/>
  <c r="R970" i="2" a="1"/>
  <c r="R970" i="2" s="1"/>
  <c r="R971" i="2" a="1"/>
  <c r="R971" i="2" s="1"/>
  <c r="R972" i="2" a="1"/>
  <c r="R972" i="2" s="1"/>
  <c r="R973" i="2" a="1"/>
  <c r="R973" i="2" s="1"/>
  <c r="R974" i="2" a="1"/>
  <c r="R974" i="2" s="1"/>
  <c r="R975" i="2" a="1"/>
  <c r="R975" i="2" s="1"/>
  <c r="R976" i="2" a="1"/>
  <c r="R976" i="2" s="1"/>
  <c r="R977" i="2" a="1"/>
  <c r="R977" i="2" s="1"/>
  <c r="R978" i="2" a="1"/>
  <c r="R978" i="2" s="1"/>
  <c r="R979" i="2" a="1"/>
  <c r="R979" i="2" s="1"/>
  <c r="R980" i="2" a="1"/>
  <c r="R980" i="2" s="1"/>
  <c r="R981" i="2" a="1"/>
  <c r="R981" i="2" s="1"/>
  <c r="R982" i="2" a="1"/>
  <c r="R982" i="2" s="1"/>
  <c r="R983" i="2" a="1"/>
  <c r="R983" i="2" s="1"/>
  <c r="R984" i="2" a="1"/>
  <c r="R984" i="2" s="1"/>
  <c r="R985" i="2" a="1"/>
  <c r="R985" i="2" s="1"/>
  <c r="R986" i="2" a="1"/>
  <c r="R986" i="2" s="1"/>
  <c r="R987" i="2" a="1"/>
  <c r="R987" i="2" s="1"/>
  <c r="R988" i="2" a="1"/>
  <c r="R988" i="2" s="1"/>
  <c r="R989" i="2" a="1"/>
  <c r="R989" i="2" s="1"/>
  <c r="R990" i="2" a="1"/>
  <c r="R990" i="2" s="1"/>
  <c r="R991" i="2" a="1"/>
  <c r="R991" i="2" s="1"/>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s="1"/>
  <c r="R2" i="2" a="1"/>
  <c r="R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<sst xmlns="http://schemas.openxmlformats.org/spreadsheetml/2006/main" count="16273" uniqueCount="192">
  <si>
    <t>EmployeeID</t>
  </si>
  <si>
    <t>Age</t>
  </si>
  <si>
    <t>Gender</t>
  </si>
  <si>
    <t>Department</t>
  </si>
  <si>
    <t>JobRole</t>
  </si>
  <si>
    <t>EducationField</t>
  </si>
  <si>
    <t>MaritalStatus</t>
  </si>
  <si>
    <t>BusinessTravel</t>
  </si>
  <si>
    <t>DistanceFromHome</t>
  </si>
  <si>
    <t>MonthlyIncome</t>
  </si>
  <si>
    <t>OverTime</t>
  </si>
  <si>
    <t>JobSatisfaction</t>
  </si>
  <si>
    <t>WorkLifeBalance</t>
  </si>
  <si>
    <t>YearsAtCompany</t>
  </si>
  <si>
    <t>YearsInCurrentRole</t>
  </si>
  <si>
    <t>TotalWorkingYears</t>
  </si>
  <si>
    <t>Female</t>
  </si>
  <si>
    <t>Sales</t>
  </si>
  <si>
    <t>Sales Manager</t>
  </si>
  <si>
    <t>Medical</t>
  </si>
  <si>
    <t>Married</t>
  </si>
  <si>
    <t>Travel_Rarely</t>
  </si>
  <si>
    <t>No</t>
  </si>
  <si>
    <t>Male</t>
  </si>
  <si>
    <t>Research &amp; Development</t>
  </si>
  <si>
    <t>Research Director</t>
  </si>
  <si>
    <t>Other</t>
  </si>
  <si>
    <t>IT</t>
  </si>
  <si>
    <t>IT Manager</t>
  </si>
  <si>
    <t>Technical Degree</t>
  </si>
  <si>
    <t>Travel_Frequently</t>
  </si>
  <si>
    <t>Data Analyst</t>
  </si>
  <si>
    <t>Life Sciences</t>
  </si>
  <si>
    <t>Single</t>
  </si>
  <si>
    <t>Non-Travel</t>
  </si>
  <si>
    <t>Sales Representative</t>
  </si>
  <si>
    <t>Business</t>
  </si>
  <si>
    <t>Divorced</t>
  </si>
  <si>
    <t>Human Resources</t>
  </si>
  <si>
    <t>HR Specialist</t>
  </si>
  <si>
    <t>Sales Executive</t>
  </si>
  <si>
    <t>Marketing</t>
  </si>
  <si>
    <t>Yes</t>
  </si>
  <si>
    <t>Software Engineer</t>
  </si>
  <si>
    <t>IT Support</t>
  </si>
  <si>
    <t>Healthcare Representative</t>
  </si>
  <si>
    <t>Research Scientist</t>
  </si>
  <si>
    <t>Finance</t>
  </si>
  <si>
    <t>Financial Analyst</t>
  </si>
  <si>
    <t>HR Manager</t>
  </si>
  <si>
    <t>Accountant</t>
  </si>
  <si>
    <t>research &amp; development</t>
  </si>
  <si>
    <t>Laboratory Technician</t>
  </si>
  <si>
    <t>Finance Manager</t>
  </si>
  <si>
    <t>finance</t>
  </si>
  <si>
    <t>human resources</t>
  </si>
  <si>
    <t/>
  </si>
  <si>
    <t>TenureBand</t>
  </si>
  <si>
    <t>Ageband</t>
  </si>
  <si>
    <t>IncomeBand</t>
  </si>
  <si>
    <t>AttritionFlag</t>
  </si>
  <si>
    <t>Grand Total</t>
  </si>
  <si>
    <t>Count of AttritionFlag</t>
  </si>
  <si>
    <t>Average Percentage of AttritionFlag</t>
  </si>
  <si>
    <t>0-1 yrs</t>
  </si>
  <si>
    <t>10+ yrs</t>
  </si>
  <si>
    <t>2-4 yrs</t>
  </si>
  <si>
    <t>5-9 yrs</t>
  </si>
  <si>
    <t>Unknown</t>
  </si>
  <si>
    <t>Departments</t>
  </si>
  <si>
    <t>Data cleaning log (Days 1–3)</t>
  </si>
  <si>
    <t>Duplicates: 12 duplicate rows found via COUNTIF on EmployeeID, verified identical, removed → 1,000 unique records</t>
  </si>
  <si>
    <t>MonthlyIncome: text-stored values ("$5,200") converted to real numbers</t>
  </si>
  <si>
    <t>Department: variants standardized ("HR", "R&amp;D", lowercase, leading spaces → canonical names via TRIM + Find &amp; Replace)</t>
  </si>
  <si>
    <t>Gender: "M"/"F"/casing → "Male"/"Female"</t>
  </si>
  <si>
    <t>Attrition: "yes"/"Y"/"N" → "Yes"/"No"</t>
  </si>
  <si>
    <t>EducationField: blanks filled with "Unknown" (verified 0 blanks remain)</t>
  </si>
  <si>
    <t>JobSatisfaction: blanks left empty — numeric column, AVERAGE ignores blanks</t>
  </si>
  <si>
    <t>Prep (Day 4)</t>
  </si>
  <si>
    <t>Helper columns: TenureBand, AgeBand, IncomeBand, AttritionFlag</t>
  </si>
  <si>
    <r>
      <t xml:space="preserve">Baseline attrition rate: </t>
    </r>
    <r>
      <rPr>
        <b/>
        <sz val="11"/>
        <color theme="1"/>
        <rFont val="Calibri"/>
        <family val="2"/>
        <scheme val="minor"/>
      </rPr>
      <t>22.7%</t>
    </r>
  </si>
  <si>
    <t>Findings (Day 5)</t>
  </si>
  <si>
    <t>1. Attrition roughly flat across departments (21.4%–23.7%), no department-specific problem; cause is structural</t>
  </si>
  <si>
    <r>
      <t xml:space="preserve">2. First-year employees leave at </t>
    </r>
    <r>
      <rPr>
        <b/>
        <sz val="11"/>
        <color theme="1"/>
        <rFont val="Calibri"/>
        <family val="2"/>
        <scheme val="minor"/>
      </rPr>
      <t>35.6%</t>
    </r>
    <r>
      <rPr>
        <sz val="11"/>
        <color theme="1"/>
        <rFont val="Calibri"/>
        <family val="2"/>
        <scheme val="minor"/>
      </rPr>
      <t xml:space="preserve"> vs 22.7% baseline, more than double the 2-4 yr rate (15.6%). Retention risk concentrates in the first 12 months.</t>
    </r>
  </si>
  <si>
    <t>Attrition</t>
  </si>
  <si>
    <t>$8,336</t>
  </si>
  <si>
    <t>$9,251</t>
  </si>
  <si>
    <t>M</t>
  </si>
  <si>
    <t>N</t>
  </si>
  <si>
    <t>$11,729</t>
  </si>
  <si>
    <t>$10,172</t>
  </si>
  <si>
    <t>$12,060</t>
  </si>
  <si>
    <t>$10,287</t>
  </si>
  <si>
    <t>$8,699</t>
  </si>
  <si>
    <t>sales</t>
  </si>
  <si>
    <t>no</t>
  </si>
  <si>
    <t>R&amp;D</t>
  </si>
  <si>
    <t>$9,763</t>
  </si>
  <si>
    <t>$13,408</t>
  </si>
  <si>
    <t>$14,685</t>
  </si>
  <si>
    <t>it</t>
  </si>
  <si>
    <t>$6,007</t>
  </si>
  <si>
    <t>$10,468</t>
  </si>
  <si>
    <t>$13,750</t>
  </si>
  <si>
    <t xml:space="preserve"> Research &amp; Development</t>
  </si>
  <si>
    <t>F</t>
  </si>
  <si>
    <t>yes</t>
  </si>
  <si>
    <t>MALE</t>
  </si>
  <si>
    <t>$9,253</t>
  </si>
  <si>
    <t xml:space="preserve"> Sales</t>
  </si>
  <si>
    <t>Y</t>
  </si>
  <si>
    <t>$5,837</t>
  </si>
  <si>
    <t>$5,039</t>
  </si>
  <si>
    <t>FEMALE</t>
  </si>
  <si>
    <t>$6,043</t>
  </si>
  <si>
    <t xml:space="preserve"> Finance</t>
  </si>
  <si>
    <t>$8,797</t>
  </si>
  <si>
    <t>$6,068</t>
  </si>
  <si>
    <t>$5,205</t>
  </si>
  <si>
    <t>$11,206</t>
  </si>
  <si>
    <t>$8,555</t>
  </si>
  <si>
    <t>$15,759</t>
  </si>
  <si>
    <t>$12,088</t>
  </si>
  <si>
    <t>$12,261</t>
  </si>
  <si>
    <t>$13,851</t>
  </si>
  <si>
    <t>$12,105</t>
  </si>
  <si>
    <t>$7,705</t>
  </si>
  <si>
    <t>$6,799</t>
  </si>
  <si>
    <t>$7,777</t>
  </si>
  <si>
    <t>$8,534</t>
  </si>
  <si>
    <t>$8,419</t>
  </si>
  <si>
    <t>$7,185</t>
  </si>
  <si>
    <t xml:space="preserve"> IT</t>
  </si>
  <si>
    <t>$6,478</t>
  </si>
  <si>
    <t>$14,141</t>
  </si>
  <si>
    <t>$14,002</t>
  </si>
  <si>
    <t>HR</t>
  </si>
  <si>
    <t>$10,650</t>
  </si>
  <si>
    <t>$10,212</t>
  </si>
  <si>
    <t>$7,355</t>
  </si>
  <si>
    <t>$8,229</t>
  </si>
  <si>
    <t>$6,756</t>
  </si>
  <si>
    <t>$8,558</t>
  </si>
  <si>
    <t>$6,578</t>
  </si>
  <si>
    <t>$10,839</t>
  </si>
  <si>
    <t>$6,931</t>
  </si>
  <si>
    <t>$6,628</t>
  </si>
  <si>
    <t>$12,324</t>
  </si>
  <si>
    <t xml:space="preserve"> Human Resources</t>
  </si>
  <si>
    <t>$8,565</t>
  </si>
  <si>
    <t>$8,161</t>
  </si>
  <si>
    <t>$8,138</t>
  </si>
  <si>
    <t>$13,992</t>
  </si>
  <si>
    <t>$12,143</t>
  </si>
  <si>
    <t>Job Satisfaction</t>
  </si>
  <si>
    <t>&lt;3.5K</t>
  </si>
  <si>
    <t>3.5-5.5K</t>
  </si>
  <si>
    <t>5.5-7.5K</t>
  </si>
  <si>
    <t>7.5K+</t>
  </si>
  <si>
    <t>20-25</t>
  </si>
  <si>
    <t>26-35</t>
  </si>
  <si>
    <t>36-45</t>
  </si>
  <si>
    <t>46+</t>
  </si>
  <si>
    <t>Income</t>
  </si>
  <si>
    <t>Overtime</t>
  </si>
  <si>
    <t>Age Ranges</t>
  </si>
  <si>
    <t>Column Labels</t>
  </si>
  <si>
    <t>Findings (Days 5–6)</t>
  </si>
  <si>
    <t>1. Attrition roughly flat across departments (21.4%–23.7%) — no department-specific problem</t>
  </si>
  <si>
    <r>
      <t xml:space="preserve">2. First-year employees leave at </t>
    </r>
    <r>
      <rPr>
        <b/>
        <sz val="11"/>
        <color theme="1"/>
        <rFont val="Calibri"/>
        <family val="2"/>
        <scheme val="minor"/>
      </rPr>
      <t>35.6%</t>
    </r>
    <r>
      <rPr>
        <sz val="11"/>
        <color theme="1"/>
        <rFont val="Calibri"/>
        <family val="2"/>
        <scheme val="minor"/>
      </rPr>
      <t xml:space="preserve"> vs 22.7% baseline — over double the 2-4 yr rate (15.6%)</t>
    </r>
  </si>
  <si>
    <r>
      <t xml:space="preserve">3. Overtime workers leave at </t>
    </r>
    <r>
      <rPr>
        <b/>
        <sz val="11"/>
        <color theme="1"/>
        <rFont val="Calibri"/>
        <family val="2"/>
        <scheme val="minor"/>
      </rPr>
      <t>33.0%</t>
    </r>
    <r>
      <rPr>
        <sz val="11"/>
        <color theme="1"/>
        <rFont val="Calibri"/>
        <family val="2"/>
        <scheme val="minor"/>
      </rPr>
      <t xml:space="preserve"> vs 18.8% — second major driver, large groups both sides</t>
    </r>
  </si>
  <si>
    <t>4. Age shows a clean gradient (39.7% for 20-25 → 17.9% for 46+) — overlaps with the tenure story: one "early-career flight" phenomenon</t>
  </si>
  <si>
    <r>
      <t xml:space="preserve">5. Satisfaction is a cliff, not a slope: rating 1 leaves at </t>
    </r>
    <r>
      <rPr>
        <b/>
        <sz val="11"/>
        <color theme="1"/>
        <rFont val="Calibri"/>
        <family val="2"/>
        <scheme val="minor"/>
      </rPr>
      <t>30.9%</t>
    </r>
    <r>
      <rPr>
        <sz val="11"/>
        <color theme="1"/>
        <rFont val="Calibri"/>
        <family val="2"/>
        <scheme val="minor"/>
      </rPr>
      <t>; ratings 2-4 all ~20%</t>
    </r>
  </si>
  <si>
    <t>6. Income: &lt;3.5K shows 54.5% but n=11 — directional only, not headline; stable read is 7.5K+ retains best (20.1%, n=727)</t>
  </si>
  <si>
    <r>
      <t>7. Capstone:</t>
    </r>
    <r>
      <rPr>
        <sz val="11"/>
        <color theme="1"/>
        <rFont val="Calibri"/>
        <family val="2"/>
        <scheme val="minor"/>
      </rPr>
      <t xml:space="preserve"> tenure × overtime stack — first-year overtime employees leave at </t>
    </r>
    <r>
      <rPr>
        <b/>
        <sz val="11"/>
        <color theme="1"/>
        <rFont val="Calibri"/>
        <family val="2"/>
        <scheme val="minor"/>
      </rPr>
      <t>46.3%</t>
    </r>
    <r>
      <rPr>
        <sz val="11"/>
        <color theme="1"/>
        <rFont val="Calibri"/>
        <family val="2"/>
        <scheme val="minor"/>
      </rPr>
      <t xml:space="preserve"> vs 11.1% for tenured non-overtime. Overtime lifts attrition in every tenure band → independent driver.</t>
    </r>
  </si>
  <si>
    <t>Total Employees</t>
  </si>
  <si>
    <t>Attrition Rate</t>
  </si>
  <si>
    <t>Avg Tenure</t>
  </si>
  <si>
    <t>First-Year Attrition</t>
  </si>
  <si>
    <t>Which employees are leaving, and what factors drive attrition?</t>
  </si>
  <si>
    <t>Key Findings</t>
  </si>
  <si>
    <t>Attrition is concentrated among new hires (0-1 years) and overtime employees, and the risks stack: first-year employees working overtime leave at 46.3%, quadruple the rate of tenured staff without overtime (11.1%).</t>
  </si>
  <si>
    <t>The Job Satisfaction shows a cliff, not a slope: employees rating it 1 leave at 30.9%, while ratings 2 through 4 all hover around 20% - only active dissatisfaction predicts leaving.</t>
  </si>
  <si>
    <t>Attrition is nearly uniform across departments (21.4%-23.7%), ruling out team-specific causes - the drivers are structural, not departmental.</t>
  </si>
  <si>
    <t>Retention efforts should focus on the first year of employment - stronger onboarding and check-ins - alongside reducing overtime load and identifying actively dissatisfied employees (satisfaction rating 1) before they exit.</t>
  </si>
  <si>
    <t>Dashboard build (Days 8–10)</t>
  </si>
  <si>
    <t>Created Dashboard sheet: title, KPI row, 2×2 chart grid, findings box, slicers</t>
  </si>
  <si>
    <t>KPI cards (live formulas, verified against pivots): Total Employees 1,000 · Attrition Rate 22.7% · Avg Tenure 6.9 yrs · First-Year Attrition 35.6%</t>
  </si>
  <si>
    <t>Charts: Attrition by Tenure · Overtime vs Not · Tenure × Overtime (centerpiece, 46.3%) · Job Satisfaction (1 = Low)</t>
  </si>
  <si>
    <t>Chart conventions: data labels on all bars, orange = highlighted problem group, field buttons hidden, (blank) category filtered out of satisfaction chart</t>
  </si>
  <si>
    <t>Slicers: Department + Gender, connected to all pivots via Report Connections</t>
  </si>
  <si>
    <t>Findings box: 4 sentences (headline, satisfaction cliff, department rule-out,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</si>
</sst>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quot; yrs&quot;"/>
  </numFmts>
  <fonts count="7" x14ac:knownFonts="1">
    <font>
      <sz val="11"/>
      <color theme="1"/>
      <name val="Calibri"/>
      <family val="2"/>
      <scheme val="minor"/>
    </font>
    <font>
      <b/>
      <sz val="11"/>
      <color rgb="FFFFFFFF"/>
      <name val="Arial"/>
      <family val="2"/>
    </font>
    <font>
      <sz val="11"/>
      <color theme="1"/>
      <name val="Calibri"/>
      <family val="2"/>
      <scheme val="minor"/>
    </font>
    <font>
      <b/>
      <sz val="11"/>
      <color theme="1"/>
      <name val="Calibri"/>
      <family val="2"/>
      <scheme val="minor"/>
    </font>
    <font>
      <b/>
      <sz val="14"/>
      <color theme="1"/>
      <name val="Calibri"/>
      <family val="2"/>
      <scheme val="minor"/>
    </font>
    <font>
      <sz val="28"/>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1F4E78"/>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1">
    <xf numFmtId="0" fontId="0" fillId="0" borderId="0" xfId="0"/>
    <xf numFmtId="0" fontId="1" fillId="2" borderId="0" xfId="0" applyFont="1" applyFill="1" applyAlignment="1">
      <alignment horizontal="center"/>
    </xf>
    <xf numFmtId="164" fontId="0" fillId="0" borderId="0" xfId="1" applyNumberFormat="1" applyFon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vertical="center" indent="1"/>
    </xf>
    <xf numFmtId="0" fontId="4" fillId="3" borderId="0" xfId="0" applyFont="1" applyFill="1"/>
    <xf numFmtId="0" fontId="0" fillId="0" borderId="0" xfId="0" applyAlignment="1">
      <alignment horizontal="left" vertical="center" indent="3"/>
    </xf>
    <xf numFmtId="0" fontId="3" fillId="3" borderId="0" xfId="0" applyFont="1" applyFill="1"/>
    <xf numFmtId="0" fontId="3" fillId="0" borderId="0" xfId="0" applyFont="1" applyAlignment="1">
      <alignment horizontal="left" vertical="center" indent="3"/>
    </xf>
    <xf numFmtId="0" fontId="0" fillId="3" borderId="0" xfId="0" applyFill="1"/>
    <xf numFmtId="0" fontId="0" fillId="5" borderId="0" xfId="0" applyFill="1" applyAlignment="1">
      <alignment horizontal="centerContinuous"/>
    </xf>
    <xf numFmtId="0" fontId="5" fillId="3" borderId="1" xfId="0" applyFont="1" applyFill="1" applyBorder="1" applyAlignment="1">
      <alignment horizontal="centerContinuous"/>
    </xf>
    <xf numFmtId="0" fontId="0" fillId="3" borderId="1" xfId="0" applyFill="1" applyBorder="1" applyAlignment="1">
      <alignment horizontal="centerContinuous"/>
    </xf>
    <xf numFmtId="165" fontId="5" fillId="3" borderId="1" xfId="2" applyNumberFormat="1" applyFont="1" applyFill="1" applyBorder="1" applyAlignment="1">
      <alignment horizontal="centerContinuous"/>
    </xf>
    <xf numFmtId="166" fontId="5" fillId="3" borderId="1" xfId="0" applyNumberFormat="1" applyFont="1" applyFill="1" applyBorder="1" applyAlignment="1">
      <alignment horizontal="centerContinuous"/>
    </xf>
    <xf numFmtId="0" fontId="0" fillId="4" borderId="1" xfId="0" applyFill="1" applyBorder="1" applyAlignment="1">
      <alignment horizontal="centerContinuous"/>
    </xf>
    <xf numFmtId="0" fontId="0" fillId="5" borderId="0" xfId="0" applyFill="1" applyAlignment="1">
      <alignment horizontal="center"/>
    </xf>
    <xf numFmtId="0" fontId="6" fillId="5" borderId="0" xfId="0" applyFont="1" applyFill="1" applyAlignment="1">
      <alignment horizontal="center"/>
    </xf>
    <xf numFmtId="0" fontId="0" fillId="5" borderId="2" xfId="0" applyFill="1" applyBorder="1" applyAlignment="1">
      <alignment horizontal="centerContinuous"/>
    </xf>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5" borderId="7" xfId="0" applyFill="1" applyBorder="1" applyAlignment="1">
      <alignment horizontal="centerContinuous"/>
    </xf>
    <xf numFmtId="0" fontId="0" fillId="5" borderId="5" xfId="0" applyFill="1" applyBorder="1" applyAlignment="1">
      <alignment horizontal="centerContinuous"/>
    </xf>
    <xf numFmtId="0" fontId="0" fillId="3" borderId="9" xfId="0" applyFill="1" applyBorder="1"/>
    <xf numFmtId="0" fontId="0" fillId="5" borderId="8" xfId="0" applyFill="1" applyBorder="1"/>
    <xf numFmtId="0" fontId="0" fillId="0" borderId="0" xfId="0" applyNumberFormat="1"/>
  </cellXfs>
  <cellStyles count="3">
    <cellStyle name="Currency" xfId="1" builtinId="4"/>
    <cellStyle name="Normal" xfId="0" builtinId="0"/>
    <cellStyle name="Percent" xfId="2" builtinId="5"/>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[HR_Attrition_Analysis.xlsx]Pivots!TenureBand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s>
    <c:plotArea>
      <c:layout/>
      <c:barChart>
        <c:barDir val="col"/>
        <c:grouping val="clustered"/>
        <c:varyColors val="0"/>
        <c:ser>
          <c:idx val="0"/>
          <c:order val="0"/>
          <c:tx>
            <c:strRef>
              <c:f>Pivots!$F$3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B1F0-4866-B0BD-3040C1C18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Pivots!$E$4:$E$8</c:f>
              <c:strCache>
                <c:ptCount val="4"/>
                <c:pt idx="0">
                  <c:v>0-1 yrs</c:v>
                </c:pt>
                <c:pt idx="1">
                  <c:v>2-4 yrs</c:v>
                </c:pt>
                <c:pt idx="2">
                  <c:v>5-9 yrs</c:v>
                </c:pt>
                <c:pt idx="3">
                  <c:v>10+ yrs</c:v>
                </c:pt>
              </c:strCache>
            </c:strRef>
          </c:cat>
          <c:val>
            <c:numRef>
              <c:f>Pivots!$F$4:$F$8</c:f>
              <c:numCache>
                <c:formatCode>0.0%</c:formatCode>
                <c:ptCount val="4"/>
                <c:pt idx="0">
                  <c:v>0.3562091503267974</c:v>
                </c:pt>
                <c:pt idx="1">
                  <c:v>0.20744680851063829</c:v>
                </c:pt>
                <c:pt idx="2">
                  <c:v>0.15639810426540285</c:v>
                </c:pt>
                <c:pt idx="3">
                  <c:v>0.15593220338983052</c:v>
                </c:pt>
              </c:numCache>
            </c:numRef>
          </c:val>
          <c:extLst>
            <c:ext xmlns:c16="http://schemas.microsoft.com/office/drawing/2014/chart" uri="{C3380CC4-5D6E-409C-BE32-E72D297353CC}">
              <c16:uniqueId val="{00000000-B1F0-4866-B0BD-3040C1C18A5C}"/>
            </c:ext>
          </c:extLst>
        </c:ser>
        <c:dLbls>
          <c:showLegendKey val="0"/>
          <c:showVal val="0"/>
          <c:showCatName val="0"/>
          <c:showSerName val="0"/>
          <c:showPercent val="0"/>
          <c:showBubbleSize val="0"/>
        </c:dLbls>
        <c:gapWidth val="219"/>
        <c:overlap val="-27"/>
        <c:axId val="793765775"/>
        <c:axId val="938993583"/>
      </c:barChart>
      <c:catAx>
        <c:axId val="79376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93583"/>
        <c:crosses val="autoZero"/>
        <c:auto val="1"/>
        <c:lblAlgn val="ctr"/>
        <c:lblOffset val="100"/>
        <c:noMultiLvlLbl val="0"/>
      </c:catAx>
      <c:valAx>
        <c:axId val="9389935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76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Rate: Overtime vs Not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s>
    <c:plotArea>
      <c:layout/>
      <c:barChart>
        <c:barDir val="col"/>
        <c:grouping val="clustered"/>
        <c:varyColors val="0"/>
        <c:ser>
          <c:idx val="0"/>
          <c:order val="0"/>
          <c:tx>
            <c:strRef>
              <c:f>Pivots!$B$11</c:f>
              <c:strCache>
                <c:ptCount val="1"/>
                <c:pt idx="0">
                  <c:v>Total</c:v>
                </c:pt>
              </c:strCache>
            </c:strRef>
          </c:tx>
          <c:spPr>
            <a:solidFill>
              <a:schemeClr val="accent1"/>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3-0936-4F70-9205-30E85F7B2D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Pivots!$A$12:$A$14</c:f>
              <c:strCache>
                <c:ptCount val="2"/>
                <c:pt idx="0">
                  <c:v>No</c:v>
                </c:pt>
                <c:pt idx="1">
                  <c:v>Yes</c:v>
                </c:pt>
              </c:strCache>
            </c:strRef>
          </c:cat>
          <c:val>
            <c:numRef>
              <c:f>Pivots!$B$12:$B$14</c:f>
              <c:numCache>
                <c:formatCode>0.0%</c:formatCode>
                <c:ptCount val="2"/>
                <c:pt idx="0">
                  <c:v>0.18784530386740331</c:v>
                </c:pt>
                <c:pt idx="1">
                  <c:v>0.32971014492753625</c:v>
                </c:pt>
              </c:numCache>
            </c:numRef>
          </c:val>
          <c:extLst>
            <c:ext xmlns:c16="http://schemas.microsoft.com/office/drawing/2014/chart" uri="{C3380CC4-5D6E-409C-BE32-E72D297353CC}">
              <c16:uniqueId val="{00000000-0936-4F70-9205-30E85F7B2D0D}"/>
            </c:ext>
          </c:extLst>
        </c:ser>
        <c:dLbls>
          <c:showLegendKey val="0"/>
          <c:showVal val="0"/>
          <c:showCatName val="0"/>
          <c:showSerName val="0"/>
          <c:showPercent val="0"/>
          <c:showBubbleSize val="0"/>
        </c:dLbls>
        <c:gapWidth val="219"/>
        <c:overlap val="-27"/>
        <c:axId val="474989808"/>
        <c:axId val="938995023"/>
      </c:barChart>
      <c:catAx>
        <c:axId val="474989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Works Overtime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95023"/>
        <c:crosses val="autoZero"/>
        <c:auto val="1"/>
        <c:lblAlgn val="ctr"/>
        <c:lblOffset val="100"/>
        <c:noMultiLvlLbl val="0"/>
      </c:catAx>
      <c:valAx>
        <c:axId val="93899502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989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Tenure x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Pivots!$A$20:$A$24</c:f>
              <c:strCache>
                <c:ptCount val="4"/>
                <c:pt idx="0">
                  <c:v>0-1 yrs</c:v>
                </c:pt>
                <c:pt idx="1">
                  <c:v>2-4 yrs</c:v>
                </c:pt>
                <c:pt idx="2">
                  <c:v>5-9 yrs</c:v>
                </c:pt>
                <c:pt idx="3">
                  <c:v>10+ yrs</c:v>
                </c:pt>
              </c:strCache>
            </c:strRef>
          </c:cat>
          <c:val>
            <c:numRef>
              <c:f>Pivots!$B$20:$B$24</c:f>
              <c:numCache>
                <c:formatCode>0.0%</c:formatCode>
                <c:ptCount val="4"/>
                <c:pt idx="0">
                  <c:v>0.3169642857142857</c:v>
                </c:pt>
                <c:pt idx="1">
                  <c:v>0.18320610687022901</c:v>
                </c:pt>
                <c:pt idx="2">
                  <c:v>0.1111111111111111</c:v>
                </c:pt>
                <c:pt idx="3">
                  <c:v>0.1111111111111111</c:v>
                </c:pt>
              </c:numCache>
            </c:numRef>
          </c:val>
          <c:extLst>
            <c:ext xmlns:c16="http://schemas.microsoft.com/office/drawing/2014/chart" uri="{C3380CC4-5D6E-409C-BE32-E72D297353CC}">
              <c16:uniqueId val="{00000000-0541-4A52-BFD2-B01FC8F666CB}"/>
            </c:ext>
          </c:extLst>
        </c:ser>
        <c:ser>
          <c:idx val="1"/>
          <c:order val="1"/>
          <c:tx>
            <c:strRef>
              <c:f>Pivots!$C$18:$C$19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Pivots!$A$20:$A$24</c:f>
              <c:strCache>
                <c:ptCount val="4"/>
                <c:pt idx="0">
                  <c:v>0-1 yrs</c:v>
                </c:pt>
                <c:pt idx="1">
                  <c:v>2-4 yrs</c:v>
                </c:pt>
                <c:pt idx="2">
                  <c:v>5-9 yrs</c:v>
                </c:pt>
                <c:pt idx="3">
                  <c:v>10+ yrs</c:v>
                </c:pt>
              </c:strCache>
            </c:strRef>
          </c:cat>
          <c:val>
            <c:numRef>
              <c:f>Pivots!$C$20:$C$24</c:f>
              <c:numCache>
                <c:formatCode>0.0%</c:formatCode>
                <c:ptCount val="4"/>
                <c:pt idx="0">
                  <c:v>0.46341463414634149</c:v>
                </c:pt>
                <c:pt idx="1">
                  <c:v>0.26315789473684209</c:v>
                </c:pt>
                <c:pt idx="2">
                  <c:v>0.27586206896551724</c:v>
                </c:pt>
                <c:pt idx="3">
                  <c:v>0.27848101265822783</c:v>
                </c:pt>
              </c:numCache>
            </c:numRef>
          </c:val>
          <c:extLst>
            <c:ext xmlns:c16="http://schemas.microsoft.com/office/drawing/2014/chart" uri="{C3380CC4-5D6E-409C-BE32-E72D297353CC}">
              <c16:uniqueId val="{00000001-0541-4A52-BFD2-B01FC8F666CB}"/>
            </c:ext>
          </c:extLst>
        </c:ser>
        <c:dLbls>
          <c:showLegendKey val="0"/>
          <c:showVal val="0"/>
          <c:showCatName val="0"/>
          <c:showSerName val="0"/>
          <c:showPercent val="0"/>
          <c:showBubbleSize val="0"/>
        </c:dLbls>
        <c:gapWidth val="219"/>
        <c:overlap val="-27"/>
        <c:axId val="970915951"/>
        <c:axId val="939012303"/>
      </c:barChart>
      <c:catAx>
        <c:axId val="97091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012303"/>
        <c:crosses val="autoZero"/>
        <c:auto val="1"/>
        <c:lblAlgn val="ctr"/>
        <c:lblOffset val="100"/>
        <c:noMultiLvlLbl val="0"/>
      </c:catAx>
      <c:valAx>
        <c:axId val="939012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Job Satisfaction </a:t>
            </a:r>
            <a:r>
              <a:rPr lang="en-US" sz="1400" b="0" i="0" u="none" strike="noStrike" baseline="0"/>
              <a:t>(1 = Low)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s>
    <c:plotArea>
      <c:layout/>
      <c:barChart>
        <c:barDir val="col"/>
        <c:grouping val="clustered"/>
        <c:varyColors val="0"/>
        <c:ser>
          <c:idx val="0"/>
          <c:order val="0"/>
          <c:tx>
            <c:strRef>
              <c:f>Pivots!$J$3</c:f>
              <c:strCache>
                <c:ptCount val="1"/>
                <c:pt idx="0">
                  <c:v>Total</c:v>
                </c:pt>
              </c:strCache>
            </c:strRef>
          </c:tx>
          <c:spPr>
            <a:solidFill>
              <a:schemeClr val="accent1"/>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3-62C3-4974-A40C-21C72A3DC9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Pivots!$I$4:$I$8</c:f>
              <c:strCache>
                <c:ptCount val="4"/>
                <c:pt idx="0">
                  <c:v>1</c:v>
                </c:pt>
                <c:pt idx="1">
                  <c:v>2</c:v>
                </c:pt>
                <c:pt idx="2">
                  <c:v>3</c:v>
                </c:pt>
                <c:pt idx="3">
                  <c:v>4</c:v>
                </c:pt>
              </c:strCache>
            </c:strRef>
          </c:cat>
          <c:val>
            <c:numRef>
              <c:f>Pivots!$J$4:$J$8</c:f>
              <c:numCache>
                <c:formatCode>0.0%</c:formatCode>
                <c:ptCount val="4"/>
                <c:pt idx="0">
                  <c:v>0.30859375</c:v>
                </c:pt>
                <c:pt idx="1">
                  <c:v>0.20081967213114754</c:v>
                </c:pt>
                <c:pt idx="2">
                  <c:v>0.19917012448132779</c:v>
                </c:pt>
                <c:pt idx="3">
                  <c:v>0.19678714859437751</c:v>
                </c:pt>
              </c:numCache>
            </c:numRef>
          </c:val>
          <c:extLst>
            <c:ext xmlns:c16="http://schemas.microsoft.com/office/drawing/2014/chart" uri="{C3380CC4-5D6E-409C-BE32-E72D297353CC}">
              <c16:uniqueId val="{00000000-62C3-4974-A40C-21C72A3DC9F3}"/>
            </c:ext>
          </c:extLst>
        </c:ser>
        <c:dLbls>
          <c:showLegendKey val="0"/>
          <c:showVal val="0"/>
          <c:showCatName val="0"/>
          <c:showSerName val="0"/>
          <c:showPercent val="0"/>
          <c:showBubbleSize val="0"/>
        </c:dLbls>
        <c:gapWidth val="219"/>
        <c:overlap val="-27"/>
        <c:axId val="1270052479"/>
        <c:axId val="938942703"/>
      </c:barChart>
      <c:catAx>
        <c:axId val="127005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42703"/>
        <c:crosses val="autoZero"/>
        <c:auto val="1"/>
        <c:lblAlgn val="ctr"/>
        <c:lblOffset val="100"/>
        <c:noMultiLvlLbl val="0"/>
      </c:catAx>
      <c:valAx>
        <c:axId val="9389427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005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342900</xdr:colOff>
      <xdr:row>4</xdr:row>
      <xdr:rowOff>152400</xdr:rowOff>
    </xdr:from>
    <xdr:to>
      <xdr:col>8</xdr:col>
      <xdr:colOff>38100</xdr:colOff>
      <xdr:row>19</xdr:row>
      <xdr:rowOff>38100</xdr:rowOff>
    </xdr:to>
    <xdr:graphicFrame macro="">
      <xdr:nvGraphicFramePr>
        <xdr:cNvPr id="2" name="Chart 1">
          <a:extLst>
            <a:ext uri="{FF2B5EF4-FFF2-40B4-BE49-F238E27FC236}">
              <a16:creationId xmlns:a16="http://schemas.microsoft.com/office/drawing/2014/main" id="{EDA025C0-8FDA-4DA6-8844-86A6FAB32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4</xdr:row>
      <xdr:rowOff>152400</xdr:rowOff>
    </xdr:from>
    <xdr:to>
      <xdr:col>16</xdr:col>
      <xdr:colOff>304800</xdr:colOff>
      <xdr:row>19</xdr:row>
      <xdr:rowOff>38100</xdr:rowOff>
    </xdr:to>
    <xdr:graphicFrame macro="">
      <xdr:nvGraphicFramePr>
        <xdr:cNvPr id="3" name="Chart 2">
          <a:extLst>
            <a:ext uri="{FF2B5EF4-FFF2-40B4-BE49-F238E27FC236}">
              <a16:creationId xmlns:a16="http://schemas.microsoft.com/office/drawing/2014/main" id="{D2707DC4-C9BD-4EC0-8A6F-EB367B1D9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19</xdr:row>
      <xdr:rowOff>171450</xdr:rowOff>
    </xdr:from>
    <xdr:to>
      <xdr:col>8</xdr:col>
      <xdr:colOff>38100</xdr:colOff>
      <xdr:row>34</xdr:row>
      <xdr:rowOff>57150</xdr:rowOff>
    </xdr:to>
    <xdr:graphicFrame macro="">
      <xdr:nvGraphicFramePr>
        <xdr:cNvPr id="4" name="Chart 3">
          <a:extLst>
            <a:ext uri="{FF2B5EF4-FFF2-40B4-BE49-F238E27FC236}">
              <a16:creationId xmlns:a16="http://schemas.microsoft.com/office/drawing/2014/main" id="{DE47CE2C-71B1-4344-963F-FCA9C0DF9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20</xdr:row>
      <xdr:rowOff>0</xdr:rowOff>
    </xdr:from>
    <xdr:to>
      <xdr:col>16</xdr:col>
      <xdr:colOff>304800</xdr:colOff>
      <xdr:row>34</xdr:row>
      <xdr:rowOff>76200</xdr:rowOff>
    </xdr:to>
    <xdr:graphicFrame macro="">
      <xdr:nvGraphicFramePr>
        <xdr:cNvPr id="5" name="Chart 4">
          <a:extLst>
            <a:ext uri="{FF2B5EF4-FFF2-40B4-BE49-F238E27FC236}">
              <a16:creationId xmlns:a16="http://schemas.microsoft.com/office/drawing/2014/main" id="{C502F480-65B1-4D0E-9BB0-6A61FDD2E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304800</xdr:colOff>
      <xdr:row>4</xdr:row>
      <xdr:rowOff>167640</xdr:rowOff>
    </xdr:from>
    <xdr:to>
      <xdr:col>23</xdr:col>
      <xdr:colOff>579120</xdr:colOff>
      <xdr:row>14</xdr:row>
      <xdr:rowOff>91440</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84632429-F459-4E84-941B-F525A38DDB4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96800" y="1301115"/>
              <a:ext cx="21031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xdr:row>
      <xdr:rowOff>167640</xdr:rowOff>
    </xdr:from>
    <xdr:to>
      <xdr:col>20</xdr:col>
      <xdr:colOff>274320</xdr:colOff>
      <xdr:row>14</xdr:row>
      <xdr:rowOff>91440</xdr:rowOff>
    </xdr:to>
    <mc:AlternateContent xmlns:mc="http://schemas.openxmlformats.org/markup-compatibility/2006" xmlns:a14="http://schemas.microsoft.com/office/drawing/2010/main">
      <mc:Choice Requires="a14">
        <xdr:graphicFrame macro="">
          <xdr:nvGraphicFramePr>
            <xdr:cNvPr id="9" name="Department">
              <a:extLst>
                <a:ext uri="{FF2B5EF4-FFF2-40B4-BE49-F238E27FC236}">
                  <a16:creationId xmlns:a16="http://schemas.microsoft.com/office/drawing/2014/main" id="{1230F756-27C5-447A-A078-ECFDD5169F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363200" y="1301115"/>
              <a:ext cx="21031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idan L" refreshedDate="46271.42041979167" createdVersion="8" refreshedVersion="8" minRefreshableVersion="3" recordCount="1000" xr:uid="{9D03D856-C628-452C-9824-48D0B2B351AD}">
  <cacheSource type="worksheet">
    <worksheetSource ref="A1:U1001" sheet="Clean Data"/>
  </cacheSource>
  <cacheFields count="21">
    <cacheField name="EmployeeID" numFmtId="0">
      <sharedItems containsSemiMixedTypes="0" containsString="0" containsNumber="1" containsInteger="1" minValue="1001" maxValue="2000"/>
    </cacheField>
    <cacheField name="Age" numFmtId="0">
      <sharedItems containsSemiMixedTypes="0" containsString="0" containsNumber="1" containsInteger="1" minValue="20" maxValue="60"/>
    </cacheField>
    <cacheField name="Gender" numFmtId="0">
      <sharedItems count="2">
        <s v="Female"/>
        <s v="Male"/>
      </sharedItems>
    </cacheField>
    <cacheField name="Department" numFmtId="0">
      <sharedItems count="5">
        <s v="Sales"/>
        <s v="Research &amp; Development"/>
        <s v="IT"/>
        <s v="Human Resources"/>
        <s v="Finance"/>
      </sharedItems>
    </cacheField>
    <cacheField name="JobRole" numFmtId="0">
      <sharedItems/>
    </cacheField>
    <cacheField name="EducationField" numFmtId="0">
      <sharedItems/>
    </cacheField>
    <cacheField name="MaritalStatus" numFmtId="0">
      <sharedItems/>
    </cacheField>
    <cacheField name="BusinessTravel" numFmtId="0">
      <sharedItems/>
    </cacheField>
    <cacheField name="DistanceFromHome" numFmtId="0">
      <sharedItems containsSemiMixedTypes="0" containsString="0" containsNumber="1" containsInteger="1" minValue="1" maxValue="29"/>
    </cacheField>
    <cacheField name="MonthlyIncome" numFmtId="164">
      <sharedItems containsSemiMixedTypes="0" containsString="0" containsNumber="1" containsInteger="1" minValue="2231" maxValue="17517"/>
    </cacheField>
    <cacheField name="OverTime" numFmtId="0">
      <sharedItems count="2">
        <s v="No"/>
        <s v="Yes"/>
      </sharedItems>
    </cacheField>
    <cacheField name="JobSatisfaction" numFmtId="0">
      <sharedItems containsString="0" containsBlank="1" containsNumber="1" containsInteger="1" minValue="1" maxValue="4" count="5">
        <n v="3"/>
        <n v="1"/>
        <n v="4"/>
        <n v="2"/>
        <m/>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25"/>
    </cacheField>
    <cacheField name="YearsInCurrentRole" numFmtId="0">
      <sharedItems containsSemiMixedTypes="0" containsString="0" containsNumber="1" containsInteger="1" minValue="0" maxValue="24"/>
    </cacheField>
    <cacheField name="TotalWorkingYears" numFmtId="0">
      <sharedItems containsSemiMixedTypes="0" containsString="0" containsNumber="1" containsInteger="1" minValue="0" maxValue="40"/>
    </cacheField>
    <cacheField name="Attrition" numFmtId="0">
      <sharedItems/>
    </cacheField>
    <cacheField name="TenureBand" numFmtId="0">
      <sharedItems count="4">
        <s v="5-9 yrs"/>
        <s v="10+ yrs"/>
        <s v="0-1 yrs"/>
        <s v="2-4 yrs"/>
      </sharedItems>
    </cacheField>
    <cacheField name="Ageband" numFmtId="0">
      <sharedItems count="4">
        <s v="26-35"/>
        <s v="46+"/>
        <s v="36-45"/>
        <s v="20-25"/>
      </sharedItems>
    </cacheField>
    <cacheField name="IncomeBand" numFmtId="0">
      <sharedItems count="4">
        <s v="7.5K+"/>
        <s v="&lt;3.5K"/>
        <s v="5.5-7.5K"/>
        <s v="3.5-5.5K"/>
      </sharedItems>
    </cacheField>
    <cacheField name="Attrition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944337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456"/>
    <n v="26"/>
    <x v="0"/>
    <x v="0"/>
    <s v="Sales Manager"/>
    <s v="Medical"/>
    <s v="Married"/>
    <s v="Travel_Rarely"/>
    <n v="4"/>
    <n v="8336"/>
    <x v="0"/>
    <x v="0"/>
    <n v="2"/>
    <n v="6"/>
    <n v="5"/>
    <n v="6"/>
    <s v="No"/>
    <x v="0"/>
    <x v="0"/>
    <x v="0"/>
    <n v="0"/>
  </r>
  <r>
    <n v="1775"/>
    <n v="57"/>
    <x v="1"/>
    <x v="1"/>
    <s v="Research Director"/>
    <s v="Other"/>
    <s v="Married"/>
    <s v="Travel_Rarely"/>
    <n v="21"/>
    <n v="14257"/>
    <x v="0"/>
    <x v="0"/>
    <n v="4"/>
    <n v="23"/>
    <n v="1"/>
    <n v="31"/>
    <s v="No"/>
    <x v="1"/>
    <x v="1"/>
    <x v="0"/>
    <n v="0"/>
  </r>
  <r>
    <n v="1071"/>
    <n v="55"/>
    <x v="0"/>
    <x v="2"/>
    <s v="IT Manager"/>
    <s v="Technical Degree"/>
    <s v="Married"/>
    <s v="Travel_Frequently"/>
    <n v="24"/>
    <n v="15949"/>
    <x v="0"/>
    <x v="1"/>
    <n v="4"/>
    <n v="0"/>
    <n v="0"/>
    <n v="25"/>
    <s v="No"/>
    <x v="2"/>
    <x v="1"/>
    <x v="0"/>
    <n v="0"/>
  </r>
  <r>
    <n v="1993"/>
    <n v="51"/>
    <x v="0"/>
    <x v="2"/>
    <s v="Data Analyst"/>
    <s v="Life Sciences"/>
    <s v="Single"/>
    <s v="Non-Travel"/>
    <n v="4"/>
    <n v="11566"/>
    <x v="0"/>
    <x v="0"/>
    <n v="2"/>
    <n v="9"/>
    <n v="3"/>
    <n v="28"/>
    <s v="No"/>
    <x v="0"/>
    <x v="1"/>
    <x v="0"/>
    <n v="0"/>
  </r>
  <r>
    <n v="1114"/>
    <n v="43"/>
    <x v="0"/>
    <x v="0"/>
    <s v="Sales Representative"/>
    <s v="Business"/>
    <s v="Divorced"/>
    <s v="Non-Travel"/>
    <n v="8"/>
    <n v="9251"/>
    <x v="0"/>
    <x v="2"/>
    <n v="3"/>
    <n v="9"/>
    <n v="2"/>
    <n v="13"/>
    <s v="No"/>
    <x v="0"/>
    <x v="2"/>
    <x v="0"/>
    <n v="0"/>
  </r>
  <r>
    <n v="1319"/>
    <n v="38"/>
    <x v="1"/>
    <x v="3"/>
    <s v="HR Specialist"/>
    <s v="Human Resources"/>
    <s v="Married"/>
    <s v="Travel_Rarely"/>
    <n v="5"/>
    <n v="8073"/>
    <x v="0"/>
    <x v="2"/>
    <n v="3"/>
    <n v="7"/>
    <n v="7"/>
    <n v="9"/>
    <s v="No"/>
    <x v="0"/>
    <x v="2"/>
    <x v="0"/>
    <n v="0"/>
  </r>
  <r>
    <n v="1658"/>
    <n v="58"/>
    <x v="1"/>
    <x v="0"/>
    <s v="Sales Executive"/>
    <s v="Human Resources"/>
    <s v="Divorced"/>
    <s v="Non-Travel"/>
    <n v="9"/>
    <n v="12668"/>
    <x v="0"/>
    <x v="3"/>
    <n v="2"/>
    <n v="3"/>
    <n v="0"/>
    <n v="37"/>
    <s v="No"/>
    <x v="3"/>
    <x v="1"/>
    <x v="0"/>
    <n v="0"/>
  </r>
  <r>
    <n v="1971"/>
    <n v="21"/>
    <x v="1"/>
    <x v="0"/>
    <s v="Sales Executive"/>
    <s v="Marketing"/>
    <s v="Divorced"/>
    <s v="Non-Travel"/>
    <n v="5"/>
    <n v="3265"/>
    <x v="0"/>
    <x v="0"/>
    <n v="4"/>
    <n v="0"/>
    <n v="0"/>
    <n v="0"/>
    <s v="Yes"/>
    <x v="2"/>
    <x v="3"/>
    <x v="1"/>
    <n v="1"/>
  </r>
  <r>
    <n v="1467"/>
    <n v="35"/>
    <x v="0"/>
    <x v="2"/>
    <s v="Software Engineer"/>
    <s v="Marketing"/>
    <s v="Divorced"/>
    <s v="Travel_Rarely"/>
    <n v="18"/>
    <n v="5675"/>
    <x v="1"/>
    <x v="1"/>
    <n v="3"/>
    <n v="5"/>
    <n v="0"/>
    <n v="6"/>
    <s v="Yes"/>
    <x v="0"/>
    <x v="0"/>
    <x v="2"/>
    <n v="1"/>
  </r>
  <r>
    <n v="1497"/>
    <n v="41"/>
    <x v="1"/>
    <x v="3"/>
    <s v="HR Specialist"/>
    <s v="Business"/>
    <s v="Divorced"/>
    <s v="Non-Travel"/>
    <n v="10"/>
    <n v="8193"/>
    <x v="0"/>
    <x v="3"/>
    <n v="1"/>
    <n v="14"/>
    <n v="5"/>
    <n v="21"/>
    <s v="No"/>
    <x v="1"/>
    <x v="2"/>
    <x v="0"/>
    <n v="0"/>
  </r>
  <r>
    <n v="1672"/>
    <n v="49"/>
    <x v="1"/>
    <x v="3"/>
    <s v="HR Specialist"/>
    <s v="Business"/>
    <s v="Single"/>
    <s v="Travel_Rarely"/>
    <n v="7"/>
    <n v="8147"/>
    <x v="0"/>
    <x v="1"/>
    <n v="3"/>
    <n v="12"/>
    <n v="6"/>
    <n v="17"/>
    <s v="No"/>
    <x v="1"/>
    <x v="1"/>
    <x v="0"/>
    <n v="0"/>
  </r>
  <r>
    <n v="1721"/>
    <n v="60"/>
    <x v="1"/>
    <x v="2"/>
    <s v="IT Support"/>
    <s v="Life Sciences"/>
    <s v="Single"/>
    <s v="Travel_Rarely"/>
    <n v="28"/>
    <n v="14052"/>
    <x v="0"/>
    <x v="3"/>
    <n v="4"/>
    <n v="23"/>
    <n v="0"/>
    <n v="34"/>
    <s v="No"/>
    <x v="1"/>
    <x v="1"/>
    <x v="0"/>
    <n v="0"/>
  </r>
  <r>
    <n v="1858"/>
    <n v="31"/>
    <x v="1"/>
    <x v="2"/>
    <s v="IT Manager"/>
    <s v="Business"/>
    <s v="Single"/>
    <s v="Non-Travel"/>
    <n v="5"/>
    <n v="12059"/>
    <x v="0"/>
    <x v="3"/>
    <n v="1"/>
    <n v="8"/>
    <n v="4"/>
    <n v="11"/>
    <s v="No"/>
    <x v="0"/>
    <x v="0"/>
    <x v="0"/>
    <n v="0"/>
  </r>
  <r>
    <n v="1674"/>
    <n v="35"/>
    <x v="0"/>
    <x v="3"/>
    <s v="HR Specialist"/>
    <s v="Medical"/>
    <s v="Married"/>
    <s v="Travel_Rarely"/>
    <n v="10"/>
    <n v="10230"/>
    <x v="0"/>
    <x v="1"/>
    <n v="1"/>
    <n v="9"/>
    <n v="0"/>
    <n v="9"/>
    <s v="Yes"/>
    <x v="0"/>
    <x v="0"/>
    <x v="0"/>
    <n v="1"/>
  </r>
  <r>
    <n v="1169"/>
    <n v="39"/>
    <x v="0"/>
    <x v="1"/>
    <s v="Healthcare Representative"/>
    <s v="Marketing"/>
    <s v="Married"/>
    <s v="Travel_Frequently"/>
    <n v="10"/>
    <n v="7995"/>
    <x v="1"/>
    <x v="3"/>
    <n v="4"/>
    <n v="4"/>
    <n v="1"/>
    <n v="13"/>
    <s v="Yes"/>
    <x v="3"/>
    <x v="2"/>
    <x v="0"/>
    <n v="1"/>
  </r>
  <r>
    <n v="1120"/>
    <n v="55"/>
    <x v="1"/>
    <x v="0"/>
    <s v="Sales Manager"/>
    <s v="Technical Degree"/>
    <s v="Married"/>
    <s v="Travel_Frequently"/>
    <n v="20"/>
    <n v="15857"/>
    <x v="1"/>
    <x v="3"/>
    <n v="2"/>
    <n v="19"/>
    <n v="17"/>
    <n v="29"/>
    <s v="No"/>
    <x v="1"/>
    <x v="1"/>
    <x v="0"/>
    <n v="0"/>
  </r>
  <r>
    <n v="1698"/>
    <n v="34"/>
    <x v="0"/>
    <x v="0"/>
    <s v="Sales Manager"/>
    <s v="Human Resources"/>
    <s v="Divorced"/>
    <s v="Non-Travel"/>
    <n v="5"/>
    <n v="11798"/>
    <x v="1"/>
    <x v="1"/>
    <n v="3"/>
    <n v="3"/>
    <n v="3"/>
    <n v="8"/>
    <s v="No"/>
    <x v="3"/>
    <x v="0"/>
    <x v="0"/>
    <n v="0"/>
  </r>
  <r>
    <n v="1622"/>
    <n v="21"/>
    <x v="0"/>
    <x v="0"/>
    <s v="Sales Manager"/>
    <s v="Business"/>
    <s v="Single"/>
    <s v="Travel_Frequently"/>
    <n v="7"/>
    <n v="10297"/>
    <x v="0"/>
    <x v="1"/>
    <n v="1"/>
    <n v="0"/>
    <n v="0"/>
    <n v="0"/>
    <s v="No"/>
    <x v="2"/>
    <x v="3"/>
    <x v="0"/>
    <n v="0"/>
  </r>
  <r>
    <n v="1483"/>
    <n v="31"/>
    <x v="1"/>
    <x v="2"/>
    <s v="Data Analyst"/>
    <s v="Business"/>
    <s v="Single"/>
    <s v="Non-Travel"/>
    <n v="10"/>
    <n v="4292"/>
    <x v="1"/>
    <x v="1"/>
    <n v="4"/>
    <n v="0"/>
    <n v="0"/>
    <n v="0"/>
    <s v="Yes"/>
    <x v="2"/>
    <x v="0"/>
    <x v="3"/>
    <n v="1"/>
  </r>
  <r>
    <n v="1579"/>
    <n v="32"/>
    <x v="0"/>
    <x v="1"/>
    <s v="Healthcare Representative"/>
    <s v="Life Sciences"/>
    <s v="Divorced"/>
    <s v="Travel_Rarely"/>
    <n v="3"/>
    <n v="6984"/>
    <x v="0"/>
    <x v="2"/>
    <n v="4"/>
    <n v="1"/>
    <n v="0"/>
    <n v="7"/>
    <s v="No"/>
    <x v="2"/>
    <x v="0"/>
    <x v="2"/>
    <n v="0"/>
  </r>
  <r>
    <n v="1785"/>
    <n v="24"/>
    <x v="1"/>
    <x v="0"/>
    <s v="Sales Representative"/>
    <s v="Technical Degree"/>
    <s v="Single"/>
    <s v="Travel_Frequently"/>
    <n v="20"/>
    <n v="5312"/>
    <x v="0"/>
    <x v="1"/>
    <n v="4"/>
    <n v="0"/>
    <n v="0"/>
    <n v="0"/>
    <s v="Yes"/>
    <x v="2"/>
    <x v="3"/>
    <x v="3"/>
    <n v="1"/>
  </r>
  <r>
    <n v="1326"/>
    <n v="47"/>
    <x v="0"/>
    <x v="0"/>
    <s v="Sales Manager"/>
    <s v="Other"/>
    <s v="Divorced"/>
    <s v="Travel_Frequently"/>
    <n v="21"/>
    <n v="12813"/>
    <x v="1"/>
    <x v="3"/>
    <n v="3"/>
    <n v="20"/>
    <n v="12"/>
    <n v="20"/>
    <s v="Yes"/>
    <x v="1"/>
    <x v="1"/>
    <x v="0"/>
    <n v="1"/>
  </r>
  <r>
    <n v="1118"/>
    <n v="46"/>
    <x v="1"/>
    <x v="1"/>
    <s v="Healthcare Representative"/>
    <s v="Other"/>
    <s v="Divorced"/>
    <s v="Travel_Frequently"/>
    <n v="12"/>
    <n v="9069"/>
    <x v="0"/>
    <x v="2"/>
    <n v="4"/>
    <n v="10"/>
    <n v="10"/>
    <n v="22"/>
    <s v="No"/>
    <x v="1"/>
    <x v="1"/>
    <x v="0"/>
    <n v="0"/>
  </r>
  <r>
    <n v="1835"/>
    <n v="24"/>
    <x v="1"/>
    <x v="1"/>
    <s v="Research Scientist"/>
    <s v="Marketing"/>
    <s v="Married"/>
    <s v="Non-Travel"/>
    <n v="21"/>
    <n v="5946"/>
    <x v="0"/>
    <x v="2"/>
    <n v="1"/>
    <n v="0"/>
    <n v="0"/>
    <n v="0"/>
    <s v="No"/>
    <x v="2"/>
    <x v="3"/>
    <x v="2"/>
    <n v="0"/>
  </r>
  <r>
    <n v="1683"/>
    <n v="58"/>
    <x v="0"/>
    <x v="0"/>
    <s v="Sales Representative"/>
    <s v="Life Sciences"/>
    <s v="Married"/>
    <s v="Travel_Frequently"/>
    <n v="16"/>
    <n v="10067"/>
    <x v="0"/>
    <x v="2"/>
    <n v="1"/>
    <n v="15"/>
    <n v="3"/>
    <n v="26"/>
    <s v="Yes"/>
    <x v="1"/>
    <x v="1"/>
    <x v="0"/>
    <n v="1"/>
  </r>
  <r>
    <n v="1033"/>
    <n v="31"/>
    <x v="1"/>
    <x v="2"/>
    <s v="Software Engineer"/>
    <s v="Technical Degree"/>
    <s v="Divorced"/>
    <s v="Travel_Rarely"/>
    <n v="15"/>
    <n v="5683"/>
    <x v="1"/>
    <x v="1"/>
    <n v="4"/>
    <n v="7"/>
    <n v="0"/>
    <n v="9"/>
    <s v="No"/>
    <x v="0"/>
    <x v="0"/>
    <x v="2"/>
    <n v="0"/>
  </r>
  <r>
    <n v="1862"/>
    <n v="52"/>
    <x v="0"/>
    <x v="1"/>
    <s v="Research Director"/>
    <s v="Life Sciences"/>
    <s v="Single"/>
    <s v="Non-Travel"/>
    <n v="22"/>
    <n v="13753"/>
    <x v="0"/>
    <x v="1"/>
    <n v="4"/>
    <n v="2"/>
    <n v="1"/>
    <n v="25"/>
    <s v="No"/>
    <x v="3"/>
    <x v="1"/>
    <x v="0"/>
    <n v="0"/>
  </r>
  <r>
    <n v="1905"/>
    <n v="45"/>
    <x v="1"/>
    <x v="1"/>
    <s v="Research Director"/>
    <s v="Life Sciences"/>
    <s v="Married"/>
    <s v="Travel_Rarely"/>
    <n v="24"/>
    <n v="10440"/>
    <x v="0"/>
    <x v="0"/>
    <n v="3"/>
    <n v="5"/>
    <n v="3"/>
    <n v="21"/>
    <s v="No"/>
    <x v="0"/>
    <x v="2"/>
    <x v="0"/>
    <n v="0"/>
  </r>
  <r>
    <n v="1002"/>
    <n v="34"/>
    <x v="1"/>
    <x v="2"/>
    <s v="IT Manager"/>
    <s v="Medical"/>
    <s v="Single"/>
    <s v="Non-Travel"/>
    <n v="7"/>
    <n v="11034"/>
    <x v="1"/>
    <x v="2"/>
    <n v="3"/>
    <n v="6"/>
    <n v="0"/>
    <n v="6"/>
    <s v="No"/>
    <x v="0"/>
    <x v="0"/>
    <x v="0"/>
    <n v="0"/>
  </r>
  <r>
    <n v="1607"/>
    <n v="47"/>
    <x v="0"/>
    <x v="2"/>
    <s v="IT Support"/>
    <s v="Technical Degree"/>
    <s v="Divorced"/>
    <s v="Travel_Frequently"/>
    <n v="28"/>
    <n v="9714"/>
    <x v="0"/>
    <x v="0"/>
    <n v="2"/>
    <n v="15"/>
    <n v="3"/>
    <n v="27"/>
    <s v="No"/>
    <x v="1"/>
    <x v="1"/>
    <x v="0"/>
    <n v="0"/>
  </r>
  <r>
    <n v="1935"/>
    <n v="52"/>
    <x v="0"/>
    <x v="1"/>
    <s v="Research Director"/>
    <s v="Medical"/>
    <s v="Divorced"/>
    <s v="Non-Travel"/>
    <n v="8"/>
    <n v="14847"/>
    <x v="1"/>
    <x v="1"/>
    <n v="4"/>
    <n v="6"/>
    <n v="2"/>
    <n v="30"/>
    <s v="No"/>
    <x v="0"/>
    <x v="1"/>
    <x v="0"/>
    <n v="0"/>
  </r>
  <r>
    <n v="1409"/>
    <n v="60"/>
    <x v="1"/>
    <x v="4"/>
    <s v="Financial Analyst"/>
    <s v="Other"/>
    <s v="Married"/>
    <s v="Travel_Rarely"/>
    <n v="17"/>
    <n v="12562"/>
    <x v="0"/>
    <x v="0"/>
    <n v="4"/>
    <n v="12"/>
    <n v="4"/>
    <n v="37"/>
    <s v="No"/>
    <x v="1"/>
    <x v="1"/>
    <x v="0"/>
    <n v="0"/>
  </r>
  <r>
    <n v="1147"/>
    <n v="39"/>
    <x v="0"/>
    <x v="2"/>
    <s v="Data Analyst"/>
    <s v="Human Resources"/>
    <s v="Single"/>
    <s v="Non-Travel"/>
    <n v="5"/>
    <n v="7873"/>
    <x v="0"/>
    <x v="3"/>
    <n v="2"/>
    <n v="6"/>
    <n v="4"/>
    <n v="7"/>
    <s v="No"/>
    <x v="0"/>
    <x v="2"/>
    <x v="0"/>
    <n v="0"/>
  </r>
  <r>
    <n v="1964"/>
    <n v="42"/>
    <x v="0"/>
    <x v="4"/>
    <s v="Financial Analyst"/>
    <s v="Marketing"/>
    <s v="Married"/>
    <s v="Non-Travel"/>
    <n v="16"/>
    <n v="9194"/>
    <x v="0"/>
    <x v="3"/>
    <n v="2"/>
    <n v="10"/>
    <n v="7"/>
    <n v="19"/>
    <s v="No"/>
    <x v="1"/>
    <x v="2"/>
    <x v="0"/>
    <n v="0"/>
  </r>
  <r>
    <n v="1911"/>
    <n v="36"/>
    <x v="0"/>
    <x v="1"/>
    <s v="Healthcare Representative"/>
    <s v="Human Resources"/>
    <s v="Single"/>
    <s v="Travel_Rarely"/>
    <n v="12"/>
    <n v="3219"/>
    <x v="0"/>
    <x v="0"/>
    <n v="2"/>
    <n v="4"/>
    <n v="3"/>
    <n v="8"/>
    <s v="Yes"/>
    <x v="3"/>
    <x v="2"/>
    <x v="1"/>
    <n v="1"/>
  </r>
  <r>
    <n v="1687"/>
    <n v="57"/>
    <x v="0"/>
    <x v="0"/>
    <s v="Sales Manager"/>
    <s v="Medical"/>
    <s v="Single"/>
    <s v="Travel_Frequently"/>
    <n v="5"/>
    <n v="13092"/>
    <x v="0"/>
    <x v="1"/>
    <n v="2"/>
    <n v="23"/>
    <n v="23"/>
    <n v="29"/>
    <s v="No"/>
    <x v="1"/>
    <x v="1"/>
    <x v="0"/>
    <n v="0"/>
  </r>
  <r>
    <n v="1049"/>
    <n v="27"/>
    <x v="1"/>
    <x v="0"/>
    <s v="Sales Representative"/>
    <s v="Life Sciences"/>
    <s v="Single"/>
    <s v="Travel_Frequently"/>
    <n v="10"/>
    <n v="4826"/>
    <x v="0"/>
    <x v="3"/>
    <n v="2"/>
    <n v="0"/>
    <n v="0"/>
    <n v="5"/>
    <s v="Yes"/>
    <x v="2"/>
    <x v="0"/>
    <x v="3"/>
    <n v="1"/>
  </r>
  <r>
    <n v="1733"/>
    <n v="49"/>
    <x v="1"/>
    <x v="2"/>
    <s v="IT Support"/>
    <s v="Medical"/>
    <s v="Single"/>
    <s v="Travel_Frequently"/>
    <n v="5"/>
    <n v="11124"/>
    <x v="1"/>
    <x v="1"/>
    <n v="4"/>
    <n v="13"/>
    <n v="7"/>
    <n v="21"/>
    <s v="No"/>
    <x v="1"/>
    <x v="1"/>
    <x v="0"/>
    <n v="0"/>
  </r>
  <r>
    <n v="1469"/>
    <n v="52"/>
    <x v="0"/>
    <x v="0"/>
    <s v="Sales Representative"/>
    <s v="Other"/>
    <s v="Single"/>
    <s v="Travel_Frequently"/>
    <n v="21"/>
    <n v="8675"/>
    <x v="1"/>
    <x v="0"/>
    <n v="4"/>
    <n v="5"/>
    <n v="4"/>
    <n v="30"/>
    <s v="No"/>
    <x v="0"/>
    <x v="1"/>
    <x v="0"/>
    <n v="0"/>
  </r>
  <r>
    <n v="1375"/>
    <n v="27"/>
    <x v="1"/>
    <x v="1"/>
    <s v="Research Scientist"/>
    <s v="Marketing"/>
    <s v="Single"/>
    <s v="Travel_Frequently"/>
    <n v="22"/>
    <n v="4603"/>
    <x v="0"/>
    <x v="3"/>
    <n v="3"/>
    <n v="0"/>
    <n v="0"/>
    <n v="1"/>
    <s v="No"/>
    <x v="2"/>
    <x v="0"/>
    <x v="3"/>
    <n v="0"/>
  </r>
  <r>
    <n v="1036"/>
    <n v="41"/>
    <x v="0"/>
    <x v="0"/>
    <s v="Sales Representative"/>
    <s v="Marketing"/>
    <s v="Married"/>
    <s v="Travel_Frequently"/>
    <n v="12"/>
    <n v="6976"/>
    <x v="0"/>
    <x v="1"/>
    <n v="4"/>
    <n v="3"/>
    <n v="3"/>
    <n v="12"/>
    <s v="No"/>
    <x v="3"/>
    <x v="2"/>
    <x v="2"/>
    <n v="0"/>
  </r>
  <r>
    <n v="1757"/>
    <n v="55"/>
    <x v="0"/>
    <x v="2"/>
    <s v="IT Support"/>
    <s v="Technical Degree"/>
    <s v="Married"/>
    <s v="Travel_Rarely"/>
    <n v="14"/>
    <n v="13285"/>
    <x v="0"/>
    <x v="1"/>
    <n v="1"/>
    <n v="16"/>
    <n v="8"/>
    <n v="29"/>
    <s v="No"/>
    <x v="1"/>
    <x v="1"/>
    <x v="0"/>
    <n v="0"/>
  </r>
  <r>
    <n v="1229"/>
    <n v="31"/>
    <x v="1"/>
    <x v="3"/>
    <s v="HR Manager"/>
    <s v="Technical Degree"/>
    <s v="Single"/>
    <s v="Non-Travel"/>
    <n v="8"/>
    <n v="9834"/>
    <x v="0"/>
    <x v="0"/>
    <n v="4"/>
    <n v="1"/>
    <n v="1"/>
    <n v="3"/>
    <s v="No"/>
    <x v="2"/>
    <x v="0"/>
    <x v="0"/>
    <n v="0"/>
  </r>
  <r>
    <n v="1540"/>
    <n v="55"/>
    <x v="0"/>
    <x v="2"/>
    <s v="Software Engineer"/>
    <s v="Life Sciences"/>
    <s v="Divorced"/>
    <s v="Travel_Rarely"/>
    <n v="23"/>
    <n v="12378"/>
    <x v="0"/>
    <x v="0"/>
    <n v="3"/>
    <n v="6"/>
    <n v="4"/>
    <n v="35"/>
    <s v="No"/>
    <x v="0"/>
    <x v="1"/>
    <x v="0"/>
    <n v="0"/>
  </r>
  <r>
    <n v="1893"/>
    <n v="54"/>
    <x v="0"/>
    <x v="2"/>
    <s v="Data Analyst"/>
    <s v="Technical Degree"/>
    <s v="Single"/>
    <s v="Travel_Frequently"/>
    <n v="21"/>
    <n v="11729"/>
    <x v="0"/>
    <x v="3"/>
    <n v="1"/>
    <n v="16"/>
    <n v="5"/>
    <n v="27"/>
    <s v="No"/>
    <x v="1"/>
    <x v="1"/>
    <x v="0"/>
    <n v="0"/>
  </r>
  <r>
    <n v="1016"/>
    <n v="48"/>
    <x v="1"/>
    <x v="0"/>
    <s v="Sales Executive"/>
    <s v="Other"/>
    <s v="Married"/>
    <s v="Non-Travel"/>
    <n v="16"/>
    <n v="7485"/>
    <x v="1"/>
    <x v="1"/>
    <n v="2"/>
    <n v="3"/>
    <n v="0"/>
    <n v="27"/>
    <s v="No"/>
    <x v="3"/>
    <x v="1"/>
    <x v="2"/>
    <n v="0"/>
  </r>
  <r>
    <n v="1669"/>
    <n v="24"/>
    <x v="1"/>
    <x v="0"/>
    <s v="Sales Executive"/>
    <s v="Marketing"/>
    <s v="Married"/>
    <s v="Travel_Frequently"/>
    <n v="23"/>
    <n v="6126"/>
    <x v="0"/>
    <x v="2"/>
    <n v="2"/>
    <n v="3"/>
    <n v="1"/>
    <n v="4"/>
    <s v="No"/>
    <x v="3"/>
    <x v="3"/>
    <x v="2"/>
    <n v="0"/>
  </r>
  <r>
    <n v="1532"/>
    <n v="52"/>
    <x v="1"/>
    <x v="0"/>
    <s v="Sales Representative"/>
    <s v="Technical Degree"/>
    <s v="Married"/>
    <s v="Non-Travel"/>
    <n v="23"/>
    <n v="10172"/>
    <x v="1"/>
    <x v="0"/>
    <n v="2"/>
    <n v="17"/>
    <n v="5"/>
    <n v="30"/>
    <s v="No"/>
    <x v="1"/>
    <x v="1"/>
    <x v="0"/>
    <n v="0"/>
  </r>
  <r>
    <n v="1045"/>
    <n v="55"/>
    <x v="0"/>
    <x v="1"/>
    <s v="Research Director"/>
    <s v="Marketing"/>
    <s v="Single"/>
    <s v="Non-Travel"/>
    <n v="21"/>
    <n v="15617"/>
    <x v="0"/>
    <x v="2"/>
    <n v="2"/>
    <n v="2"/>
    <n v="0"/>
    <n v="35"/>
    <s v="No"/>
    <x v="3"/>
    <x v="1"/>
    <x v="0"/>
    <n v="0"/>
  </r>
  <r>
    <n v="1304"/>
    <n v="60"/>
    <x v="0"/>
    <x v="0"/>
    <s v="Sales Representative"/>
    <s v="Business"/>
    <s v="Divorced"/>
    <s v="Travel_Rarely"/>
    <n v="12"/>
    <n v="12060"/>
    <x v="1"/>
    <x v="1"/>
    <n v="1"/>
    <n v="4"/>
    <n v="3"/>
    <n v="38"/>
    <s v="Yes"/>
    <x v="3"/>
    <x v="1"/>
    <x v="0"/>
    <n v="1"/>
  </r>
  <r>
    <n v="1539"/>
    <n v="37"/>
    <x v="1"/>
    <x v="4"/>
    <s v="Accountant"/>
    <s v="Medical"/>
    <s v="Single"/>
    <s v="Travel_Rarely"/>
    <n v="18"/>
    <n v="5255"/>
    <x v="1"/>
    <x v="0"/>
    <n v="1"/>
    <n v="3"/>
    <n v="2"/>
    <n v="5"/>
    <s v="No"/>
    <x v="3"/>
    <x v="2"/>
    <x v="3"/>
    <n v="0"/>
  </r>
  <r>
    <n v="1306"/>
    <n v="52"/>
    <x v="1"/>
    <x v="0"/>
    <s v="Sales Manager"/>
    <s v="Medical"/>
    <s v="Married"/>
    <s v="Travel_Rarely"/>
    <n v="6"/>
    <n v="12919"/>
    <x v="0"/>
    <x v="0"/>
    <n v="2"/>
    <n v="5"/>
    <n v="5"/>
    <n v="24"/>
    <s v="Yes"/>
    <x v="0"/>
    <x v="1"/>
    <x v="0"/>
    <n v="1"/>
  </r>
  <r>
    <n v="1416"/>
    <n v="47"/>
    <x v="1"/>
    <x v="0"/>
    <s v="Sales Executive"/>
    <s v="Business"/>
    <s v="Divorced"/>
    <s v="Non-Travel"/>
    <n v="26"/>
    <n v="10710"/>
    <x v="0"/>
    <x v="3"/>
    <n v="3"/>
    <n v="12"/>
    <n v="5"/>
    <n v="18"/>
    <s v="No"/>
    <x v="1"/>
    <x v="1"/>
    <x v="0"/>
    <n v="0"/>
  </r>
  <r>
    <n v="1047"/>
    <n v="54"/>
    <x v="0"/>
    <x v="0"/>
    <s v="Sales Executive"/>
    <s v="Life Sciences"/>
    <s v="Married"/>
    <s v="Non-Travel"/>
    <n v="27"/>
    <n v="10668"/>
    <x v="0"/>
    <x v="0"/>
    <n v="3"/>
    <n v="6"/>
    <n v="1"/>
    <n v="34"/>
    <s v="No"/>
    <x v="0"/>
    <x v="1"/>
    <x v="0"/>
    <n v="0"/>
  </r>
  <r>
    <n v="1865"/>
    <n v="42"/>
    <x v="0"/>
    <x v="0"/>
    <s v="Sales Representative"/>
    <s v="Marketing"/>
    <s v="Married"/>
    <s v="Travel_Frequently"/>
    <n v="13"/>
    <n v="7729"/>
    <x v="0"/>
    <x v="2"/>
    <n v="1"/>
    <n v="9"/>
    <n v="6"/>
    <n v="20"/>
    <s v="Yes"/>
    <x v="0"/>
    <x v="2"/>
    <x v="0"/>
    <n v="1"/>
  </r>
  <r>
    <n v="1877"/>
    <n v="42"/>
    <x v="0"/>
    <x v="4"/>
    <s v="Financial Analyst"/>
    <s v="Marketing"/>
    <s v="Single"/>
    <s v="Travel_Rarely"/>
    <n v="28"/>
    <n v="10349"/>
    <x v="0"/>
    <x v="1"/>
    <n v="4"/>
    <n v="14"/>
    <n v="1"/>
    <n v="22"/>
    <s v="No"/>
    <x v="1"/>
    <x v="2"/>
    <x v="0"/>
    <n v="0"/>
  </r>
  <r>
    <n v="1206"/>
    <n v="29"/>
    <x v="1"/>
    <x v="4"/>
    <s v="Financial Analyst"/>
    <s v="Human Resources"/>
    <s v="Married"/>
    <s v="Non-Travel"/>
    <n v="13"/>
    <n v="7577"/>
    <x v="0"/>
    <x v="0"/>
    <n v="1"/>
    <n v="3"/>
    <n v="2"/>
    <n v="9"/>
    <s v="No"/>
    <x v="3"/>
    <x v="0"/>
    <x v="0"/>
    <n v="0"/>
  </r>
  <r>
    <n v="1925"/>
    <n v="59"/>
    <x v="0"/>
    <x v="1"/>
    <s v="Healthcare Representative"/>
    <s v="Technical Degree"/>
    <s v="Divorced"/>
    <s v="Travel_Frequently"/>
    <n v="3"/>
    <n v="12056"/>
    <x v="1"/>
    <x v="1"/>
    <n v="1"/>
    <n v="25"/>
    <n v="24"/>
    <n v="30"/>
    <s v="Yes"/>
    <x v="1"/>
    <x v="1"/>
    <x v="0"/>
    <n v="1"/>
  </r>
  <r>
    <n v="1769"/>
    <n v="44"/>
    <x v="1"/>
    <x v="2"/>
    <s v="Software Engineer"/>
    <s v="Human Resources"/>
    <s v="Married"/>
    <s v="Travel_Frequently"/>
    <n v="19"/>
    <n v="9384"/>
    <x v="0"/>
    <x v="1"/>
    <n v="2"/>
    <n v="4"/>
    <n v="3"/>
    <n v="20"/>
    <s v="No"/>
    <x v="3"/>
    <x v="2"/>
    <x v="0"/>
    <n v="0"/>
  </r>
  <r>
    <n v="1883"/>
    <n v="39"/>
    <x v="0"/>
    <x v="0"/>
    <s v="Sales Executive"/>
    <s v="Human Resources"/>
    <s v="Single"/>
    <s v="Travel_Rarely"/>
    <n v="29"/>
    <n v="7950"/>
    <x v="0"/>
    <x v="1"/>
    <n v="1"/>
    <n v="4"/>
    <n v="4"/>
    <n v="11"/>
    <s v="No"/>
    <x v="3"/>
    <x v="2"/>
    <x v="0"/>
    <n v="0"/>
  </r>
  <r>
    <n v="1199"/>
    <n v="39"/>
    <x v="1"/>
    <x v="2"/>
    <s v="Data Analyst"/>
    <s v="Medical"/>
    <s v="Divorced"/>
    <s v="Travel_Frequently"/>
    <n v="20"/>
    <n v="6111"/>
    <x v="1"/>
    <x v="1"/>
    <n v="4"/>
    <n v="3"/>
    <n v="0"/>
    <n v="12"/>
    <s v="No"/>
    <x v="3"/>
    <x v="2"/>
    <x v="2"/>
    <n v="0"/>
  </r>
  <r>
    <n v="1242"/>
    <n v="43"/>
    <x v="1"/>
    <x v="0"/>
    <s v="Sales Manager"/>
    <s v="Other"/>
    <s v="Married"/>
    <s v="Travel_Rarely"/>
    <n v="9"/>
    <n v="10152"/>
    <x v="0"/>
    <x v="2"/>
    <n v="1"/>
    <n v="4"/>
    <n v="2"/>
    <n v="12"/>
    <s v="No"/>
    <x v="3"/>
    <x v="2"/>
    <x v="0"/>
    <n v="0"/>
  </r>
  <r>
    <n v="1802"/>
    <n v="50"/>
    <x v="1"/>
    <x v="1"/>
    <s v="Research Director"/>
    <s v="Marketing"/>
    <s v="Single"/>
    <s v="Non-Travel"/>
    <n v="14"/>
    <n v="12379"/>
    <x v="1"/>
    <x v="3"/>
    <n v="4"/>
    <n v="14"/>
    <n v="11"/>
    <n v="14"/>
    <s v="Yes"/>
    <x v="1"/>
    <x v="1"/>
    <x v="0"/>
    <n v="1"/>
  </r>
  <r>
    <n v="1525"/>
    <n v="47"/>
    <x v="1"/>
    <x v="0"/>
    <s v="Sales Manager"/>
    <s v="Marketing"/>
    <s v="Divorced"/>
    <s v="Travel_Frequently"/>
    <n v="12"/>
    <n v="12329"/>
    <x v="0"/>
    <x v="2"/>
    <n v="2"/>
    <n v="1"/>
    <n v="1"/>
    <n v="23"/>
    <s v="No"/>
    <x v="2"/>
    <x v="1"/>
    <x v="0"/>
    <n v="0"/>
  </r>
  <r>
    <n v="1249"/>
    <n v="43"/>
    <x v="1"/>
    <x v="0"/>
    <s v="Sales Executive"/>
    <s v="Life Sciences"/>
    <s v="Single"/>
    <s v="Travel_Rarely"/>
    <n v="29"/>
    <n v="8428"/>
    <x v="1"/>
    <x v="1"/>
    <n v="2"/>
    <n v="16"/>
    <n v="6"/>
    <n v="23"/>
    <s v="Yes"/>
    <x v="1"/>
    <x v="2"/>
    <x v="0"/>
    <n v="1"/>
  </r>
  <r>
    <n v="1337"/>
    <n v="59"/>
    <x v="0"/>
    <x v="3"/>
    <s v="HR Manager"/>
    <s v="Medical"/>
    <s v="Married"/>
    <s v="Travel_Frequently"/>
    <n v="5"/>
    <n v="16831"/>
    <x v="0"/>
    <x v="3"/>
    <n v="4"/>
    <n v="21"/>
    <n v="17"/>
    <n v="35"/>
    <s v="No"/>
    <x v="1"/>
    <x v="1"/>
    <x v="0"/>
    <n v="0"/>
  </r>
  <r>
    <n v="1266"/>
    <n v="41"/>
    <x v="1"/>
    <x v="1"/>
    <s v="Laboratory Technician"/>
    <s v="Marketing"/>
    <s v="Single"/>
    <s v="Travel_Frequently"/>
    <n v="17"/>
    <n v="10287"/>
    <x v="0"/>
    <x v="2"/>
    <n v="4"/>
    <n v="20"/>
    <n v="18"/>
    <n v="21"/>
    <s v="No"/>
    <x v="1"/>
    <x v="2"/>
    <x v="0"/>
    <n v="0"/>
  </r>
  <r>
    <n v="1891"/>
    <n v="47"/>
    <x v="1"/>
    <x v="0"/>
    <s v="Sales Representative"/>
    <s v="Other"/>
    <s v="Married"/>
    <s v="Travel_Rarely"/>
    <n v="23"/>
    <n v="4896"/>
    <x v="1"/>
    <x v="2"/>
    <n v="1"/>
    <n v="2"/>
    <n v="0"/>
    <n v="14"/>
    <s v="Yes"/>
    <x v="3"/>
    <x v="1"/>
    <x v="3"/>
    <n v="1"/>
  </r>
  <r>
    <n v="1289"/>
    <n v="29"/>
    <x v="0"/>
    <x v="1"/>
    <s v="Healthcare Representative"/>
    <s v="Technical Degree"/>
    <s v="Single"/>
    <s v="Travel_Frequently"/>
    <n v="3"/>
    <n v="6703"/>
    <x v="0"/>
    <x v="3"/>
    <n v="4"/>
    <n v="2"/>
    <n v="2"/>
    <n v="2"/>
    <s v="No"/>
    <x v="3"/>
    <x v="0"/>
    <x v="2"/>
    <n v="0"/>
  </r>
  <r>
    <n v="1915"/>
    <n v="45"/>
    <x v="0"/>
    <x v="2"/>
    <s v="Software Engineer"/>
    <s v="Unknown"/>
    <s v="Married"/>
    <s v="Non-Travel"/>
    <n v="18"/>
    <n v="11559"/>
    <x v="1"/>
    <x v="3"/>
    <n v="4"/>
    <n v="17"/>
    <n v="9"/>
    <n v="22"/>
    <s v="No"/>
    <x v="1"/>
    <x v="2"/>
    <x v="0"/>
    <n v="0"/>
  </r>
  <r>
    <n v="1342"/>
    <n v="30"/>
    <x v="0"/>
    <x v="1"/>
    <s v="Research Director"/>
    <s v="Marketing"/>
    <s v="Divorced"/>
    <s v="Travel_Rarely"/>
    <n v="14"/>
    <n v="8699"/>
    <x v="0"/>
    <x v="0"/>
    <n v="3"/>
    <n v="0"/>
    <n v="0"/>
    <n v="0"/>
    <s v="No"/>
    <x v="2"/>
    <x v="0"/>
    <x v="0"/>
    <n v="0"/>
  </r>
  <r>
    <n v="1185"/>
    <n v="57"/>
    <x v="1"/>
    <x v="0"/>
    <s v="Sales Manager"/>
    <s v="Medical"/>
    <s v="Divorced"/>
    <s v="Travel_Rarely"/>
    <n v="26"/>
    <n v="11339"/>
    <x v="0"/>
    <x v="3"/>
    <n v="2"/>
    <n v="19"/>
    <n v="13"/>
    <n v="29"/>
    <s v="Yes"/>
    <x v="1"/>
    <x v="1"/>
    <x v="0"/>
    <n v="1"/>
  </r>
  <r>
    <n v="1965"/>
    <n v="30"/>
    <x v="1"/>
    <x v="4"/>
    <s v="Finance Manager"/>
    <s v="Life Sciences"/>
    <s v="Married"/>
    <s v="Travel_Frequently"/>
    <n v="26"/>
    <n v="10965"/>
    <x v="0"/>
    <x v="0"/>
    <n v="3"/>
    <n v="3"/>
    <n v="0"/>
    <n v="3"/>
    <s v="No"/>
    <x v="3"/>
    <x v="0"/>
    <x v="0"/>
    <n v="0"/>
  </r>
  <r>
    <n v="1516"/>
    <n v="43"/>
    <x v="0"/>
    <x v="4"/>
    <s v="Financial Analyst"/>
    <s v="Technical Degree"/>
    <s v="Single"/>
    <s v="Non-Travel"/>
    <n v="16"/>
    <n v="9617"/>
    <x v="0"/>
    <x v="1"/>
    <n v="2"/>
    <n v="6"/>
    <n v="3"/>
    <n v="17"/>
    <s v="No"/>
    <x v="0"/>
    <x v="2"/>
    <x v="0"/>
    <n v="0"/>
  </r>
  <r>
    <n v="1355"/>
    <n v="40"/>
    <x v="1"/>
    <x v="4"/>
    <s v="Financial Analyst"/>
    <s v="Marketing"/>
    <s v="Married"/>
    <s v="Travel_Frequently"/>
    <n v="17"/>
    <n v="7701"/>
    <x v="1"/>
    <x v="2"/>
    <n v="1"/>
    <n v="1"/>
    <n v="0"/>
    <n v="9"/>
    <s v="Yes"/>
    <x v="2"/>
    <x v="2"/>
    <x v="0"/>
    <n v="1"/>
  </r>
  <r>
    <n v="1578"/>
    <n v="52"/>
    <x v="0"/>
    <x v="0"/>
    <s v="Sales Executive"/>
    <s v="Human Resources"/>
    <s v="Divorced"/>
    <s v="Travel_Rarely"/>
    <n v="3"/>
    <n v="9003"/>
    <x v="0"/>
    <x v="3"/>
    <n v="1"/>
    <n v="14"/>
    <n v="2"/>
    <n v="28"/>
    <s v="No"/>
    <x v="1"/>
    <x v="1"/>
    <x v="0"/>
    <n v="0"/>
  </r>
  <r>
    <n v="1830"/>
    <n v="44"/>
    <x v="1"/>
    <x v="0"/>
    <s v="Sales Manager"/>
    <s v="Other"/>
    <s v="Married"/>
    <s v="Travel_Frequently"/>
    <n v="21"/>
    <n v="11923"/>
    <x v="1"/>
    <x v="0"/>
    <n v="4"/>
    <n v="12"/>
    <n v="6"/>
    <n v="19"/>
    <s v="Yes"/>
    <x v="1"/>
    <x v="2"/>
    <x v="0"/>
    <n v="1"/>
  </r>
  <r>
    <n v="1091"/>
    <n v="30"/>
    <x v="1"/>
    <x v="1"/>
    <s v="Research Director"/>
    <s v="Life Sciences"/>
    <s v="Single"/>
    <s v="Non-Travel"/>
    <n v="27"/>
    <n v="11815"/>
    <x v="0"/>
    <x v="0"/>
    <n v="3"/>
    <n v="8"/>
    <n v="8"/>
    <n v="10"/>
    <s v="No"/>
    <x v="0"/>
    <x v="0"/>
    <x v="0"/>
    <n v="0"/>
  </r>
  <r>
    <n v="1663"/>
    <n v="42"/>
    <x v="0"/>
    <x v="3"/>
    <s v="HR Manager"/>
    <s v="Life Sciences"/>
    <s v="Married"/>
    <s v="Non-Travel"/>
    <n v="5"/>
    <n v="11114"/>
    <x v="0"/>
    <x v="1"/>
    <n v="1"/>
    <n v="15"/>
    <n v="11"/>
    <n v="20"/>
    <s v="No"/>
    <x v="1"/>
    <x v="2"/>
    <x v="0"/>
    <n v="0"/>
  </r>
  <r>
    <n v="1221"/>
    <n v="40"/>
    <x v="1"/>
    <x v="4"/>
    <s v="Finance Manager"/>
    <s v="Life Sciences"/>
    <s v="Divorced"/>
    <s v="Non-Travel"/>
    <n v="23"/>
    <n v="16275"/>
    <x v="0"/>
    <x v="3"/>
    <n v="4"/>
    <n v="19"/>
    <n v="11"/>
    <n v="20"/>
    <s v="No"/>
    <x v="1"/>
    <x v="2"/>
    <x v="0"/>
    <n v="0"/>
  </r>
  <r>
    <n v="1280"/>
    <n v="55"/>
    <x v="0"/>
    <x v="0"/>
    <s v="Sales Representative"/>
    <s v="Business"/>
    <s v="Divorced"/>
    <s v="Non-Travel"/>
    <n v="1"/>
    <n v="12613"/>
    <x v="0"/>
    <x v="2"/>
    <n v="4"/>
    <n v="8"/>
    <n v="6"/>
    <n v="35"/>
    <s v="No"/>
    <x v="0"/>
    <x v="1"/>
    <x v="0"/>
    <n v="0"/>
  </r>
  <r>
    <n v="1352"/>
    <n v="59"/>
    <x v="0"/>
    <x v="2"/>
    <s v="Software Engineer"/>
    <s v="Human Resources"/>
    <s v="Divorced"/>
    <s v="Non-Travel"/>
    <n v="1"/>
    <n v="11866"/>
    <x v="0"/>
    <x v="1"/>
    <n v="3"/>
    <n v="9"/>
    <n v="0"/>
    <n v="39"/>
    <s v="No"/>
    <x v="0"/>
    <x v="1"/>
    <x v="0"/>
    <n v="0"/>
  </r>
  <r>
    <n v="1868"/>
    <n v="35"/>
    <x v="1"/>
    <x v="2"/>
    <s v="IT Manager"/>
    <s v="Medical"/>
    <s v="Single"/>
    <s v="Travel_Rarely"/>
    <n v="12"/>
    <n v="13098"/>
    <x v="1"/>
    <x v="1"/>
    <n v="3"/>
    <n v="6"/>
    <n v="0"/>
    <n v="9"/>
    <s v="No"/>
    <x v="0"/>
    <x v="0"/>
    <x v="0"/>
    <n v="0"/>
  </r>
  <r>
    <n v="1157"/>
    <n v="42"/>
    <x v="1"/>
    <x v="1"/>
    <s v="Laboratory Technician"/>
    <s v="Business"/>
    <s v="Married"/>
    <s v="Non-Travel"/>
    <n v="22"/>
    <n v="11333"/>
    <x v="0"/>
    <x v="1"/>
    <n v="1"/>
    <n v="15"/>
    <n v="5"/>
    <n v="21"/>
    <s v="Yes"/>
    <x v="1"/>
    <x v="2"/>
    <x v="0"/>
    <n v="1"/>
  </r>
  <r>
    <n v="1601"/>
    <n v="48"/>
    <x v="1"/>
    <x v="0"/>
    <s v="Sales Executive"/>
    <s v="Human Resources"/>
    <s v="Divorced"/>
    <s v="Non-Travel"/>
    <n v="28"/>
    <n v="8403"/>
    <x v="0"/>
    <x v="3"/>
    <n v="3"/>
    <n v="6"/>
    <n v="0"/>
    <n v="20"/>
    <s v="No"/>
    <x v="0"/>
    <x v="1"/>
    <x v="0"/>
    <n v="0"/>
  </r>
  <r>
    <n v="1958"/>
    <n v="33"/>
    <x v="1"/>
    <x v="3"/>
    <s v="HR Manager"/>
    <s v="Business"/>
    <s v="Married"/>
    <s v="Travel_Rarely"/>
    <n v="6"/>
    <n v="9463"/>
    <x v="0"/>
    <x v="1"/>
    <n v="3"/>
    <n v="0"/>
    <n v="0"/>
    <n v="0"/>
    <s v="Yes"/>
    <x v="2"/>
    <x v="0"/>
    <x v="0"/>
    <n v="1"/>
  </r>
  <r>
    <n v="1864"/>
    <n v="40"/>
    <x v="0"/>
    <x v="2"/>
    <s v="Software Engineer"/>
    <s v="Other"/>
    <s v="Married"/>
    <s v="Travel_Rarely"/>
    <n v="16"/>
    <n v="8639"/>
    <x v="0"/>
    <x v="0"/>
    <n v="2"/>
    <n v="20"/>
    <n v="19"/>
    <n v="20"/>
    <s v="No"/>
    <x v="1"/>
    <x v="2"/>
    <x v="0"/>
    <n v="0"/>
  </r>
  <r>
    <n v="1996"/>
    <n v="47"/>
    <x v="0"/>
    <x v="2"/>
    <s v="Data Analyst"/>
    <s v="Business"/>
    <s v="Married"/>
    <s v="Travel_Rarely"/>
    <n v="16"/>
    <n v="7895"/>
    <x v="1"/>
    <x v="1"/>
    <n v="4"/>
    <n v="11"/>
    <n v="10"/>
    <n v="20"/>
    <s v="No"/>
    <x v="1"/>
    <x v="1"/>
    <x v="0"/>
    <n v="0"/>
  </r>
  <r>
    <n v="1348"/>
    <n v="29"/>
    <x v="1"/>
    <x v="1"/>
    <s v="Laboratory Technician"/>
    <s v="Medical"/>
    <s v="Single"/>
    <s v="Travel_Rarely"/>
    <n v="13"/>
    <n v="7928"/>
    <x v="0"/>
    <x v="3"/>
    <n v="4"/>
    <n v="6"/>
    <n v="3"/>
    <n v="9"/>
    <s v="No"/>
    <x v="0"/>
    <x v="0"/>
    <x v="0"/>
    <n v="0"/>
  </r>
  <r>
    <n v="1589"/>
    <n v="37"/>
    <x v="0"/>
    <x v="4"/>
    <s v="Financial Analyst"/>
    <s v="Life Sciences"/>
    <s v="Single"/>
    <s v="Travel_Frequently"/>
    <n v="24"/>
    <n v="9763"/>
    <x v="1"/>
    <x v="0"/>
    <n v="1"/>
    <n v="0"/>
    <n v="0"/>
    <n v="9"/>
    <s v="Yes"/>
    <x v="2"/>
    <x v="2"/>
    <x v="0"/>
    <n v="1"/>
  </r>
  <r>
    <n v="1700"/>
    <n v="24"/>
    <x v="1"/>
    <x v="0"/>
    <s v="Sales Manager"/>
    <s v="Human Resources"/>
    <s v="Divorced"/>
    <s v="Non-Travel"/>
    <n v="6"/>
    <n v="10295"/>
    <x v="1"/>
    <x v="3"/>
    <n v="3"/>
    <n v="1"/>
    <n v="1"/>
    <n v="1"/>
    <s v="No"/>
    <x v="2"/>
    <x v="3"/>
    <x v="0"/>
    <n v="0"/>
  </r>
  <r>
    <n v="1780"/>
    <n v="54"/>
    <x v="0"/>
    <x v="4"/>
    <s v="Finance Manager"/>
    <s v="Marketing"/>
    <s v="Divorced"/>
    <s v="Non-Travel"/>
    <n v="19"/>
    <n v="14645"/>
    <x v="0"/>
    <x v="3"/>
    <n v="3"/>
    <n v="0"/>
    <n v="0"/>
    <n v="30"/>
    <s v="No"/>
    <x v="2"/>
    <x v="1"/>
    <x v="0"/>
    <n v="0"/>
  </r>
  <r>
    <n v="1558"/>
    <n v="22"/>
    <x v="1"/>
    <x v="4"/>
    <s v="Accountant"/>
    <s v="Life Sciences"/>
    <s v="Single"/>
    <s v="Non-Travel"/>
    <n v="18"/>
    <n v="5935"/>
    <x v="0"/>
    <x v="0"/>
    <n v="2"/>
    <n v="1"/>
    <n v="0"/>
    <n v="1"/>
    <s v="Yes"/>
    <x v="2"/>
    <x v="3"/>
    <x v="2"/>
    <n v="1"/>
  </r>
  <r>
    <n v="1462"/>
    <n v="24"/>
    <x v="1"/>
    <x v="0"/>
    <s v="Sales Executive"/>
    <s v="Other"/>
    <s v="Single"/>
    <s v="Travel_Frequently"/>
    <n v="20"/>
    <n v="5203"/>
    <x v="1"/>
    <x v="2"/>
    <n v="3"/>
    <n v="0"/>
    <n v="0"/>
    <n v="0"/>
    <s v="No"/>
    <x v="2"/>
    <x v="3"/>
    <x v="3"/>
    <n v="0"/>
  </r>
  <r>
    <n v="1341"/>
    <n v="32"/>
    <x v="0"/>
    <x v="0"/>
    <s v="Sales Representative"/>
    <s v="Business"/>
    <s v="Single"/>
    <s v="Non-Travel"/>
    <n v="23"/>
    <n v="8918"/>
    <x v="0"/>
    <x v="1"/>
    <n v="3"/>
    <n v="9"/>
    <n v="2"/>
    <n v="10"/>
    <s v="No"/>
    <x v="0"/>
    <x v="0"/>
    <x v="0"/>
    <n v="0"/>
  </r>
  <r>
    <n v="1803"/>
    <n v="32"/>
    <x v="1"/>
    <x v="1"/>
    <s v="Laboratory Technician"/>
    <s v="Life Sciences"/>
    <s v="Married"/>
    <s v="Travel_Frequently"/>
    <n v="21"/>
    <n v="4867"/>
    <x v="1"/>
    <x v="2"/>
    <n v="2"/>
    <n v="2"/>
    <n v="0"/>
    <n v="5"/>
    <s v="No"/>
    <x v="3"/>
    <x v="0"/>
    <x v="3"/>
    <n v="0"/>
  </r>
  <r>
    <n v="1851"/>
    <n v="24"/>
    <x v="1"/>
    <x v="0"/>
    <s v="Sales Representative"/>
    <s v="Marketing"/>
    <s v="Divorced"/>
    <s v="Travel_Rarely"/>
    <n v="15"/>
    <n v="5770"/>
    <x v="0"/>
    <x v="0"/>
    <n v="3"/>
    <n v="0"/>
    <n v="0"/>
    <n v="0"/>
    <s v="Yes"/>
    <x v="2"/>
    <x v="3"/>
    <x v="2"/>
    <n v="1"/>
  </r>
  <r>
    <n v="1133"/>
    <n v="59"/>
    <x v="0"/>
    <x v="1"/>
    <s v="Research Director"/>
    <s v="Human Resources"/>
    <s v="Married"/>
    <s v="Travel_Rarely"/>
    <n v="23"/>
    <n v="13408"/>
    <x v="0"/>
    <x v="3"/>
    <n v="3"/>
    <n v="8"/>
    <n v="8"/>
    <n v="22"/>
    <s v="No"/>
    <x v="0"/>
    <x v="1"/>
    <x v="0"/>
    <n v="0"/>
  </r>
  <r>
    <n v="1665"/>
    <n v="58"/>
    <x v="1"/>
    <x v="2"/>
    <s v="IT Manager"/>
    <s v="Technical Degree"/>
    <s v="Divorced"/>
    <s v="Non-Travel"/>
    <n v="18"/>
    <n v="14685"/>
    <x v="0"/>
    <x v="2"/>
    <n v="4"/>
    <n v="25"/>
    <n v="20"/>
    <n v="35"/>
    <s v="No"/>
    <x v="1"/>
    <x v="1"/>
    <x v="0"/>
    <n v="0"/>
  </r>
  <r>
    <n v="1037"/>
    <n v="51"/>
    <x v="0"/>
    <x v="2"/>
    <s v="Software Engineer"/>
    <s v="Life Sciences"/>
    <s v="Divorced"/>
    <s v="Travel_Frequently"/>
    <n v="27"/>
    <n v="12610"/>
    <x v="0"/>
    <x v="0"/>
    <n v="4"/>
    <n v="0"/>
    <n v="0"/>
    <n v="28"/>
    <s v="No"/>
    <x v="2"/>
    <x v="1"/>
    <x v="0"/>
    <n v="0"/>
  </r>
  <r>
    <n v="1729"/>
    <n v="27"/>
    <x v="1"/>
    <x v="0"/>
    <s v="Sales Manager"/>
    <s v="Other"/>
    <s v="Divorced"/>
    <s v="Travel_Frequently"/>
    <n v="29"/>
    <n v="10352"/>
    <x v="1"/>
    <x v="1"/>
    <n v="3"/>
    <n v="6"/>
    <n v="2"/>
    <n v="7"/>
    <s v="Yes"/>
    <x v="0"/>
    <x v="0"/>
    <x v="0"/>
    <n v="1"/>
  </r>
  <r>
    <n v="1923"/>
    <n v="32"/>
    <x v="0"/>
    <x v="4"/>
    <s v="Accountant"/>
    <s v="Technical Degree"/>
    <s v="Divorced"/>
    <s v="Travel_Frequently"/>
    <n v="11"/>
    <n v="6947"/>
    <x v="0"/>
    <x v="1"/>
    <n v="1"/>
    <n v="0"/>
    <n v="0"/>
    <n v="8"/>
    <s v="No"/>
    <x v="2"/>
    <x v="0"/>
    <x v="2"/>
    <n v="0"/>
  </r>
  <r>
    <n v="1468"/>
    <n v="37"/>
    <x v="0"/>
    <x v="1"/>
    <s v="Healthcare Representative"/>
    <s v="Business"/>
    <s v="Divorced"/>
    <s v="Travel_Frequently"/>
    <n v="4"/>
    <n v="8861"/>
    <x v="0"/>
    <x v="2"/>
    <n v="4"/>
    <n v="0"/>
    <n v="0"/>
    <n v="17"/>
    <s v="No"/>
    <x v="2"/>
    <x v="2"/>
    <x v="0"/>
    <n v="0"/>
  </r>
  <r>
    <n v="1370"/>
    <n v="41"/>
    <x v="1"/>
    <x v="2"/>
    <s v="IT Support"/>
    <s v="Business"/>
    <s v="Single"/>
    <s v="Travel_Rarely"/>
    <n v="24"/>
    <n v="9127"/>
    <x v="0"/>
    <x v="0"/>
    <n v="2"/>
    <n v="13"/>
    <n v="2"/>
    <n v="18"/>
    <s v="No"/>
    <x v="1"/>
    <x v="2"/>
    <x v="0"/>
    <n v="0"/>
  </r>
  <r>
    <n v="1887"/>
    <n v="38"/>
    <x v="1"/>
    <x v="2"/>
    <s v="IT Manager"/>
    <s v="Technical Degree"/>
    <s v="Divorced"/>
    <s v="Travel_Frequently"/>
    <n v="15"/>
    <n v="11869"/>
    <x v="0"/>
    <x v="0"/>
    <n v="3"/>
    <n v="7"/>
    <n v="4"/>
    <n v="15"/>
    <s v="No"/>
    <x v="0"/>
    <x v="2"/>
    <x v="0"/>
    <n v="0"/>
  </r>
  <r>
    <n v="1380"/>
    <n v="33"/>
    <x v="1"/>
    <x v="2"/>
    <s v="Software Engineer"/>
    <s v="Medical"/>
    <s v="Married"/>
    <s v="Non-Travel"/>
    <n v="20"/>
    <n v="6007"/>
    <x v="0"/>
    <x v="0"/>
    <n v="1"/>
    <n v="8"/>
    <n v="1"/>
    <n v="8"/>
    <s v="No"/>
    <x v="0"/>
    <x v="0"/>
    <x v="2"/>
    <n v="0"/>
  </r>
  <r>
    <n v="1132"/>
    <n v="23"/>
    <x v="0"/>
    <x v="2"/>
    <s v="IT Manager"/>
    <s v="Technical Degree"/>
    <s v="Married"/>
    <s v="Travel_Frequently"/>
    <n v="6"/>
    <n v="7971"/>
    <x v="0"/>
    <x v="2"/>
    <n v="4"/>
    <n v="0"/>
    <n v="0"/>
    <n v="0"/>
    <s v="No"/>
    <x v="2"/>
    <x v="3"/>
    <x v="0"/>
    <n v="0"/>
  </r>
  <r>
    <n v="1291"/>
    <n v="33"/>
    <x v="0"/>
    <x v="0"/>
    <s v="Sales Manager"/>
    <s v="Medical"/>
    <s v="Single"/>
    <s v="Travel_Frequently"/>
    <n v="2"/>
    <n v="8422"/>
    <x v="0"/>
    <x v="4"/>
    <n v="4"/>
    <n v="0"/>
    <n v="0"/>
    <n v="0"/>
    <s v="No"/>
    <x v="2"/>
    <x v="0"/>
    <x v="0"/>
    <n v="0"/>
  </r>
  <r>
    <n v="1541"/>
    <n v="58"/>
    <x v="0"/>
    <x v="1"/>
    <s v="Healthcare Representative"/>
    <s v="Human Resources"/>
    <s v="Divorced"/>
    <s v="Travel_Rarely"/>
    <n v="14"/>
    <n v="13372"/>
    <x v="0"/>
    <x v="1"/>
    <n v="1"/>
    <n v="4"/>
    <n v="0"/>
    <n v="28"/>
    <s v="No"/>
    <x v="3"/>
    <x v="1"/>
    <x v="0"/>
    <n v="0"/>
  </r>
  <r>
    <n v="1536"/>
    <n v="27"/>
    <x v="1"/>
    <x v="2"/>
    <s v="IT Manager"/>
    <s v="Business"/>
    <s v="Married"/>
    <s v="Travel_Frequently"/>
    <n v="8"/>
    <n v="11176"/>
    <x v="0"/>
    <x v="2"/>
    <n v="1"/>
    <n v="2"/>
    <n v="1"/>
    <n v="2"/>
    <s v="No"/>
    <x v="3"/>
    <x v="0"/>
    <x v="0"/>
    <n v="0"/>
  </r>
  <r>
    <n v="1051"/>
    <n v="25"/>
    <x v="1"/>
    <x v="0"/>
    <s v="Sales Manager"/>
    <s v="Business"/>
    <s v="Single"/>
    <s v="Travel_Rarely"/>
    <n v="20"/>
    <n v="9781"/>
    <x v="0"/>
    <x v="1"/>
    <n v="4"/>
    <n v="0"/>
    <n v="0"/>
    <n v="2"/>
    <s v="Yes"/>
    <x v="2"/>
    <x v="3"/>
    <x v="0"/>
    <n v="1"/>
  </r>
  <r>
    <n v="1404"/>
    <n v="53"/>
    <x v="1"/>
    <x v="2"/>
    <s v="Software Engineer"/>
    <s v="Human Resources"/>
    <s v="Married"/>
    <s v="Travel_Rarely"/>
    <n v="4"/>
    <n v="12428"/>
    <x v="1"/>
    <x v="1"/>
    <n v="1"/>
    <n v="5"/>
    <n v="2"/>
    <n v="25"/>
    <s v="No"/>
    <x v="0"/>
    <x v="1"/>
    <x v="0"/>
    <n v="0"/>
  </r>
  <r>
    <n v="1161"/>
    <n v="22"/>
    <x v="1"/>
    <x v="2"/>
    <s v="Data Analyst"/>
    <s v="Other"/>
    <s v="Married"/>
    <s v="Travel_Frequently"/>
    <n v="28"/>
    <n v="7217"/>
    <x v="1"/>
    <x v="1"/>
    <n v="2"/>
    <n v="2"/>
    <n v="1"/>
    <n v="2"/>
    <s v="Yes"/>
    <x v="3"/>
    <x v="3"/>
    <x v="2"/>
    <n v="1"/>
  </r>
  <r>
    <n v="1463"/>
    <n v="49"/>
    <x v="0"/>
    <x v="2"/>
    <s v="IT Manager"/>
    <s v="Marketing"/>
    <s v="Married"/>
    <s v="Travel_Rarely"/>
    <n v="29"/>
    <n v="16428"/>
    <x v="0"/>
    <x v="1"/>
    <n v="1"/>
    <n v="15"/>
    <n v="8"/>
    <n v="27"/>
    <s v="No"/>
    <x v="1"/>
    <x v="1"/>
    <x v="0"/>
    <n v="0"/>
  </r>
  <r>
    <n v="1361"/>
    <n v="43"/>
    <x v="1"/>
    <x v="1"/>
    <s v="Healthcare Representative"/>
    <s v="Medical"/>
    <s v="Married"/>
    <s v="Non-Travel"/>
    <n v="25"/>
    <n v="10468"/>
    <x v="1"/>
    <x v="3"/>
    <n v="2"/>
    <n v="15"/>
    <n v="4"/>
    <n v="20"/>
    <s v="No"/>
    <x v="1"/>
    <x v="2"/>
    <x v="0"/>
    <n v="0"/>
  </r>
  <r>
    <n v="1770"/>
    <n v="58"/>
    <x v="0"/>
    <x v="2"/>
    <s v="Data Analyst"/>
    <s v="Other"/>
    <s v="Married"/>
    <s v="Non-Travel"/>
    <n v="11"/>
    <n v="11255"/>
    <x v="0"/>
    <x v="3"/>
    <n v="3"/>
    <n v="14"/>
    <n v="5"/>
    <n v="27"/>
    <s v="No"/>
    <x v="1"/>
    <x v="1"/>
    <x v="0"/>
    <n v="0"/>
  </r>
  <r>
    <n v="1639"/>
    <n v="43"/>
    <x v="0"/>
    <x v="0"/>
    <s v="Sales Representative"/>
    <s v="Medical"/>
    <s v="Divorced"/>
    <s v="Travel_Rarely"/>
    <n v="15"/>
    <n v="9670"/>
    <x v="0"/>
    <x v="1"/>
    <n v="4"/>
    <n v="5"/>
    <n v="4"/>
    <n v="17"/>
    <s v="Yes"/>
    <x v="0"/>
    <x v="2"/>
    <x v="0"/>
    <n v="1"/>
  </r>
  <r>
    <n v="1746"/>
    <n v="34"/>
    <x v="1"/>
    <x v="1"/>
    <s v="Research Director"/>
    <s v="Business"/>
    <s v="Married"/>
    <s v="Travel_Rarely"/>
    <n v="26"/>
    <n v="11693"/>
    <x v="1"/>
    <x v="1"/>
    <n v="1"/>
    <n v="8"/>
    <n v="3"/>
    <n v="10"/>
    <s v="Yes"/>
    <x v="0"/>
    <x v="0"/>
    <x v="0"/>
    <n v="1"/>
  </r>
  <r>
    <n v="1627"/>
    <n v="54"/>
    <x v="0"/>
    <x v="2"/>
    <s v="Software Engineer"/>
    <s v="Marketing"/>
    <s v="Married"/>
    <s v="Non-Travel"/>
    <n v="11"/>
    <n v="13750"/>
    <x v="0"/>
    <x v="3"/>
    <n v="4"/>
    <n v="8"/>
    <n v="3"/>
    <n v="32"/>
    <s v="No"/>
    <x v="0"/>
    <x v="1"/>
    <x v="0"/>
    <n v="0"/>
  </r>
  <r>
    <n v="1806"/>
    <n v="33"/>
    <x v="1"/>
    <x v="0"/>
    <s v="Sales Executive"/>
    <s v="Life Sciences"/>
    <s v="Divorced"/>
    <s v="Travel_Rarely"/>
    <n v="29"/>
    <n v="8910"/>
    <x v="0"/>
    <x v="2"/>
    <n v="1"/>
    <n v="2"/>
    <n v="0"/>
    <n v="13"/>
    <s v="No"/>
    <x v="3"/>
    <x v="0"/>
    <x v="0"/>
    <n v="0"/>
  </r>
  <r>
    <n v="1479"/>
    <n v="50"/>
    <x v="0"/>
    <x v="1"/>
    <s v="Healthcare Representative"/>
    <s v="Other"/>
    <s v="Divorced"/>
    <s v="Travel_Frequently"/>
    <n v="29"/>
    <n v="5917"/>
    <x v="1"/>
    <x v="0"/>
    <n v="3"/>
    <n v="4"/>
    <n v="2"/>
    <n v="20"/>
    <s v="No"/>
    <x v="3"/>
    <x v="1"/>
    <x v="2"/>
    <n v="0"/>
  </r>
  <r>
    <n v="1318"/>
    <n v="36"/>
    <x v="1"/>
    <x v="1"/>
    <s v="Research Director"/>
    <s v="Life Sciences"/>
    <s v="Divorced"/>
    <s v="Travel_Frequently"/>
    <n v="22"/>
    <n v="11735"/>
    <x v="0"/>
    <x v="2"/>
    <n v="1"/>
    <n v="4"/>
    <n v="2"/>
    <n v="7"/>
    <s v="No"/>
    <x v="3"/>
    <x v="2"/>
    <x v="0"/>
    <n v="0"/>
  </r>
  <r>
    <n v="1302"/>
    <n v="33"/>
    <x v="0"/>
    <x v="4"/>
    <s v="Accountant"/>
    <s v="Human Resources"/>
    <s v="Married"/>
    <s v="Travel_Frequently"/>
    <n v="19"/>
    <n v="7350"/>
    <x v="0"/>
    <x v="2"/>
    <n v="3"/>
    <n v="1"/>
    <n v="0"/>
    <n v="1"/>
    <s v="No"/>
    <x v="2"/>
    <x v="0"/>
    <x v="2"/>
    <n v="0"/>
  </r>
  <r>
    <n v="1315"/>
    <n v="43"/>
    <x v="0"/>
    <x v="1"/>
    <s v="Research Director"/>
    <s v="Technical Degree"/>
    <s v="Divorced"/>
    <s v="Non-Travel"/>
    <n v="6"/>
    <n v="14225"/>
    <x v="1"/>
    <x v="0"/>
    <n v="4"/>
    <n v="13"/>
    <n v="11"/>
    <n v="21"/>
    <s v="No"/>
    <x v="1"/>
    <x v="2"/>
    <x v="0"/>
    <n v="0"/>
  </r>
  <r>
    <n v="1667"/>
    <n v="42"/>
    <x v="0"/>
    <x v="4"/>
    <s v="Financial Analyst"/>
    <s v="Human Resources"/>
    <s v="Single"/>
    <s v="Non-Travel"/>
    <n v="27"/>
    <n v="9969"/>
    <x v="1"/>
    <x v="3"/>
    <n v="4"/>
    <n v="2"/>
    <n v="1"/>
    <n v="11"/>
    <s v="Yes"/>
    <x v="3"/>
    <x v="2"/>
    <x v="0"/>
    <n v="1"/>
  </r>
  <r>
    <n v="1145"/>
    <n v="33"/>
    <x v="1"/>
    <x v="0"/>
    <s v="Sales Executive"/>
    <s v="Marketing"/>
    <s v="Single"/>
    <s v="Non-Travel"/>
    <n v="16"/>
    <n v="6258"/>
    <x v="0"/>
    <x v="1"/>
    <n v="1"/>
    <n v="5"/>
    <n v="5"/>
    <n v="7"/>
    <s v="Yes"/>
    <x v="0"/>
    <x v="0"/>
    <x v="2"/>
    <n v="1"/>
  </r>
  <r>
    <n v="1217"/>
    <n v="37"/>
    <x v="1"/>
    <x v="0"/>
    <s v="Sales Executive"/>
    <s v="Life Sciences"/>
    <s v="Divorced"/>
    <s v="Travel_Rarely"/>
    <n v="28"/>
    <n v="5399"/>
    <x v="0"/>
    <x v="2"/>
    <n v="3"/>
    <n v="0"/>
    <n v="0"/>
    <n v="4"/>
    <s v="Yes"/>
    <x v="2"/>
    <x v="2"/>
    <x v="3"/>
    <n v="1"/>
  </r>
  <r>
    <n v="1740"/>
    <n v="49"/>
    <x v="1"/>
    <x v="0"/>
    <s v="Sales Representative"/>
    <s v="Marketing"/>
    <s v="Divorced"/>
    <s v="Travel_Rarely"/>
    <n v="12"/>
    <n v="11192"/>
    <x v="0"/>
    <x v="2"/>
    <n v="1"/>
    <n v="18"/>
    <n v="9"/>
    <n v="28"/>
    <s v="No"/>
    <x v="1"/>
    <x v="1"/>
    <x v="0"/>
    <n v="0"/>
  </r>
  <r>
    <n v="1991"/>
    <n v="52"/>
    <x v="0"/>
    <x v="2"/>
    <s v="Data Analyst"/>
    <s v="Business"/>
    <s v="Married"/>
    <s v="Travel_Frequently"/>
    <n v="26"/>
    <n v="9597"/>
    <x v="0"/>
    <x v="3"/>
    <n v="2"/>
    <n v="18"/>
    <n v="0"/>
    <n v="22"/>
    <s v="No"/>
    <x v="1"/>
    <x v="1"/>
    <x v="0"/>
    <n v="0"/>
  </r>
  <r>
    <n v="1638"/>
    <n v="45"/>
    <x v="1"/>
    <x v="1"/>
    <s v="Laboratory Technician"/>
    <s v="Other"/>
    <s v="Divorced"/>
    <s v="Travel_Rarely"/>
    <n v="16"/>
    <n v="9532"/>
    <x v="1"/>
    <x v="3"/>
    <n v="4"/>
    <n v="15"/>
    <n v="6"/>
    <n v="19"/>
    <s v="Yes"/>
    <x v="1"/>
    <x v="2"/>
    <x v="0"/>
    <n v="1"/>
  </r>
  <r>
    <n v="1934"/>
    <n v="33"/>
    <x v="1"/>
    <x v="2"/>
    <s v="Software Engineer"/>
    <s v="Human Resources"/>
    <s v="Single"/>
    <s v="Travel_Rarely"/>
    <n v="12"/>
    <n v="7126"/>
    <x v="0"/>
    <x v="0"/>
    <n v="3"/>
    <n v="0"/>
    <n v="0"/>
    <n v="8"/>
    <s v="No"/>
    <x v="2"/>
    <x v="0"/>
    <x v="2"/>
    <n v="0"/>
  </r>
  <r>
    <n v="1708"/>
    <n v="46"/>
    <x v="0"/>
    <x v="0"/>
    <s v="Sales Representative"/>
    <s v="Technical Degree"/>
    <s v="Single"/>
    <s v="Travel_Rarely"/>
    <n v="21"/>
    <n v="10927"/>
    <x v="0"/>
    <x v="3"/>
    <n v="1"/>
    <n v="19"/>
    <n v="10"/>
    <n v="26"/>
    <s v="No"/>
    <x v="1"/>
    <x v="1"/>
    <x v="0"/>
    <n v="0"/>
  </r>
  <r>
    <n v="1910"/>
    <n v="29"/>
    <x v="0"/>
    <x v="1"/>
    <s v="Laboratory Technician"/>
    <s v="Life Sciences"/>
    <s v="Divorced"/>
    <s v="Travel_Frequently"/>
    <n v="19"/>
    <n v="7121"/>
    <x v="0"/>
    <x v="2"/>
    <n v="4"/>
    <n v="0"/>
    <n v="0"/>
    <n v="8"/>
    <s v="Yes"/>
    <x v="2"/>
    <x v="0"/>
    <x v="2"/>
    <n v="1"/>
  </r>
  <r>
    <n v="1046"/>
    <n v="35"/>
    <x v="0"/>
    <x v="0"/>
    <s v="Sales Representative"/>
    <s v="Life Sciences"/>
    <s v="Single"/>
    <s v="Travel_Frequently"/>
    <n v="9"/>
    <n v="8373"/>
    <x v="0"/>
    <x v="0"/>
    <n v="3"/>
    <n v="7"/>
    <n v="5"/>
    <n v="8"/>
    <s v="No"/>
    <x v="0"/>
    <x v="0"/>
    <x v="0"/>
    <n v="0"/>
  </r>
  <r>
    <n v="1528"/>
    <n v="43"/>
    <x v="0"/>
    <x v="0"/>
    <s v="Sales Representative"/>
    <s v="Human Resources"/>
    <s v="Married"/>
    <s v="Non-Travel"/>
    <n v="7"/>
    <n v="9785"/>
    <x v="0"/>
    <x v="1"/>
    <n v="3"/>
    <n v="4"/>
    <n v="1"/>
    <n v="17"/>
    <s v="Yes"/>
    <x v="3"/>
    <x v="2"/>
    <x v="0"/>
    <n v="1"/>
  </r>
  <r>
    <n v="1408"/>
    <n v="26"/>
    <x v="0"/>
    <x v="0"/>
    <s v="Sales Representative"/>
    <s v="Medical"/>
    <s v="Married"/>
    <s v="Non-Travel"/>
    <n v="3"/>
    <n v="8162"/>
    <x v="1"/>
    <x v="0"/>
    <n v="1"/>
    <n v="1"/>
    <n v="0"/>
    <n v="6"/>
    <s v="No"/>
    <x v="2"/>
    <x v="0"/>
    <x v="0"/>
    <n v="0"/>
  </r>
  <r>
    <n v="1587"/>
    <n v="58"/>
    <x v="1"/>
    <x v="0"/>
    <s v="Sales Executive"/>
    <s v="Life Sciences"/>
    <s v="Divorced"/>
    <s v="Travel_Rarely"/>
    <n v="29"/>
    <n v="11238"/>
    <x v="0"/>
    <x v="3"/>
    <n v="1"/>
    <n v="16"/>
    <n v="7"/>
    <n v="38"/>
    <s v="Yes"/>
    <x v="1"/>
    <x v="1"/>
    <x v="0"/>
    <n v="1"/>
  </r>
  <r>
    <n v="1543"/>
    <n v="27"/>
    <x v="0"/>
    <x v="2"/>
    <s v="Data Analyst"/>
    <s v="Human Resources"/>
    <s v="Married"/>
    <s v="Non-Travel"/>
    <n v="25"/>
    <n v="6862"/>
    <x v="0"/>
    <x v="1"/>
    <n v="2"/>
    <n v="0"/>
    <n v="0"/>
    <n v="0"/>
    <s v="Yes"/>
    <x v="2"/>
    <x v="0"/>
    <x v="2"/>
    <n v="1"/>
  </r>
  <r>
    <n v="1602"/>
    <n v="25"/>
    <x v="0"/>
    <x v="4"/>
    <s v="Financial Analyst"/>
    <s v="Human Resources"/>
    <s v="Single"/>
    <s v="Non-Travel"/>
    <n v="8"/>
    <n v="7213"/>
    <x v="1"/>
    <x v="1"/>
    <n v="3"/>
    <n v="0"/>
    <n v="0"/>
    <n v="0"/>
    <s v="Yes"/>
    <x v="2"/>
    <x v="3"/>
    <x v="2"/>
    <n v="1"/>
  </r>
  <r>
    <n v="1127"/>
    <n v="55"/>
    <x v="1"/>
    <x v="1"/>
    <s v="Healthcare Representative"/>
    <s v="Technical Degree"/>
    <s v="Married"/>
    <s v="Non-Travel"/>
    <n v="26"/>
    <n v="14775"/>
    <x v="0"/>
    <x v="3"/>
    <n v="1"/>
    <n v="21"/>
    <n v="19"/>
    <n v="28"/>
    <s v="No"/>
    <x v="1"/>
    <x v="1"/>
    <x v="0"/>
    <n v="0"/>
  </r>
  <r>
    <n v="1937"/>
    <n v="44"/>
    <x v="1"/>
    <x v="1"/>
    <s v="Research Scientist"/>
    <s v="Human Resources"/>
    <s v="Divorced"/>
    <s v="Travel_Rarely"/>
    <n v="21"/>
    <n v="8498"/>
    <x v="0"/>
    <x v="1"/>
    <n v="4"/>
    <n v="7"/>
    <n v="0"/>
    <n v="20"/>
    <s v="No"/>
    <x v="0"/>
    <x v="2"/>
    <x v="0"/>
    <n v="0"/>
  </r>
  <r>
    <n v="1392"/>
    <n v="27"/>
    <x v="0"/>
    <x v="2"/>
    <s v="IT Support"/>
    <s v="Human Resources"/>
    <s v="Single"/>
    <s v="Travel_Rarely"/>
    <n v="14"/>
    <n v="5212"/>
    <x v="0"/>
    <x v="0"/>
    <n v="4"/>
    <n v="3"/>
    <n v="3"/>
    <n v="7"/>
    <s v="No"/>
    <x v="3"/>
    <x v="0"/>
    <x v="3"/>
    <n v="0"/>
  </r>
  <r>
    <n v="1039"/>
    <n v="37"/>
    <x v="0"/>
    <x v="2"/>
    <s v="IT Manager"/>
    <s v="Business"/>
    <s v="Divorced"/>
    <s v="Non-Travel"/>
    <n v="12"/>
    <n v="9296"/>
    <x v="0"/>
    <x v="1"/>
    <n v="1"/>
    <n v="4"/>
    <n v="0"/>
    <n v="13"/>
    <s v="Yes"/>
    <x v="3"/>
    <x v="2"/>
    <x v="0"/>
    <n v="1"/>
  </r>
  <r>
    <n v="1003"/>
    <n v="42"/>
    <x v="0"/>
    <x v="1"/>
    <s v="Research Director"/>
    <s v="Medical"/>
    <s v="Divorced"/>
    <s v="Non-Travel"/>
    <n v="20"/>
    <n v="9359"/>
    <x v="0"/>
    <x v="1"/>
    <n v="3"/>
    <n v="7"/>
    <n v="1"/>
    <n v="10"/>
    <s v="No"/>
    <x v="0"/>
    <x v="2"/>
    <x v="0"/>
    <n v="0"/>
  </r>
  <r>
    <n v="1992"/>
    <n v="55"/>
    <x v="0"/>
    <x v="2"/>
    <s v="IT Support"/>
    <s v="Other"/>
    <s v="Divorced"/>
    <s v="Non-Travel"/>
    <n v="21"/>
    <n v="11742"/>
    <x v="1"/>
    <x v="2"/>
    <n v="1"/>
    <n v="12"/>
    <n v="3"/>
    <n v="35"/>
    <s v="No"/>
    <x v="1"/>
    <x v="1"/>
    <x v="0"/>
    <n v="0"/>
  </r>
  <r>
    <n v="1244"/>
    <n v="57"/>
    <x v="1"/>
    <x v="1"/>
    <s v="Research Scientist"/>
    <s v="Unknown"/>
    <s v="Divorced"/>
    <s v="Non-Travel"/>
    <n v="28"/>
    <n v="9418"/>
    <x v="0"/>
    <x v="2"/>
    <n v="3"/>
    <n v="6"/>
    <n v="2"/>
    <n v="31"/>
    <s v="No"/>
    <x v="0"/>
    <x v="1"/>
    <x v="0"/>
    <n v="0"/>
  </r>
  <r>
    <n v="1755"/>
    <n v="20"/>
    <x v="1"/>
    <x v="1"/>
    <s v="Research Scientist"/>
    <s v="Medical"/>
    <s v="Married"/>
    <s v="Travel_Frequently"/>
    <n v="6"/>
    <n v="4841"/>
    <x v="1"/>
    <x v="1"/>
    <n v="1"/>
    <n v="0"/>
    <n v="0"/>
    <n v="0"/>
    <s v="Yes"/>
    <x v="2"/>
    <x v="3"/>
    <x v="3"/>
    <n v="1"/>
  </r>
  <r>
    <n v="1425"/>
    <n v="34"/>
    <x v="1"/>
    <x v="1"/>
    <s v="Research Director"/>
    <s v="Life Sciences"/>
    <s v="Divorced"/>
    <s v="Travel_Rarely"/>
    <n v="17"/>
    <n v="10373"/>
    <x v="0"/>
    <x v="3"/>
    <n v="1"/>
    <n v="12"/>
    <n v="12"/>
    <n v="14"/>
    <s v="No"/>
    <x v="1"/>
    <x v="0"/>
    <x v="0"/>
    <n v="0"/>
  </r>
  <r>
    <n v="1097"/>
    <n v="41"/>
    <x v="0"/>
    <x v="2"/>
    <s v="Software Engineer"/>
    <s v="Medical"/>
    <s v="Single"/>
    <s v="Travel_Frequently"/>
    <n v="13"/>
    <n v="10892"/>
    <x v="0"/>
    <x v="4"/>
    <n v="1"/>
    <n v="11"/>
    <n v="4"/>
    <n v="21"/>
    <s v="No"/>
    <x v="1"/>
    <x v="2"/>
    <x v="0"/>
    <n v="0"/>
  </r>
  <r>
    <n v="1889"/>
    <n v="20"/>
    <x v="0"/>
    <x v="0"/>
    <s v="Sales Representative"/>
    <s v="Medical"/>
    <s v="Divorced"/>
    <s v="Travel_Rarely"/>
    <n v="7"/>
    <n v="4495"/>
    <x v="0"/>
    <x v="3"/>
    <n v="4"/>
    <n v="0"/>
    <n v="0"/>
    <n v="0"/>
    <s v="No"/>
    <x v="2"/>
    <x v="3"/>
    <x v="3"/>
    <n v="0"/>
  </r>
  <r>
    <n v="1470"/>
    <n v="23"/>
    <x v="1"/>
    <x v="0"/>
    <s v="Sales Representative"/>
    <s v="Other"/>
    <s v="Divorced"/>
    <s v="Travel_Rarely"/>
    <n v="9"/>
    <n v="6947"/>
    <x v="0"/>
    <x v="1"/>
    <n v="1"/>
    <n v="0"/>
    <n v="0"/>
    <n v="0"/>
    <s v="Yes"/>
    <x v="2"/>
    <x v="3"/>
    <x v="2"/>
    <n v="1"/>
  </r>
  <r>
    <n v="1998"/>
    <n v="59"/>
    <x v="1"/>
    <x v="2"/>
    <s v="Software Engineer"/>
    <s v="Technical Degree"/>
    <s v="Married"/>
    <s v="Travel_Frequently"/>
    <n v="15"/>
    <n v="12327"/>
    <x v="0"/>
    <x v="2"/>
    <n v="1"/>
    <n v="4"/>
    <n v="4"/>
    <n v="34"/>
    <s v="No"/>
    <x v="3"/>
    <x v="1"/>
    <x v="0"/>
    <n v="0"/>
  </r>
  <r>
    <n v="1927"/>
    <n v="52"/>
    <x v="0"/>
    <x v="2"/>
    <s v="Software Engineer"/>
    <s v="Marketing"/>
    <s v="Single"/>
    <s v="Travel_Frequently"/>
    <n v="3"/>
    <n v="11634"/>
    <x v="0"/>
    <x v="3"/>
    <n v="2"/>
    <n v="6"/>
    <n v="0"/>
    <n v="22"/>
    <s v="No"/>
    <x v="0"/>
    <x v="1"/>
    <x v="0"/>
    <n v="0"/>
  </r>
  <r>
    <n v="1183"/>
    <n v="38"/>
    <x v="0"/>
    <x v="0"/>
    <s v="Sales Executive"/>
    <s v="Unknown"/>
    <s v="Married"/>
    <s v="Travel_Frequently"/>
    <n v="9"/>
    <n v="8463"/>
    <x v="0"/>
    <x v="2"/>
    <n v="1"/>
    <n v="9"/>
    <n v="2"/>
    <n v="17"/>
    <s v="No"/>
    <x v="0"/>
    <x v="2"/>
    <x v="0"/>
    <n v="0"/>
  </r>
  <r>
    <n v="1804"/>
    <n v="37"/>
    <x v="0"/>
    <x v="0"/>
    <s v="Sales Executive"/>
    <s v="Human Resources"/>
    <s v="Single"/>
    <s v="Non-Travel"/>
    <n v="18"/>
    <n v="10012"/>
    <x v="0"/>
    <x v="0"/>
    <n v="4"/>
    <n v="6"/>
    <n v="4"/>
    <n v="10"/>
    <s v="No"/>
    <x v="0"/>
    <x v="2"/>
    <x v="0"/>
    <n v="0"/>
  </r>
  <r>
    <n v="1164"/>
    <n v="25"/>
    <x v="1"/>
    <x v="2"/>
    <s v="Software Engineer"/>
    <s v="Other"/>
    <s v="Divorced"/>
    <s v="Travel_Frequently"/>
    <n v="3"/>
    <n v="6081"/>
    <x v="1"/>
    <x v="1"/>
    <n v="4"/>
    <n v="0"/>
    <n v="0"/>
    <n v="0"/>
    <s v="Yes"/>
    <x v="2"/>
    <x v="3"/>
    <x v="2"/>
    <n v="1"/>
  </r>
  <r>
    <n v="1791"/>
    <n v="43"/>
    <x v="1"/>
    <x v="3"/>
    <s v="HR Specialist"/>
    <s v="Technical Degree"/>
    <s v="Divorced"/>
    <s v="Non-Travel"/>
    <n v="11"/>
    <n v="4621"/>
    <x v="0"/>
    <x v="0"/>
    <n v="2"/>
    <n v="4"/>
    <n v="3"/>
    <n v="4"/>
    <s v="No"/>
    <x v="3"/>
    <x v="2"/>
    <x v="3"/>
    <n v="0"/>
  </r>
  <r>
    <n v="1174"/>
    <n v="30"/>
    <x v="0"/>
    <x v="2"/>
    <s v="IT Support"/>
    <s v="Technical Degree"/>
    <s v="Divorced"/>
    <s v="Travel_Frequently"/>
    <n v="4"/>
    <n v="6663"/>
    <x v="1"/>
    <x v="0"/>
    <n v="4"/>
    <n v="5"/>
    <n v="5"/>
    <n v="5"/>
    <s v="No"/>
    <x v="0"/>
    <x v="0"/>
    <x v="2"/>
    <n v="0"/>
  </r>
  <r>
    <n v="1055"/>
    <n v="25"/>
    <x v="0"/>
    <x v="1"/>
    <s v="Healthcare Representative"/>
    <s v="Human Resources"/>
    <s v="Married"/>
    <s v="Travel_Frequently"/>
    <n v="23"/>
    <n v="5868"/>
    <x v="0"/>
    <x v="1"/>
    <n v="2"/>
    <n v="0"/>
    <n v="0"/>
    <n v="0"/>
    <s v="No"/>
    <x v="2"/>
    <x v="3"/>
    <x v="2"/>
    <n v="0"/>
  </r>
  <r>
    <n v="1636"/>
    <n v="43"/>
    <x v="1"/>
    <x v="1"/>
    <s v="Laboratory Technician"/>
    <s v="Human Resources"/>
    <s v="Divorced"/>
    <s v="Travel_Frequently"/>
    <n v="9"/>
    <n v="9499"/>
    <x v="0"/>
    <x v="0"/>
    <n v="3"/>
    <n v="21"/>
    <n v="7"/>
    <n v="23"/>
    <s v="No"/>
    <x v="1"/>
    <x v="2"/>
    <x v="0"/>
    <n v="0"/>
  </r>
  <r>
    <n v="1715"/>
    <n v="44"/>
    <x v="0"/>
    <x v="2"/>
    <s v="IT Manager"/>
    <s v="Life Sciences"/>
    <s v="Single"/>
    <s v="Travel_Rarely"/>
    <n v="28"/>
    <n v="13808"/>
    <x v="0"/>
    <x v="0"/>
    <n v="4"/>
    <n v="6"/>
    <n v="6"/>
    <n v="20"/>
    <s v="No"/>
    <x v="0"/>
    <x v="2"/>
    <x v="0"/>
    <n v="0"/>
  </r>
  <r>
    <n v="1553"/>
    <n v="31"/>
    <x v="1"/>
    <x v="1"/>
    <s v="Healthcare Representative"/>
    <s v="Medical"/>
    <s v="Divorced"/>
    <s v="Travel_Frequently"/>
    <n v="21"/>
    <n v="9357"/>
    <x v="0"/>
    <x v="0"/>
    <n v="4"/>
    <n v="0"/>
    <n v="0"/>
    <n v="7"/>
    <s v="No"/>
    <x v="2"/>
    <x v="0"/>
    <x v="0"/>
    <n v="0"/>
  </r>
  <r>
    <n v="1125"/>
    <n v="52"/>
    <x v="1"/>
    <x v="0"/>
    <s v="Sales Representative"/>
    <s v="Human Resources"/>
    <s v="Married"/>
    <s v="Travel_Rarely"/>
    <n v="29"/>
    <n v="9795"/>
    <x v="0"/>
    <x v="1"/>
    <n v="3"/>
    <n v="18"/>
    <n v="11"/>
    <n v="24"/>
    <s v="No"/>
    <x v="1"/>
    <x v="1"/>
    <x v="0"/>
    <n v="0"/>
  </r>
  <r>
    <n v="1061"/>
    <n v="22"/>
    <x v="0"/>
    <x v="1"/>
    <s v="Healthcare Representative"/>
    <s v="Unknown"/>
    <s v="Married"/>
    <s v="Non-Travel"/>
    <n v="2"/>
    <n v="7041"/>
    <x v="0"/>
    <x v="2"/>
    <n v="2"/>
    <n v="0"/>
    <n v="0"/>
    <n v="0"/>
    <s v="Yes"/>
    <x v="2"/>
    <x v="3"/>
    <x v="2"/>
    <n v="1"/>
  </r>
  <r>
    <n v="1841"/>
    <n v="29"/>
    <x v="0"/>
    <x v="2"/>
    <s v="Data Analyst"/>
    <s v="Marketing"/>
    <s v="Divorced"/>
    <s v="Non-Travel"/>
    <n v="16"/>
    <n v="5862"/>
    <x v="0"/>
    <x v="1"/>
    <n v="3"/>
    <n v="1"/>
    <n v="1"/>
    <n v="2"/>
    <s v="No"/>
    <x v="2"/>
    <x v="0"/>
    <x v="2"/>
    <n v="0"/>
  </r>
  <r>
    <n v="1324"/>
    <n v="53"/>
    <x v="1"/>
    <x v="3"/>
    <s v="HR Manager"/>
    <s v="Medical"/>
    <s v="Single"/>
    <s v="Non-Travel"/>
    <n v="14"/>
    <n v="11468"/>
    <x v="0"/>
    <x v="1"/>
    <n v="4"/>
    <n v="11"/>
    <n v="7"/>
    <n v="25"/>
    <s v="No"/>
    <x v="1"/>
    <x v="1"/>
    <x v="0"/>
    <n v="0"/>
  </r>
  <r>
    <n v="1517"/>
    <n v="46"/>
    <x v="0"/>
    <x v="0"/>
    <s v="Sales Manager"/>
    <s v="Marketing"/>
    <s v="Divorced"/>
    <s v="Travel_Frequently"/>
    <n v="14"/>
    <n v="13349"/>
    <x v="0"/>
    <x v="3"/>
    <n v="2"/>
    <n v="4"/>
    <n v="4"/>
    <n v="17"/>
    <s v="No"/>
    <x v="3"/>
    <x v="1"/>
    <x v="0"/>
    <n v="0"/>
  </r>
  <r>
    <n v="1406"/>
    <n v="27"/>
    <x v="0"/>
    <x v="2"/>
    <s v="Software Engineer"/>
    <s v="Medical"/>
    <s v="Married"/>
    <s v="Non-Travel"/>
    <n v="22"/>
    <n v="5271"/>
    <x v="0"/>
    <x v="0"/>
    <n v="4"/>
    <n v="1"/>
    <n v="0"/>
    <n v="1"/>
    <s v="No"/>
    <x v="2"/>
    <x v="0"/>
    <x v="3"/>
    <n v="0"/>
  </r>
  <r>
    <n v="1008"/>
    <n v="47"/>
    <x v="0"/>
    <x v="0"/>
    <s v="Sales Executive"/>
    <s v="Other"/>
    <s v="Divorced"/>
    <s v="Travel_Rarely"/>
    <n v="18"/>
    <n v="7654"/>
    <x v="0"/>
    <x v="1"/>
    <n v="1"/>
    <n v="14"/>
    <n v="8"/>
    <n v="18"/>
    <s v="No"/>
    <x v="1"/>
    <x v="1"/>
    <x v="0"/>
    <n v="0"/>
  </r>
  <r>
    <n v="1122"/>
    <n v="45"/>
    <x v="0"/>
    <x v="0"/>
    <s v="Sales Manager"/>
    <s v="Unknown"/>
    <s v="Divorced"/>
    <s v="Travel_Rarely"/>
    <n v="11"/>
    <n v="12820"/>
    <x v="0"/>
    <x v="2"/>
    <n v="4"/>
    <n v="1"/>
    <n v="0"/>
    <n v="20"/>
    <s v="No"/>
    <x v="2"/>
    <x v="2"/>
    <x v="0"/>
    <n v="0"/>
  </r>
  <r>
    <n v="1107"/>
    <n v="22"/>
    <x v="0"/>
    <x v="0"/>
    <s v="Sales Representative"/>
    <s v="Human Resources"/>
    <s v="Divorced"/>
    <s v="Non-Travel"/>
    <n v="12"/>
    <n v="2231"/>
    <x v="0"/>
    <x v="1"/>
    <n v="3"/>
    <n v="0"/>
    <n v="0"/>
    <n v="0"/>
    <s v="Yes"/>
    <x v="2"/>
    <x v="3"/>
    <x v="1"/>
    <n v="1"/>
  </r>
  <r>
    <n v="1475"/>
    <n v="47"/>
    <x v="1"/>
    <x v="1"/>
    <s v="Healthcare Representative"/>
    <s v="Life Sciences"/>
    <s v="Divorced"/>
    <s v="Non-Travel"/>
    <n v="9"/>
    <n v="9253"/>
    <x v="0"/>
    <x v="1"/>
    <n v="3"/>
    <n v="5"/>
    <n v="2"/>
    <n v="22"/>
    <s v="No"/>
    <x v="0"/>
    <x v="1"/>
    <x v="0"/>
    <n v="0"/>
  </r>
  <r>
    <n v="1878"/>
    <n v="33"/>
    <x v="1"/>
    <x v="1"/>
    <s v="Laboratory Technician"/>
    <s v="Human Resources"/>
    <s v="Divorced"/>
    <s v="Travel_Rarely"/>
    <n v="4"/>
    <n v="5366"/>
    <x v="0"/>
    <x v="1"/>
    <n v="2"/>
    <n v="1"/>
    <n v="0"/>
    <n v="9"/>
    <s v="No"/>
    <x v="2"/>
    <x v="0"/>
    <x v="3"/>
    <n v="0"/>
  </r>
  <r>
    <n v="1575"/>
    <n v="48"/>
    <x v="0"/>
    <x v="0"/>
    <s v="Sales Executive"/>
    <s v="Medical"/>
    <s v="Divorced"/>
    <s v="Travel_Rarely"/>
    <n v="2"/>
    <n v="10792"/>
    <x v="0"/>
    <x v="2"/>
    <n v="4"/>
    <n v="25"/>
    <n v="7"/>
    <n v="28"/>
    <s v="No"/>
    <x v="1"/>
    <x v="1"/>
    <x v="0"/>
    <n v="0"/>
  </r>
  <r>
    <n v="1216"/>
    <n v="21"/>
    <x v="0"/>
    <x v="1"/>
    <s v="Laboratory Technician"/>
    <s v="Life Sciences"/>
    <s v="Single"/>
    <s v="Non-Travel"/>
    <n v="25"/>
    <n v="6493"/>
    <x v="0"/>
    <x v="1"/>
    <n v="4"/>
    <n v="0"/>
    <n v="0"/>
    <n v="0"/>
    <s v="No"/>
    <x v="2"/>
    <x v="3"/>
    <x v="2"/>
    <n v="0"/>
  </r>
  <r>
    <n v="1015"/>
    <n v="23"/>
    <x v="1"/>
    <x v="2"/>
    <s v="Data Analyst"/>
    <s v="Life Sciences"/>
    <s v="Married"/>
    <s v="Travel_Rarely"/>
    <n v="15"/>
    <n v="6832"/>
    <x v="1"/>
    <x v="3"/>
    <n v="2"/>
    <n v="0"/>
    <n v="0"/>
    <n v="0"/>
    <s v="Yes"/>
    <x v="2"/>
    <x v="3"/>
    <x v="2"/>
    <n v="1"/>
  </r>
  <r>
    <n v="1081"/>
    <n v="46"/>
    <x v="1"/>
    <x v="1"/>
    <s v="Laboratory Technician"/>
    <s v="Life Sciences"/>
    <s v="Divorced"/>
    <s v="Travel_Rarely"/>
    <n v="9"/>
    <n v="10324"/>
    <x v="0"/>
    <x v="0"/>
    <n v="4"/>
    <n v="13"/>
    <n v="11"/>
    <n v="19"/>
    <s v="No"/>
    <x v="1"/>
    <x v="1"/>
    <x v="0"/>
    <n v="0"/>
  </r>
  <r>
    <n v="1017"/>
    <n v="44"/>
    <x v="0"/>
    <x v="0"/>
    <s v="Sales Executive"/>
    <s v="Technical Degree"/>
    <s v="Divorced"/>
    <s v="Travel_Frequently"/>
    <n v="7"/>
    <n v="11060"/>
    <x v="1"/>
    <x v="2"/>
    <n v="2"/>
    <n v="14"/>
    <n v="4"/>
    <n v="19"/>
    <s v="No"/>
    <x v="1"/>
    <x v="2"/>
    <x v="0"/>
    <n v="0"/>
  </r>
  <r>
    <n v="1293"/>
    <n v="53"/>
    <x v="0"/>
    <x v="4"/>
    <s v="Financial Analyst"/>
    <s v="Human Resources"/>
    <s v="Married"/>
    <s v="Non-Travel"/>
    <n v="8"/>
    <n v="11119"/>
    <x v="0"/>
    <x v="1"/>
    <n v="2"/>
    <n v="11"/>
    <n v="7"/>
    <n v="21"/>
    <s v="Yes"/>
    <x v="1"/>
    <x v="1"/>
    <x v="0"/>
    <n v="1"/>
  </r>
  <r>
    <n v="1723"/>
    <n v="57"/>
    <x v="1"/>
    <x v="3"/>
    <s v="HR Manager"/>
    <s v="Other"/>
    <s v="Single"/>
    <s v="Non-Travel"/>
    <n v="17"/>
    <n v="14977"/>
    <x v="0"/>
    <x v="1"/>
    <n v="3"/>
    <n v="15"/>
    <n v="3"/>
    <n v="37"/>
    <s v="No"/>
    <x v="1"/>
    <x v="1"/>
    <x v="0"/>
    <n v="0"/>
  </r>
  <r>
    <n v="1160"/>
    <n v="53"/>
    <x v="1"/>
    <x v="0"/>
    <s v="Sales Manager"/>
    <s v="Life Sciences"/>
    <s v="Married"/>
    <s v="Travel_Frequently"/>
    <n v="8"/>
    <n v="15049"/>
    <x v="0"/>
    <x v="0"/>
    <n v="4"/>
    <n v="25"/>
    <n v="12"/>
    <n v="28"/>
    <s v="No"/>
    <x v="1"/>
    <x v="1"/>
    <x v="0"/>
    <n v="0"/>
  </r>
  <r>
    <n v="1042"/>
    <n v="39"/>
    <x v="0"/>
    <x v="0"/>
    <s v="Sales Manager"/>
    <s v="Other"/>
    <s v="Married"/>
    <s v="Travel_Rarely"/>
    <n v="21"/>
    <n v="10407"/>
    <x v="1"/>
    <x v="2"/>
    <n v="3"/>
    <n v="3"/>
    <n v="0"/>
    <n v="18"/>
    <s v="No"/>
    <x v="3"/>
    <x v="2"/>
    <x v="0"/>
    <n v="0"/>
  </r>
  <r>
    <n v="1907"/>
    <n v="30"/>
    <x v="0"/>
    <x v="4"/>
    <s v="Financial Analyst"/>
    <s v="Business"/>
    <s v="Divorced"/>
    <s v="Travel_Frequently"/>
    <n v="3"/>
    <n v="7230"/>
    <x v="0"/>
    <x v="3"/>
    <n v="4"/>
    <n v="4"/>
    <n v="2"/>
    <n v="4"/>
    <s v="No"/>
    <x v="3"/>
    <x v="0"/>
    <x v="2"/>
    <n v="0"/>
  </r>
  <r>
    <n v="1338"/>
    <n v="53"/>
    <x v="1"/>
    <x v="1"/>
    <s v="Research Scientist"/>
    <s v="Human Resources"/>
    <s v="Married"/>
    <s v="Travel_Frequently"/>
    <n v="4"/>
    <n v="10287"/>
    <x v="0"/>
    <x v="3"/>
    <n v="1"/>
    <n v="4"/>
    <n v="1"/>
    <n v="28"/>
    <s v="Yes"/>
    <x v="3"/>
    <x v="1"/>
    <x v="0"/>
    <n v="1"/>
  </r>
  <r>
    <n v="1837"/>
    <n v="56"/>
    <x v="1"/>
    <x v="2"/>
    <s v="IT Support"/>
    <s v="Medical"/>
    <s v="Single"/>
    <s v="Travel_Rarely"/>
    <n v="6"/>
    <n v="10640"/>
    <x v="0"/>
    <x v="0"/>
    <n v="1"/>
    <n v="13"/>
    <n v="4"/>
    <n v="23"/>
    <s v="No"/>
    <x v="1"/>
    <x v="1"/>
    <x v="0"/>
    <n v="0"/>
  </r>
  <r>
    <n v="1359"/>
    <n v="40"/>
    <x v="0"/>
    <x v="3"/>
    <s v="HR Specialist"/>
    <s v="Marketing"/>
    <s v="Married"/>
    <s v="Travel_Rarely"/>
    <n v="29"/>
    <n v="9114"/>
    <x v="0"/>
    <x v="3"/>
    <n v="1"/>
    <n v="3"/>
    <n v="1"/>
    <n v="20"/>
    <s v="No"/>
    <x v="3"/>
    <x v="2"/>
    <x v="0"/>
    <n v="0"/>
  </r>
  <r>
    <n v="1395"/>
    <n v="35"/>
    <x v="1"/>
    <x v="3"/>
    <s v="HR Manager"/>
    <s v="Human Resources"/>
    <s v="Single"/>
    <s v="Non-Travel"/>
    <n v="4"/>
    <n v="9022"/>
    <x v="0"/>
    <x v="1"/>
    <n v="4"/>
    <n v="8"/>
    <n v="5"/>
    <n v="10"/>
    <s v="No"/>
    <x v="0"/>
    <x v="0"/>
    <x v="0"/>
    <n v="0"/>
  </r>
  <r>
    <n v="1954"/>
    <n v="60"/>
    <x v="1"/>
    <x v="0"/>
    <s v="Sales Manager"/>
    <s v="Business"/>
    <s v="Single"/>
    <s v="Non-Travel"/>
    <n v="7"/>
    <n v="15109"/>
    <x v="0"/>
    <x v="1"/>
    <n v="1"/>
    <n v="20"/>
    <n v="10"/>
    <n v="40"/>
    <s v="No"/>
    <x v="1"/>
    <x v="1"/>
    <x v="0"/>
    <n v="0"/>
  </r>
  <r>
    <n v="1694"/>
    <n v="35"/>
    <x v="1"/>
    <x v="2"/>
    <s v="IT Manager"/>
    <s v="Technical Degree"/>
    <s v="Married"/>
    <s v="Travel_Rarely"/>
    <n v="17"/>
    <n v="12380"/>
    <x v="0"/>
    <x v="3"/>
    <n v="3"/>
    <n v="1"/>
    <n v="0"/>
    <n v="15"/>
    <s v="No"/>
    <x v="2"/>
    <x v="0"/>
    <x v="0"/>
    <n v="0"/>
  </r>
  <r>
    <n v="1452"/>
    <n v="21"/>
    <x v="1"/>
    <x v="0"/>
    <s v="Sales Representative"/>
    <s v="Business"/>
    <s v="Married"/>
    <s v="Travel_Frequently"/>
    <n v="7"/>
    <n v="4496"/>
    <x v="0"/>
    <x v="3"/>
    <n v="2"/>
    <n v="0"/>
    <n v="0"/>
    <n v="0"/>
    <s v="Yes"/>
    <x v="2"/>
    <x v="3"/>
    <x v="3"/>
    <n v="1"/>
  </r>
  <r>
    <n v="1745"/>
    <n v="58"/>
    <x v="1"/>
    <x v="0"/>
    <s v="Sales Representative"/>
    <s v="Life Sciences"/>
    <s v="Single"/>
    <s v="Travel_Rarely"/>
    <n v="21"/>
    <n v="10888"/>
    <x v="1"/>
    <x v="2"/>
    <n v="4"/>
    <n v="5"/>
    <n v="2"/>
    <n v="33"/>
    <s v="No"/>
    <x v="0"/>
    <x v="1"/>
    <x v="0"/>
    <n v="0"/>
  </r>
  <r>
    <n v="1413"/>
    <n v="54"/>
    <x v="1"/>
    <x v="3"/>
    <s v="HR Manager"/>
    <s v="Business"/>
    <s v="Single"/>
    <s v="Travel_Frequently"/>
    <n v="24"/>
    <n v="13861"/>
    <x v="0"/>
    <x v="0"/>
    <n v="1"/>
    <n v="0"/>
    <n v="0"/>
    <n v="34"/>
    <s v="Yes"/>
    <x v="2"/>
    <x v="1"/>
    <x v="0"/>
    <n v="1"/>
  </r>
  <r>
    <n v="1788"/>
    <n v="21"/>
    <x v="0"/>
    <x v="1"/>
    <s v="Laboratory Technician"/>
    <s v="Other"/>
    <s v="Married"/>
    <s v="Travel_Rarely"/>
    <n v="11"/>
    <n v="7211"/>
    <x v="1"/>
    <x v="1"/>
    <n v="3"/>
    <n v="0"/>
    <n v="0"/>
    <n v="0"/>
    <s v="Yes"/>
    <x v="2"/>
    <x v="3"/>
    <x v="2"/>
    <n v="1"/>
  </r>
  <r>
    <n v="1179"/>
    <n v="31"/>
    <x v="0"/>
    <x v="0"/>
    <s v="Sales Manager"/>
    <s v="Business"/>
    <s v="Married"/>
    <s v="Travel_Rarely"/>
    <n v="20"/>
    <n v="10112"/>
    <x v="0"/>
    <x v="2"/>
    <n v="3"/>
    <n v="0"/>
    <n v="0"/>
    <n v="4"/>
    <s v="No"/>
    <x v="2"/>
    <x v="0"/>
    <x v="0"/>
    <n v="0"/>
  </r>
  <r>
    <n v="1026"/>
    <n v="44"/>
    <x v="0"/>
    <x v="2"/>
    <s v="Data Analyst"/>
    <s v="Business"/>
    <s v="Divorced"/>
    <s v="Non-Travel"/>
    <n v="28"/>
    <n v="8427"/>
    <x v="0"/>
    <x v="0"/>
    <n v="3"/>
    <n v="7"/>
    <n v="3"/>
    <n v="24"/>
    <s v="No"/>
    <x v="0"/>
    <x v="2"/>
    <x v="0"/>
    <n v="0"/>
  </r>
  <r>
    <n v="1232"/>
    <n v="47"/>
    <x v="0"/>
    <x v="0"/>
    <s v="Sales Executive"/>
    <s v="Medical"/>
    <s v="Married"/>
    <s v="Travel_Frequently"/>
    <n v="18"/>
    <n v="12185"/>
    <x v="1"/>
    <x v="0"/>
    <n v="1"/>
    <n v="4"/>
    <n v="4"/>
    <n v="25"/>
    <s v="No"/>
    <x v="3"/>
    <x v="1"/>
    <x v="0"/>
    <n v="0"/>
  </r>
  <r>
    <n v="1946"/>
    <n v="46"/>
    <x v="1"/>
    <x v="0"/>
    <s v="Sales Manager"/>
    <s v="Life Sciences"/>
    <s v="Married"/>
    <s v="Travel_Rarely"/>
    <n v="4"/>
    <n v="14688"/>
    <x v="0"/>
    <x v="1"/>
    <n v="2"/>
    <n v="15"/>
    <n v="8"/>
    <n v="25"/>
    <s v="No"/>
    <x v="1"/>
    <x v="1"/>
    <x v="0"/>
    <n v="0"/>
  </r>
  <r>
    <n v="1305"/>
    <n v="59"/>
    <x v="1"/>
    <x v="4"/>
    <s v="Accountant"/>
    <s v="Unknown"/>
    <s v="Divorced"/>
    <s v="Travel_Rarely"/>
    <n v="28"/>
    <n v="10703"/>
    <x v="1"/>
    <x v="2"/>
    <n v="4"/>
    <n v="19"/>
    <n v="1"/>
    <n v="32"/>
    <s v="No"/>
    <x v="1"/>
    <x v="1"/>
    <x v="0"/>
    <n v="0"/>
  </r>
  <r>
    <n v="1445"/>
    <n v="32"/>
    <x v="1"/>
    <x v="1"/>
    <s v="Laboratory Technician"/>
    <s v="Business"/>
    <s v="Single"/>
    <s v="Non-Travel"/>
    <n v="24"/>
    <n v="8483"/>
    <x v="0"/>
    <x v="0"/>
    <n v="3"/>
    <n v="8"/>
    <n v="7"/>
    <n v="9"/>
    <s v="No"/>
    <x v="0"/>
    <x v="0"/>
    <x v="0"/>
    <n v="0"/>
  </r>
  <r>
    <n v="1272"/>
    <n v="35"/>
    <x v="1"/>
    <x v="3"/>
    <s v="HR Manager"/>
    <s v="Medical"/>
    <s v="Divorced"/>
    <s v="Non-Travel"/>
    <n v="26"/>
    <n v="8488"/>
    <x v="0"/>
    <x v="2"/>
    <n v="4"/>
    <n v="2"/>
    <n v="1"/>
    <n v="2"/>
    <s v="No"/>
    <x v="3"/>
    <x v="0"/>
    <x v="0"/>
    <n v="0"/>
  </r>
  <r>
    <n v="1652"/>
    <n v="52"/>
    <x v="0"/>
    <x v="3"/>
    <s v="HR Specialist"/>
    <s v="Life Sciences"/>
    <s v="Single"/>
    <s v="Travel_Frequently"/>
    <n v="18"/>
    <n v="9006"/>
    <x v="0"/>
    <x v="3"/>
    <n v="3"/>
    <n v="16"/>
    <n v="8"/>
    <n v="20"/>
    <s v="No"/>
    <x v="1"/>
    <x v="1"/>
    <x v="0"/>
    <n v="0"/>
  </r>
  <r>
    <n v="1400"/>
    <n v="41"/>
    <x v="0"/>
    <x v="2"/>
    <s v="Data Analyst"/>
    <s v="Life Sciences"/>
    <s v="Single"/>
    <s v="Travel_Frequently"/>
    <n v="15"/>
    <n v="9514"/>
    <x v="1"/>
    <x v="2"/>
    <n v="4"/>
    <n v="19"/>
    <n v="4"/>
    <n v="21"/>
    <s v="No"/>
    <x v="1"/>
    <x v="2"/>
    <x v="0"/>
    <n v="0"/>
  </r>
  <r>
    <n v="1595"/>
    <n v="43"/>
    <x v="0"/>
    <x v="4"/>
    <s v="Finance Manager"/>
    <s v="Business"/>
    <s v="Single"/>
    <s v="Travel_Rarely"/>
    <n v="19"/>
    <n v="10831"/>
    <x v="0"/>
    <x v="2"/>
    <n v="4"/>
    <n v="6"/>
    <n v="5"/>
    <n v="7"/>
    <s v="Yes"/>
    <x v="0"/>
    <x v="2"/>
    <x v="0"/>
    <n v="1"/>
  </r>
  <r>
    <n v="1066"/>
    <n v="49"/>
    <x v="0"/>
    <x v="0"/>
    <s v="Sales Executive"/>
    <s v="Marketing"/>
    <s v="Married"/>
    <s v="Non-Travel"/>
    <n v="14"/>
    <n v="9194"/>
    <x v="0"/>
    <x v="0"/>
    <n v="3"/>
    <n v="5"/>
    <n v="0"/>
    <n v="29"/>
    <s v="No"/>
    <x v="0"/>
    <x v="1"/>
    <x v="0"/>
    <n v="0"/>
  </r>
  <r>
    <n v="1799"/>
    <n v="54"/>
    <x v="0"/>
    <x v="2"/>
    <s v="IT Manager"/>
    <s v="Marketing"/>
    <s v="Single"/>
    <s v="Non-Travel"/>
    <n v="14"/>
    <n v="12664"/>
    <x v="0"/>
    <x v="2"/>
    <n v="1"/>
    <n v="7"/>
    <n v="5"/>
    <n v="17"/>
    <s v="No"/>
    <x v="0"/>
    <x v="1"/>
    <x v="0"/>
    <n v="0"/>
  </r>
  <r>
    <n v="1353"/>
    <n v="36"/>
    <x v="0"/>
    <x v="0"/>
    <s v="Sales Manager"/>
    <s v="Human Resources"/>
    <s v="Divorced"/>
    <s v="Travel_Rarely"/>
    <n v="10"/>
    <n v="9009"/>
    <x v="1"/>
    <x v="1"/>
    <n v="3"/>
    <n v="1"/>
    <n v="0"/>
    <n v="5"/>
    <s v="Yes"/>
    <x v="2"/>
    <x v="2"/>
    <x v="0"/>
    <n v="1"/>
  </r>
  <r>
    <n v="1014"/>
    <n v="56"/>
    <x v="1"/>
    <x v="0"/>
    <s v="Sales Executive"/>
    <s v="Marketing"/>
    <s v="Divorced"/>
    <s v="Non-Travel"/>
    <n v="12"/>
    <n v="9758"/>
    <x v="0"/>
    <x v="1"/>
    <n v="1"/>
    <n v="15"/>
    <n v="13"/>
    <n v="28"/>
    <s v="No"/>
    <x v="1"/>
    <x v="1"/>
    <x v="0"/>
    <n v="0"/>
  </r>
  <r>
    <n v="1104"/>
    <n v="48"/>
    <x v="0"/>
    <x v="2"/>
    <s v="IT Manager"/>
    <s v="Marketing"/>
    <s v="Single"/>
    <s v="Travel_Rarely"/>
    <n v="24"/>
    <n v="10282"/>
    <x v="0"/>
    <x v="3"/>
    <n v="2"/>
    <n v="0"/>
    <n v="0"/>
    <n v="15"/>
    <s v="No"/>
    <x v="2"/>
    <x v="1"/>
    <x v="0"/>
    <n v="0"/>
  </r>
  <r>
    <n v="1762"/>
    <n v="30"/>
    <x v="1"/>
    <x v="2"/>
    <s v="IT Support"/>
    <s v="Medical"/>
    <s v="Married"/>
    <s v="Travel_Frequently"/>
    <n v="8"/>
    <n v="7512"/>
    <x v="1"/>
    <x v="0"/>
    <n v="3"/>
    <n v="3"/>
    <n v="1"/>
    <n v="10"/>
    <s v="No"/>
    <x v="3"/>
    <x v="0"/>
    <x v="0"/>
    <n v="0"/>
  </r>
  <r>
    <n v="1869"/>
    <n v="24"/>
    <x v="0"/>
    <x v="0"/>
    <s v="Sales Manager"/>
    <s v="Business"/>
    <s v="Married"/>
    <s v="Non-Travel"/>
    <n v="19"/>
    <n v="10858"/>
    <x v="0"/>
    <x v="3"/>
    <n v="2"/>
    <n v="0"/>
    <n v="0"/>
    <n v="0"/>
    <s v="Yes"/>
    <x v="2"/>
    <x v="3"/>
    <x v="0"/>
    <n v="1"/>
  </r>
  <r>
    <n v="1838"/>
    <n v="28"/>
    <x v="1"/>
    <x v="0"/>
    <s v="Sales Representative"/>
    <s v="Medical"/>
    <s v="Divorced"/>
    <s v="Travel_Frequently"/>
    <n v="8"/>
    <n v="7281"/>
    <x v="0"/>
    <x v="3"/>
    <n v="1"/>
    <n v="2"/>
    <n v="0"/>
    <n v="3"/>
    <s v="Yes"/>
    <x v="3"/>
    <x v="0"/>
    <x v="2"/>
    <n v="1"/>
  </r>
  <r>
    <n v="1701"/>
    <n v="42"/>
    <x v="1"/>
    <x v="0"/>
    <s v="Sales Representative"/>
    <s v="Technical Degree"/>
    <s v="Divorced"/>
    <s v="Non-Travel"/>
    <n v="1"/>
    <n v="7374"/>
    <x v="1"/>
    <x v="0"/>
    <n v="1"/>
    <n v="8"/>
    <n v="0"/>
    <n v="11"/>
    <s v="No"/>
    <x v="0"/>
    <x v="2"/>
    <x v="2"/>
    <n v="0"/>
  </r>
  <r>
    <n v="1450"/>
    <n v="51"/>
    <x v="1"/>
    <x v="1"/>
    <s v="Research Director"/>
    <s v="Technical Degree"/>
    <s v="Divorced"/>
    <s v="Travel_Frequently"/>
    <n v="26"/>
    <n v="13816"/>
    <x v="0"/>
    <x v="3"/>
    <n v="2"/>
    <n v="5"/>
    <n v="0"/>
    <n v="17"/>
    <s v="No"/>
    <x v="0"/>
    <x v="1"/>
    <x v="0"/>
    <n v="0"/>
  </r>
  <r>
    <n v="1994"/>
    <n v="33"/>
    <x v="0"/>
    <x v="0"/>
    <s v="Sales Executive"/>
    <s v="Business"/>
    <s v="Divorced"/>
    <s v="Travel_Frequently"/>
    <n v="12"/>
    <n v="9587"/>
    <x v="0"/>
    <x v="2"/>
    <n v="1"/>
    <n v="1"/>
    <n v="0"/>
    <n v="12"/>
    <s v="No"/>
    <x v="2"/>
    <x v="0"/>
    <x v="0"/>
    <n v="0"/>
  </r>
  <r>
    <n v="1458"/>
    <n v="44"/>
    <x v="1"/>
    <x v="1"/>
    <s v="Research Scientist"/>
    <s v="Business"/>
    <s v="Married"/>
    <s v="Travel_Frequently"/>
    <n v="14"/>
    <n v="10694"/>
    <x v="0"/>
    <x v="2"/>
    <n v="3"/>
    <n v="9"/>
    <n v="7"/>
    <n v="18"/>
    <s v="No"/>
    <x v="0"/>
    <x v="2"/>
    <x v="0"/>
    <n v="0"/>
  </r>
  <r>
    <n v="1689"/>
    <n v="33"/>
    <x v="0"/>
    <x v="1"/>
    <s v="Research Director"/>
    <s v="Other"/>
    <s v="Single"/>
    <s v="Travel_Frequently"/>
    <n v="10"/>
    <n v="10337"/>
    <x v="0"/>
    <x v="0"/>
    <n v="1"/>
    <n v="9"/>
    <n v="0"/>
    <n v="13"/>
    <s v="No"/>
    <x v="0"/>
    <x v="0"/>
    <x v="0"/>
    <n v="0"/>
  </r>
  <r>
    <n v="1748"/>
    <n v="48"/>
    <x v="1"/>
    <x v="2"/>
    <s v="Data Analyst"/>
    <s v="Technical Degree"/>
    <s v="Divorced"/>
    <s v="Travel_Rarely"/>
    <n v="16"/>
    <n v="10118"/>
    <x v="1"/>
    <x v="3"/>
    <n v="3"/>
    <n v="2"/>
    <n v="2"/>
    <n v="19"/>
    <s v="Yes"/>
    <x v="3"/>
    <x v="1"/>
    <x v="0"/>
    <n v="1"/>
  </r>
  <r>
    <n v="1349"/>
    <n v="55"/>
    <x v="1"/>
    <x v="1"/>
    <s v="Research Scientist"/>
    <s v="Technical Degree"/>
    <s v="Single"/>
    <s v="Travel_Frequently"/>
    <n v="16"/>
    <n v="11169"/>
    <x v="0"/>
    <x v="3"/>
    <n v="4"/>
    <n v="16"/>
    <n v="13"/>
    <n v="29"/>
    <s v="No"/>
    <x v="1"/>
    <x v="1"/>
    <x v="0"/>
    <n v="0"/>
  </r>
  <r>
    <n v="1058"/>
    <n v="25"/>
    <x v="0"/>
    <x v="1"/>
    <s v="Healthcare Representative"/>
    <s v="Human Resources"/>
    <s v="Married"/>
    <s v="Travel_Rarely"/>
    <n v="23"/>
    <n v="8612"/>
    <x v="0"/>
    <x v="1"/>
    <n v="2"/>
    <n v="0"/>
    <n v="0"/>
    <n v="2"/>
    <s v="Yes"/>
    <x v="2"/>
    <x v="3"/>
    <x v="0"/>
    <n v="1"/>
  </r>
  <r>
    <n v="1063"/>
    <n v="41"/>
    <x v="0"/>
    <x v="1"/>
    <s v="Research Scientist"/>
    <s v="Life Sciences"/>
    <s v="Divorced"/>
    <s v="Non-Travel"/>
    <n v="22"/>
    <n v="7160"/>
    <x v="1"/>
    <x v="1"/>
    <n v="1"/>
    <n v="12"/>
    <n v="5"/>
    <n v="21"/>
    <s v="No"/>
    <x v="1"/>
    <x v="2"/>
    <x v="2"/>
    <n v="0"/>
  </r>
  <r>
    <n v="1200"/>
    <n v="27"/>
    <x v="1"/>
    <x v="3"/>
    <s v="HR Specialist"/>
    <s v="Medical"/>
    <s v="Single"/>
    <s v="Travel_Rarely"/>
    <n v="26"/>
    <n v="5760"/>
    <x v="0"/>
    <x v="2"/>
    <n v="3"/>
    <n v="0"/>
    <n v="0"/>
    <n v="5"/>
    <s v="No"/>
    <x v="2"/>
    <x v="0"/>
    <x v="2"/>
    <n v="0"/>
  </r>
  <r>
    <n v="1690"/>
    <n v="46"/>
    <x v="0"/>
    <x v="1"/>
    <s v="Healthcare Representative"/>
    <s v="Technical Degree"/>
    <s v="Single"/>
    <s v="Travel_Frequently"/>
    <n v="12"/>
    <n v="9536"/>
    <x v="0"/>
    <x v="1"/>
    <n v="2"/>
    <n v="17"/>
    <n v="13"/>
    <n v="18"/>
    <s v="Yes"/>
    <x v="1"/>
    <x v="1"/>
    <x v="0"/>
    <n v="1"/>
  </r>
  <r>
    <n v="1618"/>
    <n v="44"/>
    <x v="1"/>
    <x v="2"/>
    <s v="Software Engineer"/>
    <s v="Technical Degree"/>
    <s v="Divorced"/>
    <s v="Travel_Rarely"/>
    <n v="2"/>
    <n v="9966"/>
    <x v="1"/>
    <x v="0"/>
    <n v="4"/>
    <n v="5"/>
    <n v="0"/>
    <n v="24"/>
    <s v="Yes"/>
    <x v="0"/>
    <x v="2"/>
    <x v="0"/>
    <n v="1"/>
  </r>
  <r>
    <n v="1377"/>
    <n v="42"/>
    <x v="0"/>
    <x v="1"/>
    <s v="Research Director"/>
    <s v="Business"/>
    <s v="Married"/>
    <s v="Travel_Frequently"/>
    <n v="13"/>
    <n v="13021"/>
    <x v="0"/>
    <x v="2"/>
    <n v="2"/>
    <n v="0"/>
    <n v="0"/>
    <n v="20"/>
    <s v="Yes"/>
    <x v="2"/>
    <x v="2"/>
    <x v="0"/>
    <n v="1"/>
  </r>
  <r>
    <n v="1317"/>
    <n v="51"/>
    <x v="0"/>
    <x v="1"/>
    <s v="Research Director"/>
    <s v="Other"/>
    <s v="Divorced"/>
    <s v="Non-Travel"/>
    <n v="27"/>
    <n v="15311"/>
    <x v="1"/>
    <x v="1"/>
    <n v="2"/>
    <n v="18"/>
    <n v="1"/>
    <n v="25"/>
    <s v="Yes"/>
    <x v="1"/>
    <x v="1"/>
    <x v="0"/>
    <n v="1"/>
  </r>
  <r>
    <n v="1134"/>
    <n v="38"/>
    <x v="0"/>
    <x v="1"/>
    <s v="Research Director"/>
    <s v="Marketing"/>
    <s v="Divorced"/>
    <s v="Travel_Rarely"/>
    <n v="23"/>
    <n v="13798"/>
    <x v="1"/>
    <x v="3"/>
    <n v="3"/>
    <n v="12"/>
    <n v="6"/>
    <n v="18"/>
    <s v="Yes"/>
    <x v="1"/>
    <x v="2"/>
    <x v="0"/>
    <n v="1"/>
  </r>
  <r>
    <n v="1343"/>
    <n v="44"/>
    <x v="0"/>
    <x v="3"/>
    <s v="HR Specialist"/>
    <s v="Technical Degree"/>
    <s v="Single"/>
    <s v="Travel_Frequently"/>
    <n v="2"/>
    <n v="5399"/>
    <x v="1"/>
    <x v="2"/>
    <n v="4"/>
    <n v="8"/>
    <n v="5"/>
    <n v="21"/>
    <s v="No"/>
    <x v="0"/>
    <x v="2"/>
    <x v="3"/>
    <n v="0"/>
  </r>
  <r>
    <n v="1184"/>
    <n v="48"/>
    <x v="0"/>
    <x v="2"/>
    <s v="Data Analyst"/>
    <s v="Marketing"/>
    <s v="Single"/>
    <s v="Non-Travel"/>
    <n v="28"/>
    <n v="6502"/>
    <x v="1"/>
    <x v="1"/>
    <n v="4"/>
    <n v="1"/>
    <n v="0"/>
    <n v="9"/>
    <s v="No"/>
    <x v="2"/>
    <x v="1"/>
    <x v="2"/>
    <n v="0"/>
  </r>
  <r>
    <n v="1484"/>
    <n v="28"/>
    <x v="0"/>
    <x v="0"/>
    <s v="Sales Manager"/>
    <s v="Other"/>
    <s v="Married"/>
    <s v="Non-Travel"/>
    <n v="19"/>
    <n v="8393"/>
    <x v="1"/>
    <x v="3"/>
    <n v="3"/>
    <n v="5"/>
    <n v="3"/>
    <n v="8"/>
    <s v="No"/>
    <x v="0"/>
    <x v="0"/>
    <x v="0"/>
    <n v="0"/>
  </r>
  <r>
    <n v="1175"/>
    <n v="48"/>
    <x v="1"/>
    <x v="1"/>
    <s v="Laboratory Technician"/>
    <s v="Business"/>
    <s v="Single"/>
    <s v="Travel_Frequently"/>
    <n v="10"/>
    <n v="10310"/>
    <x v="0"/>
    <x v="0"/>
    <n v="1"/>
    <n v="18"/>
    <n v="16"/>
    <n v="20"/>
    <s v="No"/>
    <x v="1"/>
    <x v="1"/>
    <x v="0"/>
    <n v="0"/>
  </r>
  <r>
    <n v="1892"/>
    <n v="52"/>
    <x v="1"/>
    <x v="1"/>
    <s v="Research Scientist"/>
    <s v="Technical Degree"/>
    <s v="Single"/>
    <s v="Travel_Frequently"/>
    <n v="24"/>
    <n v="13543"/>
    <x v="1"/>
    <x v="3"/>
    <n v="1"/>
    <n v="16"/>
    <n v="6"/>
    <n v="31"/>
    <s v="No"/>
    <x v="1"/>
    <x v="1"/>
    <x v="0"/>
    <n v="0"/>
  </r>
  <r>
    <n v="1345"/>
    <n v="29"/>
    <x v="0"/>
    <x v="0"/>
    <s v="Sales Representative"/>
    <s v="Human Resources"/>
    <s v="Single"/>
    <s v="Travel_Frequently"/>
    <n v="19"/>
    <n v="7663"/>
    <x v="0"/>
    <x v="0"/>
    <n v="1"/>
    <n v="3"/>
    <n v="1"/>
    <n v="8"/>
    <s v="No"/>
    <x v="3"/>
    <x v="0"/>
    <x v="0"/>
    <n v="0"/>
  </r>
  <r>
    <n v="1135"/>
    <n v="32"/>
    <x v="1"/>
    <x v="2"/>
    <s v="Software Engineer"/>
    <s v="Life Sciences"/>
    <s v="Divorced"/>
    <s v="Non-Travel"/>
    <n v="22"/>
    <n v="6737"/>
    <x v="1"/>
    <x v="1"/>
    <n v="2"/>
    <n v="8"/>
    <n v="4"/>
    <n v="9"/>
    <s v="No"/>
    <x v="0"/>
    <x v="0"/>
    <x v="2"/>
    <n v="0"/>
  </r>
  <r>
    <n v="1521"/>
    <n v="45"/>
    <x v="0"/>
    <x v="1"/>
    <s v="Research Director"/>
    <s v="Business"/>
    <s v="Divorced"/>
    <s v="Travel_Frequently"/>
    <n v="18"/>
    <n v="10208"/>
    <x v="0"/>
    <x v="2"/>
    <n v="2"/>
    <n v="2"/>
    <n v="0"/>
    <n v="22"/>
    <s v="No"/>
    <x v="3"/>
    <x v="2"/>
    <x v="0"/>
    <n v="0"/>
  </r>
  <r>
    <n v="1591"/>
    <n v="33"/>
    <x v="1"/>
    <x v="3"/>
    <s v="HR Specialist"/>
    <s v="Life Sciences"/>
    <s v="Single"/>
    <s v="Travel_Rarely"/>
    <n v="10"/>
    <n v="7393"/>
    <x v="0"/>
    <x v="1"/>
    <n v="4"/>
    <n v="8"/>
    <n v="3"/>
    <n v="11"/>
    <s v="Yes"/>
    <x v="0"/>
    <x v="0"/>
    <x v="2"/>
    <n v="1"/>
  </r>
  <r>
    <n v="1388"/>
    <n v="54"/>
    <x v="0"/>
    <x v="1"/>
    <s v="Research Director"/>
    <s v="Life Sciences"/>
    <s v="Married"/>
    <s v="Travel_Rarely"/>
    <n v="4"/>
    <n v="13329"/>
    <x v="0"/>
    <x v="4"/>
    <n v="4"/>
    <n v="21"/>
    <n v="2"/>
    <n v="28"/>
    <s v="No"/>
    <x v="1"/>
    <x v="1"/>
    <x v="0"/>
    <n v="0"/>
  </r>
  <r>
    <n v="1297"/>
    <n v="30"/>
    <x v="1"/>
    <x v="3"/>
    <s v="HR Manager"/>
    <s v="Other"/>
    <s v="Divorced"/>
    <s v="Travel_Frequently"/>
    <n v="1"/>
    <n v="7934"/>
    <x v="1"/>
    <x v="2"/>
    <n v="4"/>
    <n v="3"/>
    <n v="0"/>
    <n v="5"/>
    <s v="Yes"/>
    <x v="3"/>
    <x v="0"/>
    <x v="0"/>
    <n v="1"/>
  </r>
  <r>
    <n v="1949"/>
    <n v="21"/>
    <x v="1"/>
    <x v="3"/>
    <s v="HR Manager"/>
    <s v="Business"/>
    <s v="Married"/>
    <s v="Travel_Rarely"/>
    <n v="9"/>
    <n v="7003"/>
    <x v="1"/>
    <x v="0"/>
    <n v="3"/>
    <n v="0"/>
    <n v="0"/>
    <n v="0"/>
    <s v="No"/>
    <x v="2"/>
    <x v="3"/>
    <x v="2"/>
    <n v="0"/>
  </r>
  <r>
    <n v="1407"/>
    <n v="23"/>
    <x v="1"/>
    <x v="2"/>
    <s v="IT Support"/>
    <s v="Life Sciences"/>
    <s v="Divorced"/>
    <s v="Travel_Rarely"/>
    <n v="3"/>
    <n v="6945"/>
    <x v="1"/>
    <x v="0"/>
    <n v="3"/>
    <n v="0"/>
    <n v="0"/>
    <n v="0"/>
    <s v="Yes"/>
    <x v="2"/>
    <x v="3"/>
    <x v="2"/>
    <n v="1"/>
  </r>
  <r>
    <n v="1254"/>
    <n v="36"/>
    <x v="0"/>
    <x v="0"/>
    <s v="Sales Executive"/>
    <s v="Human Resources"/>
    <s v="Married"/>
    <s v="Travel_Rarely"/>
    <n v="16"/>
    <n v="4797"/>
    <x v="1"/>
    <x v="0"/>
    <n v="2"/>
    <n v="11"/>
    <n v="11"/>
    <n v="16"/>
    <s v="No"/>
    <x v="1"/>
    <x v="2"/>
    <x v="3"/>
    <n v="0"/>
  </r>
  <r>
    <n v="1228"/>
    <n v="26"/>
    <x v="0"/>
    <x v="3"/>
    <s v="HR Specialist"/>
    <s v="Human Resources"/>
    <s v="Married"/>
    <s v="Non-Travel"/>
    <n v="16"/>
    <n v="5837"/>
    <x v="0"/>
    <x v="1"/>
    <n v="3"/>
    <n v="2"/>
    <n v="0"/>
    <n v="5"/>
    <s v="No"/>
    <x v="3"/>
    <x v="0"/>
    <x v="2"/>
    <n v="0"/>
  </r>
  <r>
    <n v="1798"/>
    <n v="23"/>
    <x v="0"/>
    <x v="2"/>
    <s v="Software Engineer"/>
    <s v="Marketing"/>
    <s v="Single"/>
    <s v="Travel_Rarely"/>
    <n v="23"/>
    <n v="5039"/>
    <x v="1"/>
    <x v="0"/>
    <n v="2"/>
    <n v="0"/>
    <n v="0"/>
    <n v="0"/>
    <s v="No"/>
    <x v="2"/>
    <x v="3"/>
    <x v="3"/>
    <n v="0"/>
  </r>
  <r>
    <n v="1451"/>
    <n v="46"/>
    <x v="0"/>
    <x v="2"/>
    <s v="Data Analyst"/>
    <s v="Technical Degree"/>
    <s v="Divorced"/>
    <s v="Travel_Rarely"/>
    <n v="5"/>
    <n v="9837"/>
    <x v="0"/>
    <x v="0"/>
    <n v="3"/>
    <n v="4"/>
    <n v="0"/>
    <n v="20"/>
    <s v="No"/>
    <x v="3"/>
    <x v="1"/>
    <x v="0"/>
    <n v="0"/>
  </r>
  <r>
    <n v="1985"/>
    <n v="37"/>
    <x v="1"/>
    <x v="2"/>
    <s v="IT Support"/>
    <s v="Marketing"/>
    <s v="Married"/>
    <s v="Travel_Rarely"/>
    <n v="13"/>
    <n v="9414"/>
    <x v="0"/>
    <x v="3"/>
    <n v="1"/>
    <n v="2"/>
    <n v="2"/>
    <n v="17"/>
    <s v="Yes"/>
    <x v="3"/>
    <x v="2"/>
    <x v="0"/>
    <n v="1"/>
  </r>
  <r>
    <n v="1360"/>
    <n v="29"/>
    <x v="0"/>
    <x v="2"/>
    <s v="IT Support"/>
    <s v="Human Resources"/>
    <s v="Married"/>
    <s v="Non-Travel"/>
    <n v="1"/>
    <n v="6345"/>
    <x v="1"/>
    <x v="3"/>
    <n v="2"/>
    <n v="1"/>
    <n v="0"/>
    <n v="5"/>
    <s v="Yes"/>
    <x v="2"/>
    <x v="0"/>
    <x v="2"/>
    <n v="1"/>
  </r>
  <r>
    <n v="1661"/>
    <n v="44"/>
    <x v="1"/>
    <x v="0"/>
    <s v="Sales Representative"/>
    <s v="Medical"/>
    <s v="Married"/>
    <s v="Non-Travel"/>
    <n v="8"/>
    <n v="11153"/>
    <x v="0"/>
    <x v="2"/>
    <n v="2"/>
    <n v="7"/>
    <n v="6"/>
    <n v="24"/>
    <s v="No"/>
    <x v="0"/>
    <x v="2"/>
    <x v="0"/>
    <n v="0"/>
  </r>
  <r>
    <n v="1339"/>
    <n v="23"/>
    <x v="1"/>
    <x v="1"/>
    <s v="Research Director"/>
    <s v="Marketing"/>
    <s v="Divorced"/>
    <s v="Non-Travel"/>
    <n v="29"/>
    <n v="10522"/>
    <x v="0"/>
    <x v="1"/>
    <n v="2"/>
    <n v="0"/>
    <n v="0"/>
    <n v="0"/>
    <s v="No"/>
    <x v="2"/>
    <x v="3"/>
    <x v="0"/>
    <n v="0"/>
  </r>
  <r>
    <n v="1731"/>
    <n v="45"/>
    <x v="0"/>
    <x v="3"/>
    <s v="HR Manager"/>
    <s v="Life Sciences"/>
    <s v="Divorced"/>
    <s v="Non-Travel"/>
    <n v="11"/>
    <n v="12308"/>
    <x v="0"/>
    <x v="3"/>
    <n v="4"/>
    <n v="8"/>
    <n v="4"/>
    <n v="23"/>
    <s v="No"/>
    <x v="0"/>
    <x v="2"/>
    <x v="0"/>
    <n v="0"/>
  </r>
  <r>
    <n v="1218"/>
    <n v="57"/>
    <x v="1"/>
    <x v="2"/>
    <s v="IT Support"/>
    <s v="Business"/>
    <s v="Single"/>
    <s v="Non-Travel"/>
    <n v="6"/>
    <n v="13143"/>
    <x v="0"/>
    <x v="3"/>
    <n v="4"/>
    <n v="18"/>
    <n v="18"/>
    <n v="37"/>
    <s v="No"/>
    <x v="1"/>
    <x v="1"/>
    <x v="0"/>
    <n v="0"/>
  </r>
  <r>
    <n v="1513"/>
    <n v="21"/>
    <x v="1"/>
    <x v="0"/>
    <s v="Sales Executive"/>
    <s v="Technical Degree"/>
    <s v="Single"/>
    <s v="Non-Travel"/>
    <n v="11"/>
    <n v="6043"/>
    <x v="0"/>
    <x v="3"/>
    <n v="1"/>
    <n v="0"/>
    <n v="0"/>
    <n v="0"/>
    <s v="No"/>
    <x v="2"/>
    <x v="3"/>
    <x v="2"/>
    <n v="0"/>
  </r>
  <r>
    <n v="1187"/>
    <n v="40"/>
    <x v="1"/>
    <x v="0"/>
    <s v="Sales Manager"/>
    <s v="Other"/>
    <s v="Single"/>
    <s v="Travel_Rarely"/>
    <n v="3"/>
    <n v="10212"/>
    <x v="0"/>
    <x v="0"/>
    <n v="4"/>
    <n v="12"/>
    <n v="7"/>
    <n v="20"/>
    <s v="No"/>
    <x v="1"/>
    <x v="2"/>
    <x v="0"/>
    <n v="0"/>
  </r>
  <r>
    <n v="1158"/>
    <n v="24"/>
    <x v="0"/>
    <x v="2"/>
    <s v="Software Engineer"/>
    <s v="Marketing"/>
    <s v="Divorced"/>
    <s v="Travel_Rarely"/>
    <n v="22"/>
    <n v="5917"/>
    <x v="0"/>
    <x v="0"/>
    <n v="1"/>
    <n v="0"/>
    <n v="0"/>
    <n v="0"/>
    <s v="No"/>
    <x v="2"/>
    <x v="3"/>
    <x v="2"/>
    <n v="0"/>
  </r>
  <r>
    <n v="1820"/>
    <n v="43"/>
    <x v="0"/>
    <x v="1"/>
    <s v="Research Director"/>
    <s v="Marketing"/>
    <s v="Married"/>
    <s v="Travel_Rarely"/>
    <n v="1"/>
    <n v="10459"/>
    <x v="0"/>
    <x v="1"/>
    <n v="3"/>
    <n v="0"/>
    <n v="0"/>
    <n v="12"/>
    <s v="Yes"/>
    <x v="2"/>
    <x v="2"/>
    <x v="0"/>
    <n v="1"/>
  </r>
  <r>
    <n v="1898"/>
    <n v="41"/>
    <x v="0"/>
    <x v="1"/>
    <s v="Research Scientist"/>
    <s v="Human Resources"/>
    <s v="Married"/>
    <s v="Travel_Rarely"/>
    <n v="6"/>
    <n v="6964"/>
    <x v="0"/>
    <x v="1"/>
    <n v="4"/>
    <n v="1"/>
    <n v="1"/>
    <n v="21"/>
    <s v="No"/>
    <x v="2"/>
    <x v="2"/>
    <x v="2"/>
    <n v="0"/>
  </r>
  <r>
    <n v="1975"/>
    <n v="41"/>
    <x v="0"/>
    <x v="2"/>
    <s v="IT Support"/>
    <s v="Technical Degree"/>
    <s v="Single"/>
    <s v="Non-Travel"/>
    <n v="13"/>
    <n v="10507"/>
    <x v="0"/>
    <x v="1"/>
    <n v="4"/>
    <n v="2"/>
    <n v="1"/>
    <n v="21"/>
    <s v="No"/>
    <x v="3"/>
    <x v="2"/>
    <x v="0"/>
    <n v="0"/>
  </r>
  <r>
    <n v="1313"/>
    <n v="45"/>
    <x v="0"/>
    <x v="1"/>
    <s v="Research Director"/>
    <s v="Marketing"/>
    <s v="Single"/>
    <s v="Travel_Frequently"/>
    <n v="22"/>
    <n v="14867"/>
    <x v="0"/>
    <x v="1"/>
    <n v="3"/>
    <n v="1"/>
    <n v="1"/>
    <n v="22"/>
    <s v="No"/>
    <x v="2"/>
    <x v="2"/>
    <x v="0"/>
    <n v="0"/>
  </r>
  <r>
    <n v="1671"/>
    <n v="34"/>
    <x v="1"/>
    <x v="2"/>
    <s v="IT Support"/>
    <s v="Unknown"/>
    <s v="Divorced"/>
    <s v="Travel_Frequently"/>
    <n v="8"/>
    <n v="7737"/>
    <x v="0"/>
    <x v="3"/>
    <n v="4"/>
    <n v="1"/>
    <n v="1"/>
    <n v="7"/>
    <s v="No"/>
    <x v="2"/>
    <x v="0"/>
    <x v="0"/>
    <n v="0"/>
  </r>
  <r>
    <n v="1059"/>
    <n v="35"/>
    <x v="1"/>
    <x v="2"/>
    <s v="IT Manager"/>
    <s v="Other"/>
    <s v="Single"/>
    <s v="Travel_Rarely"/>
    <n v="26"/>
    <n v="11249"/>
    <x v="0"/>
    <x v="0"/>
    <n v="4"/>
    <n v="3"/>
    <n v="1"/>
    <n v="8"/>
    <s v="No"/>
    <x v="3"/>
    <x v="0"/>
    <x v="0"/>
    <n v="0"/>
  </r>
  <r>
    <n v="1631"/>
    <n v="50"/>
    <x v="1"/>
    <x v="3"/>
    <s v="HR Manager"/>
    <s v="Human Resources"/>
    <s v="Divorced"/>
    <s v="Travel_Rarely"/>
    <n v="24"/>
    <n v="11665"/>
    <x v="0"/>
    <x v="3"/>
    <n v="2"/>
    <n v="21"/>
    <n v="16"/>
    <n v="22"/>
    <s v="No"/>
    <x v="1"/>
    <x v="1"/>
    <x v="0"/>
    <n v="0"/>
  </r>
  <r>
    <n v="1616"/>
    <n v="45"/>
    <x v="0"/>
    <x v="4"/>
    <s v="Accountant"/>
    <s v="Other"/>
    <s v="Single"/>
    <s v="Travel_Frequently"/>
    <n v="26"/>
    <n v="11383"/>
    <x v="0"/>
    <x v="1"/>
    <n v="2"/>
    <n v="9"/>
    <n v="3"/>
    <n v="25"/>
    <s v="No"/>
    <x v="0"/>
    <x v="2"/>
    <x v="0"/>
    <n v="0"/>
  </r>
  <r>
    <n v="1240"/>
    <n v="37"/>
    <x v="0"/>
    <x v="0"/>
    <s v="Sales Executive"/>
    <s v="Technical Degree"/>
    <s v="Married"/>
    <s v="Travel_Frequently"/>
    <n v="1"/>
    <n v="5451"/>
    <x v="0"/>
    <x v="3"/>
    <n v="2"/>
    <n v="0"/>
    <n v="0"/>
    <n v="9"/>
    <s v="Yes"/>
    <x v="2"/>
    <x v="2"/>
    <x v="3"/>
    <n v="1"/>
  </r>
  <r>
    <n v="1340"/>
    <n v="43"/>
    <x v="1"/>
    <x v="1"/>
    <s v="Healthcare Representative"/>
    <s v="Business"/>
    <s v="Single"/>
    <s v="Travel_Frequently"/>
    <n v="7"/>
    <n v="8553"/>
    <x v="1"/>
    <x v="1"/>
    <n v="3"/>
    <n v="19"/>
    <n v="8"/>
    <n v="19"/>
    <s v="No"/>
    <x v="1"/>
    <x v="2"/>
    <x v="0"/>
    <n v="0"/>
  </r>
  <r>
    <n v="1268"/>
    <n v="37"/>
    <x v="1"/>
    <x v="1"/>
    <s v="Laboratory Technician"/>
    <s v="Medical"/>
    <s v="Divorced"/>
    <s v="Travel_Frequently"/>
    <n v="29"/>
    <n v="7987"/>
    <x v="0"/>
    <x v="3"/>
    <n v="4"/>
    <n v="4"/>
    <n v="3"/>
    <n v="9"/>
    <s v="No"/>
    <x v="3"/>
    <x v="2"/>
    <x v="0"/>
    <n v="0"/>
  </r>
  <r>
    <n v="1759"/>
    <n v="37"/>
    <x v="0"/>
    <x v="0"/>
    <s v="Sales Executive"/>
    <s v="Business"/>
    <s v="Single"/>
    <s v="Non-Travel"/>
    <n v="13"/>
    <n v="8717"/>
    <x v="1"/>
    <x v="2"/>
    <n v="4"/>
    <n v="1"/>
    <n v="0"/>
    <n v="12"/>
    <s v="Yes"/>
    <x v="2"/>
    <x v="2"/>
    <x v="0"/>
    <n v="1"/>
  </r>
  <r>
    <n v="1136"/>
    <n v="41"/>
    <x v="1"/>
    <x v="0"/>
    <s v="Sales Representative"/>
    <s v="Medical"/>
    <s v="Married"/>
    <s v="Travel_Rarely"/>
    <n v="7"/>
    <n v="7449"/>
    <x v="0"/>
    <x v="2"/>
    <n v="4"/>
    <n v="4"/>
    <n v="0"/>
    <n v="16"/>
    <s v="No"/>
    <x v="3"/>
    <x v="2"/>
    <x v="2"/>
    <n v="0"/>
  </r>
  <r>
    <n v="1020"/>
    <n v="40"/>
    <x v="0"/>
    <x v="3"/>
    <s v="HR Manager"/>
    <s v="Medical"/>
    <s v="Single"/>
    <s v="Non-Travel"/>
    <n v="17"/>
    <n v="10485"/>
    <x v="0"/>
    <x v="1"/>
    <n v="1"/>
    <n v="0"/>
    <n v="0"/>
    <n v="20"/>
    <s v="Yes"/>
    <x v="2"/>
    <x v="2"/>
    <x v="0"/>
    <n v="1"/>
  </r>
  <r>
    <n v="1781"/>
    <n v="27"/>
    <x v="1"/>
    <x v="2"/>
    <s v="IT Support"/>
    <s v="Medical"/>
    <s v="Divorced"/>
    <s v="Travel_Frequently"/>
    <n v="3"/>
    <n v="3030"/>
    <x v="0"/>
    <x v="2"/>
    <n v="4"/>
    <n v="0"/>
    <n v="0"/>
    <n v="0"/>
    <s v="No"/>
    <x v="2"/>
    <x v="0"/>
    <x v="1"/>
    <n v="0"/>
  </r>
  <r>
    <n v="1034"/>
    <n v="59"/>
    <x v="0"/>
    <x v="4"/>
    <s v="Accountant"/>
    <s v="Human Resources"/>
    <s v="Married"/>
    <s v="Travel_Frequently"/>
    <n v="25"/>
    <n v="10209"/>
    <x v="0"/>
    <x v="3"/>
    <n v="4"/>
    <n v="13"/>
    <n v="13"/>
    <n v="39"/>
    <s v="No"/>
    <x v="1"/>
    <x v="1"/>
    <x v="0"/>
    <n v="0"/>
  </r>
  <r>
    <n v="1460"/>
    <n v="41"/>
    <x v="1"/>
    <x v="1"/>
    <s v="Laboratory Technician"/>
    <s v="Technical Degree"/>
    <s v="Married"/>
    <s v="Travel_Frequently"/>
    <n v="23"/>
    <n v="11588"/>
    <x v="1"/>
    <x v="2"/>
    <n v="4"/>
    <n v="12"/>
    <n v="1"/>
    <n v="19"/>
    <s v="No"/>
    <x v="1"/>
    <x v="2"/>
    <x v="0"/>
    <n v="0"/>
  </r>
  <r>
    <n v="1108"/>
    <n v="28"/>
    <x v="0"/>
    <x v="2"/>
    <s v="IT Support"/>
    <s v="Marketing"/>
    <s v="Single"/>
    <s v="Travel_Rarely"/>
    <n v="3"/>
    <n v="8023"/>
    <x v="0"/>
    <x v="2"/>
    <n v="2"/>
    <n v="2"/>
    <n v="2"/>
    <n v="8"/>
    <s v="No"/>
    <x v="3"/>
    <x v="0"/>
    <x v="0"/>
    <n v="0"/>
  </r>
  <r>
    <n v="1761"/>
    <n v="47"/>
    <x v="1"/>
    <x v="2"/>
    <s v="IT Manager"/>
    <s v="Technical Degree"/>
    <s v="Divorced"/>
    <s v="Travel_Frequently"/>
    <n v="18"/>
    <n v="10950"/>
    <x v="0"/>
    <x v="2"/>
    <n v="3"/>
    <n v="24"/>
    <n v="1"/>
    <n v="25"/>
    <s v="No"/>
    <x v="1"/>
    <x v="1"/>
    <x v="0"/>
    <n v="0"/>
  </r>
  <r>
    <n v="1612"/>
    <n v="39"/>
    <x v="0"/>
    <x v="1"/>
    <s v="Research Scientist"/>
    <s v="Business"/>
    <s v="Married"/>
    <s v="Non-Travel"/>
    <n v="20"/>
    <n v="9677"/>
    <x v="0"/>
    <x v="0"/>
    <n v="2"/>
    <n v="12"/>
    <n v="6"/>
    <n v="19"/>
    <s v="No"/>
    <x v="1"/>
    <x v="2"/>
    <x v="0"/>
    <n v="0"/>
  </r>
  <r>
    <n v="1078"/>
    <n v="46"/>
    <x v="0"/>
    <x v="0"/>
    <s v="Sales Manager"/>
    <s v="Other"/>
    <s v="Divorced"/>
    <s v="Travel_Frequently"/>
    <n v="20"/>
    <n v="10661"/>
    <x v="0"/>
    <x v="1"/>
    <n v="4"/>
    <n v="7"/>
    <n v="7"/>
    <n v="13"/>
    <s v="Yes"/>
    <x v="0"/>
    <x v="1"/>
    <x v="0"/>
    <n v="1"/>
  </r>
  <r>
    <n v="1214"/>
    <n v="29"/>
    <x v="0"/>
    <x v="0"/>
    <s v="Sales Representative"/>
    <s v="Marketing"/>
    <s v="Single"/>
    <s v="Travel_Frequently"/>
    <n v="9"/>
    <n v="7240"/>
    <x v="1"/>
    <x v="2"/>
    <n v="4"/>
    <n v="3"/>
    <n v="2"/>
    <n v="9"/>
    <s v="No"/>
    <x v="3"/>
    <x v="0"/>
    <x v="2"/>
    <n v="0"/>
  </r>
  <r>
    <n v="1635"/>
    <n v="35"/>
    <x v="1"/>
    <x v="1"/>
    <s v="Research Director"/>
    <s v="Medical"/>
    <s v="Single"/>
    <s v="Travel_Rarely"/>
    <n v="27"/>
    <n v="11725"/>
    <x v="1"/>
    <x v="3"/>
    <n v="2"/>
    <n v="1"/>
    <n v="1"/>
    <n v="15"/>
    <s v="Yes"/>
    <x v="2"/>
    <x v="0"/>
    <x v="0"/>
    <n v="1"/>
  </r>
  <r>
    <n v="1215"/>
    <n v="35"/>
    <x v="0"/>
    <x v="4"/>
    <s v="Finance Manager"/>
    <s v="Technical Degree"/>
    <s v="Divorced"/>
    <s v="Travel_Rarely"/>
    <n v="16"/>
    <n v="8274"/>
    <x v="0"/>
    <x v="0"/>
    <n v="4"/>
    <n v="0"/>
    <n v="0"/>
    <n v="4"/>
    <s v="No"/>
    <x v="2"/>
    <x v="0"/>
    <x v="0"/>
    <n v="0"/>
  </r>
  <r>
    <n v="1550"/>
    <n v="23"/>
    <x v="1"/>
    <x v="1"/>
    <s v="Research Scientist"/>
    <s v="Business"/>
    <s v="Single"/>
    <s v="Travel_Frequently"/>
    <n v="20"/>
    <n v="5458"/>
    <x v="1"/>
    <x v="1"/>
    <n v="4"/>
    <n v="0"/>
    <n v="0"/>
    <n v="3"/>
    <s v="Yes"/>
    <x v="2"/>
    <x v="3"/>
    <x v="3"/>
    <n v="1"/>
  </r>
  <r>
    <n v="1519"/>
    <n v="56"/>
    <x v="0"/>
    <x v="2"/>
    <s v="Software Engineer"/>
    <s v="Medical"/>
    <s v="Divorced"/>
    <s v="Travel_Frequently"/>
    <n v="23"/>
    <n v="13282"/>
    <x v="0"/>
    <x v="2"/>
    <n v="4"/>
    <n v="22"/>
    <n v="21"/>
    <n v="36"/>
    <s v="No"/>
    <x v="1"/>
    <x v="1"/>
    <x v="0"/>
    <n v="0"/>
  </r>
  <r>
    <n v="1007"/>
    <n v="55"/>
    <x v="0"/>
    <x v="0"/>
    <s v="Sales Executive"/>
    <s v="Business"/>
    <s v="Single"/>
    <s v="Non-Travel"/>
    <n v="5"/>
    <n v="8597"/>
    <x v="0"/>
    <x v="0"/>
    <n v="2"/>
    <n v="13"/>
    <n v="9"/>
    <n v="22"/>
    <s v="No"/>
    <x v="1"/>
    <x v="1"/>
    <x v="0"/>
    <n v="0"/>
  </r>
  <r>
    <n v="1846"/>
    <n v="21"/>
    <x v="0"/>
    <x v="0"/>
    <s v="Sales Representative"/>
    <s v="Life Sciences"/>
    <s v="Married"/>
    <s v="Travel_Frequently"/>
    <n v="24"/>
    <n v="2299"/>
    <x v="0"/>
    <x v="3"/>
    <n v="2"/>
    <n v="0"/>
    <n v="0"/>
    <n v="0"/>
    <s v="No"/>
    <x v="2"/>
    <x v="3"/>
    <x v="1"/>
    <n v="0"/>
  </r>
  <r>
    <n v="1739"/>
    <n v="54"/>
    <x v="0"/>
    <x v="0"/>
    <s v="Sales Manager"/>
    <s v="Marketing"/>
    <s v="Married"/>
    <s v="Travel_Rarely"/>
    <n v="23"/>
    <n v="15804"/>
    <x v="0"/>
    <x v="0"/>
    <n v="3"/>
    <n v="9"/>
    <n v="1"/>
    <n v="31"/>
    <s v="No"/>
    <x v="0"/>
    <x v="1"/>
    <x v="0"/>
    <n v="0"/>
  </r>
  <r>
    <n v="1477"/>
    <n v="52"/>
    <x v="0"/>
    <x v="0"/>
    <s v="Sales Manager"/>
    <s v="Medical"/>
    <s v="Married"/>
    <s v="Travel_Frequently"/>
    <n v="4"/>
    <n v="13764"/>
    <x v="1"/>
    <x v="2"/>
    <n v="1"/>
    <n v="18"/>
    <n v="16"/>
    <n v="32"/>
    <s v="No"/>
    <x v="1"/>
    <x v="1"/>
    <x v="0"/>
    <n v="0"/>
  </r>
  <r>
    <n v="1113"/>
    <n v="29"/>
    <x v="1"/>
    <x v="0"/>
    <s v="Sales Executive"/>
    <s v="Technical Degree"/>
    <s v="Single"/>
    <s v="Travel_Frequently"/>
    <n v="12"/>
    <n v="5104"/>
    <x v="0"/>
    <x v="1"/>
    <n v="2"/>
    <n v="7"/>
    <n v="0"/>
    <n v="9"/>
    <s v="No"/>
    <x v="0"/>
    <x v="0"/>
    <x v="3"/>
    <n v="0"/>
  </r>
  <r>
    <n v="1707"/>
    <n v="53"/>
    <x v="1"/>
    <x v="1"/>
    <s v="Laboratory Technician"/>
    <s v="Business"/>
    <s v="Married"/>
    <s v="Travel_Rarely"/>
    <n v="11"/>
    <n v="12758"/>
    <x v="0"/>
    <x v="2"/>
    <n v="4"/>
    <n v="22"/>
    <n v="19"/>
    <n v="30"/>
    <s v="No"/>
    <x v="1"/>
    <x v="1"/>
    <x v="0"/>
    <n v="0"/>
  </r>
  <r>
    <n v="1142"/>
    <n v="50"/>
    <x v="0"/>
    <x v="0"/>
    <s v="Sales Executive"/>
    <s v="Other"/>
    <s v="Single"/>
    <s v="Travel_Frequently"/>
    <n v="22"/>
    <n v="12506"/>
    <x v="0"/>
    <x v="2"/>
    <n v="2"/>
    <n v="19"/>
    <n v="11"/>
    <n v="30"/>
    <s v="No"/>
    <x v="1"/>
    <x v="1"/>
    <x v="0"/>
    <n v="0"/>
  </r>
  <r>
    <n v="1870"/>
    <n v="55"/>
    <x v="1"/>
    <x v="1"/>
    <s v="Research Director"/>
    <s v="Marketing"/>
    <s v="Divorced"/>
    <s v="Non-Travel"/>
    <n v="12"/>
    <n v="13554"/>
    <x v="0"/>
    <x v="1"/>
    <n v="3"/>
    <n v="0"/>
    <n v="0"/>
    <n v="26"/>
    <s v="No"/>
    <x v="2"/>
    <x v="1"/>
    <x v="0"/>
    <n v="0"/>
  </r>
  <r>
    <n v="1048"/>
    <n v="37"/>
    <x v="0"/>
    <x v="1"/>
    <s v="Laboratory Technician"/>
    <s v="Medical"/>
    <s v="Single"/>
    <s v="Non-Travel"/>
    <n v="16"/>
    <n v="8252"/>
    <x v="0"/>
    <x v="1"/>
    <n v="1"/>
    <n v="4"/>
    <n v="1"/>
    <n v="14"/>
    <s v="No"/>
    <x v="3"/>
    <x v="2"/>
    <x v="0"/>
    <n v="0"/>
  </r>
  <r>
    <n v="1505"/>
    <n v="45"/>
    <x v="0"/>
    <x v="1"/>
    <s v="Research Scientist"/>
    <s v="Human Resources"/>
    <s v="Divorced"/>
    <s v="Travel_Frequently"/>
    <n v="20"/>
    <n v="10315"/>
    <x v="0"/>
    <x v="2"/>
    <n v="3"/>
    <n v="15"/>
    <n v="14"/>
    <n v="23"/>
    <s v="No"/>
    <x v="1"/>
    <x v="2"/>
    <x v="0"/>
    <n v="0"/>
  </r>
  <r>
    <n v="1423"/>
    <n v="35"/>
    <x v="1"/>
    <x v="1"/>
    <s v="Research Scientist"/>
    <s v="Technical Degree"/>
    <s v="Married"/>
    <s v="Non-Travel"/>
    <n v="14"/>
    <n v="4580"/>
    <x v="1"/>
    <x v="2"/>
    <n v="4"/>
    <n v="6"/>
    <n v="1"/>
    <n v="10"/>
    <s v="Yes"/>
    <x v="0"/>
    <x v="0"/>
    <x v="3"/>
    <n v="1"/>
  </r>
  <r>
    <n v="1718"/>
    <n v="52"/>
    <x v="0"/>
    <x v="0"/>
    <s v="Sales Representative"/>
    <s v="Life Sciences"/>
    <s v="Married"/>
    <s v="Non-Travel"/>
    <n v="24"/>
    <n v="9871"/>
    <x v="0"/>
    <x v="1"/>
    <n v="1"/>
    <n v="14"/>
    <n v="4"/>
    <n v="23"/>
    <s v="No"/>
    <x v="1"/>
    <x v="1"/>
    <x v="0"/>
    <n v="0"/>
  </r>
  <r>
    <n v="1939"/>
    <n v="36"/>
    <x v="0"/>
    <x v="0"/>
    <s v="Sales Representative"/>
    <s v="Technical Degree"/>
    <s v="Single"/>
    <s v="Travel_Rarely"/>
    <n v="14"/>
    <n v="6993"/>
    <x v="1"/>
    <x v="0"/>
    <n v="2"/>
    <n v="0"/>
    <n v="0"/>
    <n v="15"/>
    <s v="No"/>
    <x v="2"/>
    <x v="2"/>
    <x v="2"/>
    <n v="0"/>
  </r>
  <r>
    <n v="1623"/>
    <n v="55"/>
    <x v="1"/>
    <x v="2"/>
    <s v="Data Analyst"/>
    <s v="Business"/>
    <s v="Single"/>
    <s v="Travel_Frequently"/>
    <n v="28"/>
    <n v="11175"/>
    <x v="0"/>
    <x v="3"/>
    <n v="1"/>
    <n v="1"/>
    <n v="0"/>
    <n v="26"/>
    <s v="No"/>
    <x v="2"/>
    <x v="1"/>
    <x v="0"/>
    <n v="0"/>
  </r>
  <r>
    <n v="1334"/>
    <n v="29"/>
    <x v="0"/>
    <x v="0"/>
    <s v="Sales Manager"/>
    <s v="Medical"/>
    <s v="Married"/>
    <s v="Travel_Frequently"/>
    <n v="26"/>
    <n v="6696"/>
    <x v="0"/>
    <x v="3"/>
    <n v="3"/>
    <n v="0"/>
    <n v="0"/>
    <n v="2"/>
    <s v="No"/>
    <x v="2"/>
    <x v="0"/>
    <x v="2"/>
    <n v="0"/>
  </r>
  <r>
    <n v="1436"/>
    <n v="49"/>
    <x v="0"/>
    <x v="1"/>
    <s v="Healthcare Representative"/>
    <s v="Business"/>
    <s v="Single"/>
    <s v="Travel_Rarely"/>
    <n v="10"/>
    <n v="10622"/>
    <x v="0"/>
    <x v="3"/>
    <n v="4"/>
    <n v="9"/>
    <n v="2"/>
    <n v="24"/>
    <s v="No"/>
    <x v="0"/>
    <x v="1"/>
    <x v="0"/>
    <n v="0"/>
  </r>
  <r>
    <n v="1485"/>
    <n v="31"/>
    <x v="1"/>
    <x v="0"/>
    <s v="Sales Representative"/>
    <s v="Other"/>
    <s v="Single"/>
    <s v="Non-Travel"/>
    <n v="7"/>
    <n v="6585"/>
    <x v="0"/>
    <x v="4"/>
    <n v="1"/>
    <n v="1"/>
    <n v="0"/>
    <n v="3"/>
    <s v="Yes"/>
    <x v="2"/>
    <x v="0"/>
    <x v="2"/>
    <n v="1"/>
  </r>
  <r>
    <n v="1336"/>
    <n v="55"/>
    <x v="0"/>
    <x v="0"/>
    <s v="Sales Manager"/>
    <s v="Human Resources"/>
    <s v="Single"/>
    <s v="Non-Travel"/>
    <n v="21"/>
    <n v="16276"/>
    <x v="1"/>
    <x v="0"/>
    <n v="4"/>
    <n v="14"/>
    <n v="4"/>
    <n v="34"/>
    <s v="No"/>
    <x v="1"/>
    <x v="1"/>
    <x v="0"/>
    <n v="0"/>
  </r>
  <r>
    <n v="1331"/>
    <n v="53"/>
    <x v="0"/>
    <x v="2"/>
    <s v="Data Analyst"/>
    <s v="Technical Degree"/>
    <s v="Divorced"/>
    <s v="Non-Travel"/>
    <n v="2"/>
    <n v="10132"/>
    <x v="0"/>
    <x v="0"/>
    <n v="2"/>
    <n v="12"/>
    <n v="10"/>
    <n v="27"/>
    <s v="No"/>
    <x v="1"/>
    <x v="1"/>
    <x v="0"/>
    <n v="0"/>
  </r>
  <r>
    <n v="1290"/>
    <n v="30"/>
    <x v="1"/>
    <x v="0"/>
    <s v="Sales Manager"/>
    <s v="Business"/>
    <s v="Married"/>
    <s v="Travel_Rarely"/>
    <n v="25"/>
    <n v="9010"/>
    <x v="1"/>
    <x v="2"/>
    <n v="3"/>
    <n v="1"/>
    <n v="0"/>
    <n v="6"/>
    <s v="No"/>
    <x v="2"/>
    <x v="0"/>
    <x v="0"/>
    <n v="0"/>
  </r>
  <r>
    <n v="1832"/>
    <n v="49"/>
    <x v="0"/>
    <x v="0"/>
    <s v="Sales Manager"/>
    <s v="Medical"/>
    <s v="Married"/>
    <s v="Travel_Rarely"/>
    <n v="20"/>
    <n v="12742"/>
    <x v="1"/>
    <x v="2"/>
    <n v="3"/>
    <n v="1"/>
    <n v="0"/>
    <n v="19"/>
    <s v="No"/>
    <x v="2"/>
    <x v="1"/>
    <x v="0"/>
    <n v="0"/>
  </r>
  <r>
    <n v="1728"/>
    <n v="51"/>
    <x v="0"/>
    <x v="0"/>
    <s v="Sales Executive"/>
    <s v="Business"/>
    <s v="Married"/>
    <s v="Non-Travel"/>
    <n v="3"/>
    <n v="10071"/>
    <x v="0"/>
    <x v="3"/>
    <n v="3"/>
    <n v="21"/>
    <n v="4"/>
    <n v="29"/>
    <s v="No"/>
    <x v="1"/>
    <x v="1"/>
    <x v="0"/>
    <n v="0"/>
  </r>
  <r>
    <n v="1264"/>
    <n v="55"/>
    <x v="0"/>
    <x v="2"/>
    <s v="IT Support"/>
    <s v="Medical"/>
    <s v="Married"/>
    <s v="Travel_Frequently"/>
    <n v="22"/>
    <n v="9796"/>
    <x v="1"/>
    <x v="2"/>
    <n v="1"/>
    <n v="22"/>
    <n v="21"/>
    <n v="31"/>
    <s v="Yes"/>
    <x v="1"/>
    <x v="1"/>
    <x v="0"/>
    <n v="1"/>
  </r>
  <r>
    <n v="1819"/>
    <n v="37"/>
    <x v="0"/>
    <x v="4"/>
    <s v="Finance Manager"/>
    <s v="Life Sciences"/>
    <s v="Married"/>
    <s v="Non-Travel"/>
    <n v="17"/>
    <n v="13762"/>
    <x v="0"/>
    <x v="0"/>
    <n v="1"/>
    <n v="8"/>
    <n v="3"/>
    <n v="17"/>
    <s v="No"/>
    <x v="0"/>
    <x v="2"/>
    <x v="0"/>
    <n v="0"/>
  </r>
  <r>
    <n v="1977"/>
    <n v="44"/>
    <x v="0"/>
    <x v="1"/>
    <s v="Research Director"/>
    <s v="Business"/>
    <s v="Single"/>
    <s v="Non-Travel"/>
    <n v="23"/>
    <n v="10616"/>
    <x v="0"/>
    <x v="2"/>
    <n v="1"/>
    <n v="0"/>
    <n v="0"/>
    <n v="20"/>
    <s v="No"/>
    <x v="2"/>
    <x v="2"/>
    <x v="0"/>
    <n v="0"/>
  </r>
  <r>
    <n v="1563"/>
    <n v="60"/>
    <x v="1"/>
    <x v="1"/>
    <s v="Healthcare Representative"/>
    <s v="Marketing"/>
    <s v="Married"/>
    <s v="Travel_Frequently"/>
    <n v="13"/>
    <n v="11918"/>
    <x v="0"/>
    <x v="3"/>
    <n v="4"/>
    <n v="1"/>
    <n v="0"/>
    <n v="40"/>
    <s v="Yes"/>
    <x v="2"/>
    <x v="1"/>
    <x v="0"/>
    <n v="1"/>
  </r>
  <r>
    <n v="1506"/>
    <n v="25"/>
    <x v="1"/>
    <x v="1"/>
    <s v="Research Director"/>
    <s v="Life Sciences"/>
    <s v="Married"/>
    <s v="Travel_Frequently"/>
    <n v="21"/>
    <n v="9445"/>
    <x v="1"/>
    <x v="3"/>
    <n v="1"/>
    <n v="0"/>
    <n v="0"/>
    <n v="1"/>
    <s v="Yes"/>
    <x v="2"/>
    <x v="3"/>
    <x v="0"/>
    <n v="1"/>
  </r>
  <r>
    <n v="1300"/>
    <n v="36"/>
    <x v="0"/>
    <x v="0"/>
    <s v="Sales Executive"/>
    <s v="Technical Degree"/>
    <s v="Divorced"/>
    <s v="Non-Travel"/>
    <n v="24"/>
    <n v="6785"/>
    <x v="1"/>
    <x v="0"/>
    <n v="2"/>
    <n v="1"/>
    <n v="1"/>
    <n v="8"/>
    <s v="No"/>
    <x v="2"/>
    <x v="2"/>
    <x v="2"/>
    <n v="0"/>
  </r>
  <r>
    <n v="1265"/>
    <n v="55"/>
    <x v="0"/>
    <x v="4"/>
    <s v="Accountant"/>
    <s v="Business"/>
    <s v="Married"/>
    <s v="Non-Travel"/>
    <n v="20"/>
    <n v="9739"/>
    <x v="1"/>
    <x v="3"/>
    <n v="4"/>
    <n v="1"/>
    <n v="0"/>
    <n v="23"/>
    <s v="Yes"/>
    <x v="2"/>
    <x v="1"/>
    <x v="0"/>
    <n v="1"/>
  </r>
  <r>
    <n v="1358"/>
    <n v="28"/>
    <x v="1"/>
    <x v="1"/>
    <s v="Laboratory Technician"/>
    <s v="Life Sciences"/>
    <s v="Married"/>
    <s v="Non-Travel"/>
    <n v="29"/>
    <n v="4564"/>
    <x v="0"/>
    <x v="3"/>
    <n v="3"/>
    <n v="0"/>
    <n v="0"/>
    <n v="0"/>
    <s v="No"/>
    <x v="2"/>
    <x v="0"/>
    <x v="3"/>
    <n v="0"/>
  </r>
  <r>
    <n v="1590"/>
    <n v="35"/>
    <x v="0"/>
    <x v="0"/>
    <s v="Sales Manager"/>
    <s v="Business"/>
    <s v="Single"/>
    <s v="Non-Travel"/>
    <n v="3"/>
    <n v="8990"/>
    <x v="0"/>
    <x v="3"/>
    <n v="4"/>
    <n v="3"/>
    <n v="3"/>
    <n v="13"/>
    <s v="No"/>
    <x v="3"/>
    <x v="0"/>
    <x v="0"/>
    <n v="0"/>
  </r>
  <r>
    <n v="1527"/>
    <n v="33"/>
    <x v="0"/>
    <x v="4"/>
    <s v="Financial Analyst"/>
    <s v="Business"/>
    <s v="Divorced"/>
    <s v="Non-Travel"/>
    <n v="12"/>
    <n v="7259"/>
    <x v="1"/>
    <x v="1"/>
    <n v="4"/>
    <n v="2"/>
    <n v="2"/>
    <n v="7"/>
    <s v="No"/>
    <x v="3"/>
    <x v="0"/>
    <x v="2"/>
    <n v="0"/>
  </r>
  <r>
    <n v="1168"/>
    <n v="44"/>
    <x v="1"/>
    <x v="0"/>
    <s v="Sales Representative"/>
    <s v="Life Sciences"/>
    <s v="Single"/>
    <s v="Non-Travel"/>
    <n v="10"/>
    <n v="6768"/>
    <x v="1"/>
    <x v="2"/>
    <n v="2"/>
    <n v="17"/>
    <n v="7"/>
    <n v="21"/>
    <s v="No"/>
    <x v="1"/>
    <x v="2"/>
    <x v="2"/>
    <n v="0"/>
  </r>
  <r>
    <n v="1624"/>
    <n v="30"/>
    <x v="1"/>
    <x v="0"/>
    <s v="Sales Manager"/>
    <s v="Medical"/>
    <s v="Divorced"/>
    <s v="Travel_Frequently"/>
    <n v="17"/>
    <n v="10268"/>
    <x v="1"/>
    <x v="3"/>
    <n v="3"/>
    <n v="0"/>
    <n v="0"/>
    <n v="0"/>
    <s v="No"/>
    <x v="2"/>
    <x v="0"/>
    <x v="0"/>
    <n v="0"/>
  </r>
  <r>
    <n v="1432"/>
    <n v="34"/>
    <x v="0"/>
    <x v="0"/>
    <s v="Sales Manager"/>
    <s v="Technical Degree"/>
    <s v="Single"/>
    <s v="Travel_Rarely"/>
    <n v="15"/>
    <n v="12302"/>
    <x v="0"/>
    <x v="1"/>
    <n v="1"/>
    <n v="4"/>
    <n v="3"/>
    <n v="5"/>
    <s v="No"/>
    <x v="3"/>
    <x v="0"/>
    <x v="0"/>
    <n v="0"/>
  </r>
  <r>
    <n v="1980"/>
    <n v="33"/>
    <x v="1"/>
    <x v="1"/>
    <s v="Healthcare Representative"/>
    <s v="Marketing"/>
    <s v="Single"/>
    <s v="Travel_Frequently"/>
    <n v="27"/>
    <n v="7594"/>
    <x v="0"/>
    <x v="0"/>
    <n v="2"/>
    <n v="1"/>
    <n v="0"/>
    <n v="9"/>
    <s v="No"/>
    <x v="2"/>
    <x v="0"/>
    <x v="0"/>
    <n v="0"/>
  </r>
  <r>
    <n v="1172"/>
    <n v="33"/>
    <x v="0"/>
    <x v="4"/>
    <s v="Accountant"/>
    <s v="Life Sciences"/>
    <s v="Divorced"/>
    <s v="Travel_Rarely"/>
    <n v="8"/>
    <n v="7238"/>
    <x v="0"/>
    <x v="2"/>
    <n v="2"/>
    <n v="5"/>
    <n v="0"/>
    <n v="5"/>
    <s v="No"/>
    <x v="0"/>
    <x v="0"/>
    <x v="2"/>
    <n v="0"/>
  </r>
  <r>
    <n v="1855"/>
    <n v="31"/>
    <x v="0"/>
    <x v="3"/>
    <s v="HR Manager"/>
    <s v="Other"/>
    <s v="Divorced"/>
    <s v="Non-Travel"/>
    <n v="5"/>
    <n v="8797"/>
    <x v="1"/>
    <x v="3"/>
    <n v="3"/>
    <n v="2"/>
    <n v="0"/>
    <n v="2"/>
    <s v="No"/>
    <x v="3"/>
    <x v="0"/>
    <x v="0"/>
    <n v="0"/>
  </r>
  <r>
    <n v="1230"/>
    <n v="25"/>
    <x v="0"/>
    <x v="2"/>
    <s v="Data Analyst"/>
    <s v="Technical Degree"/>
    <s v="Divorced"/>
    <s v="Travel_Rarely"/>
    <n v="27"/>
    <n v="3885"/>
    <x v="0"/>
    <x v="3"/>
    <n v="1"/>
    <n v="0"/>
    <n v="0"/>
    <n v="0"/>
    <s v="No"/>
    <x v="2"/>
    <x v="3"/>
    <x v="3"/>
    <n v="0"/>
  </r>
  <r>
    <n v="1323"/>
    <n v="21"/>
    <x v="0"/>
    <x v="1"/>
    <s v="Laboratory Technician"/>
    <s v="Technical Degree"/>
    <s v="Divorced"/>
    <s v="Travel_Rarely"/>
    <n v="23"/>
    <n v="6068"/>
    <x v="1"/>
    <x v="0"/>
    <n v="4"/>
    <n v="1"/>
    <n v="1"/>
    <n v="1"/>
    <s v="No"/>
    <x v="2"/>
    <x v="3"/>
    <x v="2"/>
    <n v="0"/>
  </r>
  <r>
    <n v="1653"/>
    <n v="60"/>
    <x v="1"/>
    <x v="0"/>
    <s v="Sales Executive"/>
    <s v="Human Resources"/>
    <s v="Divorced"/>
    <s v="Travel_Rarely"/>
    <n v="1"/>
    <n v="14728"/>
    <x v="0"/>
    <x v="3"/>
    <n v="2"/>
    <n v="4"/>
    <n v="2"/>
    <n v="40"/>
    <s v="No"/>
    <x v="3"/>
    <x v="1"/>
    <x v="0"/>
    <n v="0"/>
  </r>
  <r>
    <n v="1418"/>
    <n v="21"/>
    <x v="1"/>
    <x v="1"/>
    <s v="Laboratory Technician"/>
    <s v="Marketing"/>
    <s v="Divorced"/>
    <s v="Travel_Rarely"/>
    <n v="19"/>
    <n v="5205"/>
    <x v="0"/>
    <x v="3"/>
    <n v="1"/>
    <n v="0"/>
    <n v="0"/>
    <n v="0"/>
    <s v="No"/>
    <x v="2"/>
    <x v="3"/>
    <x v="3"/>
    <n v="0"/>
  </r>
  <r>
    <n v="1112"/>
    <n v="48"/>
    <x v="0"/>
    <x v="2"/>
    <s v="IT Support"/>
    <s v="Technical Degree"/>
    <s v="Divorced"/>
    <s v="Travel_Frequently"/>
    <n v="21"/>
    <n v="11883"/>
    <x v="1"/>
    <x v="0"/>
    <n v="1"/>
    <n v="11"/>
    <n v="9"/>
    <n v="28"/>
    <s v="No"/>
    <x v="1"/>
    <x v="1"/>
    <x v="0"/>
    <n v="0"/>
  </r>
  <r>
    <n v="1794"/>
    <n v="58"/>
    <x v="1"/>
    <x v="0"/>
    <s v="Sales Manager"/>
    <s v="Medical"/>
    <s v="Married"/>
    <s v="Non-Travel"/>
    <n v="24"/>
    <n v="14694"/>
    <x v="0"/>
    <x v="0"/>
    <n v="3"/>
    <n v="18"/>
    <n v="12"/>
    <n v="35"/>
    <s v="Yes"/>
    <x v="1"/>
    <x v="1"/>
    <x v="0"/>
    <n v="1"/>
  </r>
  <r>
    <n v="1572"/>
    <n v="60"/>
    <x v="1"/>
    <x v="1"/>
    <s v="Healthcare Representative"/>
    <s v="Marketing"/>
    <s v="Married"/>
    <s v="Non-Travel"/>
    <n v="3"/>
    <n v="11879"/>
    <x v="1"/>
    <x v="2"/>
    <n v="1"/>
    <n v="3"/>
    <n v="1"/>
    <n v="37"/>
    <s v="No"/>
    <x v="3"/>
    <x v="1"/>
    <x v="0"/>
    <n v="0"/>
  </r>
  <r>
    <n v="1031"/>
    <n v="48"/>
    <x v="1"/>
    <x v="1"/>
    <s v="Healthcare Representative"/>
    <s v="Medical"/>
    <s v="Single"/>
    <s v="Non-Travel"/>
    <n v="25"/>
    <n v="7884"/>
    <x v="1"/>
    <x v="0"/>
    <n v="3"/>
    <n v="5"/>
    <n v="5"/>
    <n v="21"/>
    <s v="Yes"/>
    <x v="0"/>
    <x v="1"/>
    <x v="0"/>
    <n v="1"/>
  </r>
  <r>
    <n v="1139"/>
    <n v="36"/>
    <x v="1"/>
    <x v="0"/>
    <s v="Sales Representative"/>
    <s v="Marketing"/>
    <s v="Divorced"/>
    <s v="Non-Travel"/>
    <n v="17"/>
    <n v="6948"/>
    <x v="0"/>
    <x v="3"/>
    <n v="4"/>
    <n v="5"/>
    <n v="2"/>
    <n v="11"/>
    <s v="No"/>
    <x v="0"/>
    <x v="2"/>
    <x v="2"/>
    <n v="0"/>
  </r>
  <r>
    <n v="1914"/>
    <n v="50"/>
    <x v="1"/>
    <x v="0"/>
    <s v="Sales Representative"/>
    <s v="Technical Degree"/>
    <s v="Married"/>
    <s v="Travel_Rarely"/>
    <n v="24"/>
    <n v="9474"/>
    <x v="0"/>
    <x v="0"/>
    <n v="3"/>
    <n v="21"/>
    <n v="11"/>
    <n v="27"/>
    <s v="Yes"/>
    <x v="1"/>
    <x v="1"/>
    <x v="0"/>
    <n v="1"/>
  </r>
  <r>
    <n v="1356"/>
    <n v="42"/>
    <x v="0"/>
    <x v="0"/>
    <s v="Sales Representative"/>
    <s v="Medical"/>
    <s v="Married"/>
    <s v="Travel_Frequently"/>
    <n v="9"/>
    <n v="8836"/>
    <x v="0"/>
    <x v="2"/>
    <n v="1"/>
    <n v="8"/>
    <n v="0"/>
    <n v="15"/>
    <s v="No"/>
    <x v="0"/>
    <x v="2"/>
    <x v="0"/>
    <n v="0"/>
  </r>
  <r>
    <n v="1706"/>
    <n v="43"/>
    <x v="0"/>
    <x v="0"/>
    <s v="Sales Executive"/>
    <s v="Life Sciences"/>
    <s v="Divorced"/>
    <s v="Non-Travel"/>
    <n v="19"/>
    <n v="9113"/>
    <x v="1"/>
    <x v="1"/>
    <n v="3"/>
    <n v="1"/>
    <n v="0"/>
    <n v="12"/>
    <s v="No"/>
    <x v="2"/>
    <x v="2"/>
    <x v="0"/>
    <n v="0"/>
  </r>
  <r>
    <n v="1006"/>
    <n v="34"/>
    <x v="1"/>
    <x v="2"/>
    <s v="Data Analyst"/>
    <s v="Human Resources"/>
    <s v="Married"/>
    <s v="Non-Travel"/>
    <n v="16"/>
    <n v="6161"/>
    <x v="1"/>
    <x v="3"/>
    <n v="3"/>
    <n v="6"/>
    <n v="2"/>
    <n v="13"/>
    <s v="No"/>
    <x v="0"/>
    <x v="0"/>
    <x v="2"/>
    <n v="0"/>
  </r>
  <r>
    <n v="1085"/>
    <n v="56"/>
    <x v="1"/>
    <x v="0"/>
    <s v="Sales Executive"/>
    <s v="Medical"/>
    <s v="Married"/>
    <s v="Travel_Frequently"/>
    <n v="15"/>
    <n v="10155"/>
    <x v="0"/>
    <x v="1"/>
    <n v="2"/>
    <n v="23"/>
    <n v="20"/>
    <n v="30"/>
    <s v="No"/>
    <x v="1"/>
    <x v="1"/>
    <x v="0"/>
    <n v="0"/>
  </r>
  <r>
    <n v="1260"/>
    <n v="56"/>
    <x v="1"/>
    <x v="4"/>
    <s v="Finance Manager"/>
    <s v="Marketing"/>
    <s v="Single"/>
    <s v="Travel_Frequently"/>
    <n v="22"/>
    <n v="13996"/>
    <x v="0"/>
    <x v="2"/>
    <n v="2"/>
    <n v="21"/>
    <n v="10"/>
    <n v="31"/>
    <s v="No"/>
    <x v="1"/>
    <x v="1"/>
    <x v="0"/>
    <n v="0"/>
  </r>
  <r>
    <n v="1159"/>
    <n v="55"/>
    <x v="0"/>
    <x v="0"/>
    <s v="Sales Manager"/>
    <s v="Business"/>
    <s v="Divorced"/>
    <s v="Non-Travel"/>
    <n v="6"/>
    <n v="14235"/>
    <x v="0"/>
    <x v="1"/>
    <n v="4"/>
    <n v="23"/>
    <n v="8"/>
    <n v="30"/>
    <s v="Yes"/>
    <x v="1"/>
    <x v="1"/>
    <x v="0"/>
    <n v="1"/>
  </r>
  <r>
    <n v="1100"/>
    <n v="35"/>
    <x v="1"/>
    <x v="0"/>
    <s v="Sales Representative"/>
    <s v="Technical Degree"/>
    <s v="Married"/>
    <s v="Travel_Rarely"/>
    <n v="7"/>
    <n v="7534"/>
    <x v="0"/>
    <x v="0"/>
    <n v="4"/>
    <n v="14"/>
    <n v="3"/>
    <n v="15"/>
    <s v="No"/>
    <x v="1"/>
    <x v="0"/>
    <x v="0"/>
    <n v="0"/>
  </r>
  <r>
    <n v="1626"/>
    <n v="57"/>
    <x v="1"/>
    <x v="3"/>
    <s v="HR Specialist"/>
    <s v="Marketing"/>
    <s v="Single"/>
    <s v="Travel_Rarely"/>
    <n v="29"/>
    <n v="10948"/>
    <x v="0"/>
    <x v="0"/>
    <n v="3"/>
    <n v="19"/>
    <n v="13"/>
    <n v="31"/>
    <s v="No"/>
    <x v="1"/>
    <x v="1"/>
    <x v="0"/>
    <n v="0"/>
  </r>
  <r>
    <n v="1515"/>
    <n v="55"/>
    <x v="1"/>
    <x v="2"/>
    <s v="Data Analyst"/>
    <s v="Technical Degree"/>
    <s v="Married"/>
    <s v="Travel_Frequently"/>
    <n v="23"/>
    <n v="12212"/>
    <x v="0"/>
    <x v="0"/>
    <n v="2"/>
    <n v="20"/>
    <n v="3"/>
    <n v="33"/>
    <s v="No"/>
    <x v="1"/>
    <x v="1"/>
    <x v="0"/>
    <n v="0"/>
  </r>
  <r>
    <n v="1437"/>
    <n v="59"/>
    <x v="1"/>
    <x v="0"/>
    <s v="Sales Executive"/>
    <s v="Technical Degree"/>
    <s v="Single"/>
    <s v="Travel_Rarely"/>
    <n v="2"/>
    <n v="11206"/>
    <x v="1"/>
    <x v="3"/>
    <n v="2"/>
    <n v="9"/>
    <n v="2"/>
    <n v="39"/>
    <s v="No"/>
    <x v="0"/>
    <x v="1"/>
    <x v="0"/>
    <n v="0"/>
  </r>
  <r>
    <n v="1931"/>
    <n v="34"/>
    <x v="1"/>
    <x v="2"/>
    <s v="Software Engineer"/>
    <s v="Human Resources"/>
    <s v="Divorced"/>
    <s v="Travel_Frequently"/>
    <n v="24"/>
    <n v="8555"/>
    <x v="1"/>
    <x v="3"/>
    <n v="3"/>
    <n v="2"/>
    <n v="1"/>
    <n v="12"/>
    <s v="No"/>
    <x v="3"/>
    <x v="0"/>
    <x v="0"/>
    <n v="0"/>
  </r>
  <r>
    <n v="1561"/>
    <n v="54"/>
    <x v="0"/>
    <x v="2"/>
    <s v="Software Engineer"/>
    <s v="Other"/>
    <s v="Divorced"/>
    <s v="Travel_Frequently"/>
    <n v="3"/>
    <n v="12083"/>
    <x v="1"/>
    <x v="3"/>
    <n v="4"/>
    <n v="7"/>
    <n v="0"/>
    <n v="29"/>
    <s v="No"/>
    <x v="0"/>
    <x v="1"/>
    <x v="0"/>
    <n v="0"/>
  </r>
  <r>
    <n v="1826"/>
    <n v="44"/>
    <x v="0"/>
    <x v="2"/>
    <s v="Data Analyst"/>
    <s v="Marketing"/>
    <s v="Divorced"/>
    <s v="Travel_Frequently"/>
    <n v="18"/>
    <n v="12136"/>
    <x v="0"/>
    <x v="0"/>
    <n v="4"/>
    <n v="4"/>
    <n v="3"/>
    <n v="24"/>
    <s v="Yes"/>
    <x v="3"/>
    <x v="2"/>
    <x v="0"/>
    <n v="1"/>
  </r>
  <r>
    <n v="1283"/>
    <n v="27"/>
    <x v="1"/>
    <x v="1"/>
    <s v="Laboratory Technician"/>
    <s v="Life Sciences"/>
    <s v="Married"/>
    <s v="Travel_Frequently"/>
    <n v="29"/>
    <n v="7333"/>
    <x v="0"/>
    <x v="0"/>
    <n v="2"/>
    <n v="6"/>
    <n v="4"/>
    <n v="7"/>
    <s v="No"/>
    <x v="0"/>
    <x v="0"/>
    <x v="2"/>
    <n v="0"/>
  </r>
  <r>
    <n v="1473"/>
    <n v="56"/>
    <x v="0"/>
    <x v="1"/>
    <s v="Healthcare Representative"/>
    <s v="Other"/>
    <s v="Married"/>
    <s v="Travel_Rarely"/>
    <n v="22"/>
    <n v="10693"/>
    <x v="1"/>
    <x v="3"/>
    <n v="2"/>
    <n v="6"/>
    <n v="2"/>
    <n v="31"/>
    <s v="No"/>
    <x v="0"/>
    <x v="1"/>
    <x v="0"/>
    <n v="0"/>
  </r>
  <r>
    <n v="1472"/>
    <n v="21"/>
    <x v="1"/>
    <x v="2"/>
    <s v="Software Engineer"/>
    <s v="Marketing"/>
    <s v="Married"/>
    <s v="Travel_Frequently"/>
    <n v="27"/>
    <n v="4885"/>
    <x v="0"/>
    <x v="2"/>
    <n v="2"/>
    <n v="0"/>
    <n v="0"/>
    <n v="0"/>
    <s v="No"/>
    <x v="2"/>
    <x v="3"/>
    <x v="3"/>
    <n v="0"/>
  </r>
  <r>
    <n v="1941"/>
    <n v="33"/>
    <x v="0"/>
    <x v="1"/>
    <s v="Laboratory Technician"/>
    <s v="Technical Degree"/>
    <s v="Divorced"/>
    <s v="Travel_Rarely"/>
    <n v="5"/>
    <n v="5095"/>
    <x v="1"/>
    <x v="0"/>
    <n v="3"/>
    <n v="5"/>
    <n v="3"/>
    <n v="7"/>
    <s v="No"/>
    <x v="0"/>
    <x v="0"/>
    <x v="3"/>
    <n v="0"/>
  </r>
  <r>
    <n v="1307"/>
    <n v="57"/>
    <x v="1"/>
    <x v="2"/>
    <s v="IT Manager"/>
    <s v="Technical Degree"/>
    <s v="Single"/>
    <s v="Travel_Rarely"/>
    <n v="27"/>
    <n v="15774"/>
    <x v="0"/>
    <x v="0"/>
    <n v="3"/>
    <n v="22"/>
    <n v="2"/>
    <n v="33"/>
    <s v="No"/>
    <x v="1"/>
    <x v="1"/>
    <x v="0"/>
    <n v="0"/>
  </r>
  <r>
    <n v="1695"/>
    <n v="47"/>
    <x v="0"/>
    <x v="0"/>
    <s v="Sales Manager"/>
    <s v="Human Resources"/>
    <s v="Single"/>
    <s v="Travel_Rarely"/>
    <n v="21"/>
    <n v="16607"/>
    <x v="1"/>
    <x v="1"/>
    <n v="4"/>
    <n v="6"/>
    <n v="4"/>
    <n v="23"/>
    <s v="No"/>
    <x v="0"/>
    <x v="1"/>
    <x v="0"/>
    <n v="0"/>
  </r>
  <r>
    <n v="1222"/>
    <n v="45"/>
    <x v="1"/>
    <x v="4"/>
    <s v="Finance Manager"/>
    <s v="Life Sciences"/>
    <s v="Married"/>
    <s v="Travel_Frequently"/>
    <n v="4"/>
    <n v="11962"/>
    <x v="0"/>
    <x v="0"/>
    <n v="2"/>
    <n v="18"/>
    <n v="1"/>
    <n v="25"/>
    <s v="No"/>
    <x v="1"/>
    <x v="2"/>
    <x v="0"/>
    <n v="0"/>
  </r>
  <r>
    <n v="1863"/>
    <n v="39"/>
    <x v="1"/>
    <x v="2"/>
    <s v="Software Engineer"/>
    <s v="Life Sciences"/>
    <s v="Married"/>
    <s v="Non-Travel"/>
    <n v="5"/>
    <n v="7886"/>
    <x v="0"/>
    <x v="0"/>
    <n v="2"/>
    <n v="8"/>
    <n v="7"/>
    <n v="10"/>
    <s v="No"/>
    <x v="0"/>
    <x v="2"/>
    <x v="0"/>
    <n v="0"/>
  </r>
  <r>
    <n v="1617"/>
    <n v="56"/>
    <x v="1"/>
    <x v="1"/>
    <s v="Laboratory Technician"/>
    <s v="Other"/>
    <s v="Divorced"/>
    <s v="Non-Travel"/>
    <n v="1"/>
    <n v="13723"/>
    <x v="0"/>
    <x v="3"/>
    <n v="2"/>
    <n v="9"/>
    <n v="2"/>
    <n v="36"/>
    <s v="No"/>
    <x v="0"/>
    <x v="1"/>
    <x v="0"/>
    <n v="0"/>
  </r>
  <r>
    <n v="1180"/>
    <n v="39"/>
    <x v="1"/>
    <x v="2"/>
    <s v="Software Engineer"/>
    <s v="Technical Degree"/>
    <s v="Married"/>
    <s v="Travel_Rarely"/>
    <n v="12"/>
    <n v="8605"/>
    <x v="1"/>
    <x v="3"/>
    <n v="3"/>
    <n v="4"/>
    <n v="2"/>
    <n v="19"/>
    <s v="No"/>
    <x v="3"/>
    <x v="2"/>
    <x v="0"/>
    <n v="0"/>
  </r>
  <r>
    <n v="1028"/>
    <n v="47"/>
    <x v="1"/>
    <x v="2"/>
    <s v="IT Support"/>
    <s v="Other"/>
    <s v="Divorced"/>
    <s v="Travel_Frequently"/>
    <n v="1"/>
    <n v="8302"/>
    <x v="0"/>
    <x v="0"/>
    <n v="1"/>
    <n v="12"/>
    <n v="9"/>
    <n v="18"/>
    <s v="No"/>
    <x v="1"/>
    <x v="1"/>
    <x v="0"/>
    <n v="0"/>
  </r>
  <r>
    <n v="1489"/>
    <n v="58"/>
    <x v="0"/>
    <x v="2"/>
    <s v="IT Manager"/>
    <s v="Other"/>
    <s v="Divorced"/>
    <s v="Travel_Frequently"/>
    <n v="20"/>
    <n v="16166"/>
    <x v="0"/>
    <x v="3"/>
    <n v="4"/>
    <n v="1"/>
    <n v="0"/>
    <n v="33"/>
    <s v="No"/>
    <x v="2"/>
    <x v="1"/>
    <x v="0"/>
    <n v="0"/>
  </r>
  <r>
    <n v="1152"/>
    <n v="53"/>
    <x v="1"/>
    <x v="4"/>
    <s v="Finance Manager"/>
    <s v="Business"/>
    <s v="Married"/>
    <s v="Travel_Rarely"/>
    <n v="24"/>
    <n v="15759"/>
    <x v="1"/>
    <x v="2"/>
    <n v="3"/>
    <n v="6"/>
    <n v="2"/>
    <n v="31"/>
    <s v="No"/>
    <x v="0"/>
    <x v="1"/>
    <x v="0"/>
    <n v="0"/>
  </r>
  <r>
    <n v="1499"/>
    <n v="27"/>
    <x v="0"/>
    <x v="2"/>
    <s v="Software Engineer"/>
    <s v="Life Sciences"/>
    <s v="Married"/>
    <s v="Travel_Rarely"/>
    <n v="27"/>
    <n v="8499"/>
    <x v="0"/>
    <x v="3"/>
    <n v="3"/>
    <n v="0"/>
    <n v="0"/>
    <n v="0"/>
    <s v="No"/>
    <x v="2"/>
    <x v="0"/>
    <x v="0"/>
    <n v="0"/>
  </r>
  <r>
    <n v="1874"/>
    <n v="56"/>
    <x v="1"/>
    <x v="1"/>
    <s v="Laboratory Technician"/>
    <s v="Business"/>
    <s v="Single"/>
    <s v="Travel_Rarely"/>
    <n v="27"/>
    <n v="12088"/>
    <x v="1"/>
    <x v="2"/>
    <n v="3"/>
    <n v="22"/>
    <n v="13"/>
    <n v="28"/>
    <s v="No"/>
    <x v="1"/>
    <x v="1"/>
    <x v="0"/>
    <n v="0"/>
  </r>
  <r>
    <n v="1885"/>
    <n v="28"/>
    <x v="0"/>
    <x v="2"/>
    <s v="IT Manager"/>
    <s v="Human Resources"/>
    <s v="Divorced"/>
    <s v="Travel_Rarely"/>
    <n v="9"/>
    <n v="9044"/>
    <x v="0"/>
    <x v="2"/>
    <n v="4"/>
    <n v="0"/>
    <n v="0"/>
    <n v="8"/>
    <s v="Yes"/>
    <x v="2"/>
    <x v="0"/>
    <x v="0"/>
    <n v="1"/>
  </r>
  <r>
    <n v="1373"/>
    <n v="59"/>
    <x v="0"/>
    <x v="1"/>
    <s v="Laboratory Technician"/>
    <s v="Business"/>
    <s v="Married"/>
    <s v="Travel_Frequently"/>
    <n v="7"/>
    <n v="10169"/>
    <x v="0"/>
    <x v="3"/>
    <n v="2"/>
    <n v="20"/>
    <n v="15"/>
    <n v="29"/>
    <s v="Yes"/>
    <x v="1"/>
    <x v="1"/>
    <x v="0"/>
    <n v="1"/>
  </r>
  <r>
    <n v="1027"/>
    <n v="24"/>
    <x v="1"/>
    <x v="1"/>
    <s v="Research Director"/>
    <s v="Technical Degree"/>
    <s v="Married"/>
    <s v="Travel_Rarely"/>
    <n v="9"/>
    <n v="9406"/>
    <x v="1"/>
    <x v="1"/>
    <n v="3"/>
    <n v="3"/>
    <n v="2"/>
    <n v="3"/>
    <s v="Yes"/>
    <x v="3"/>
    <x v="3"/>
    <x v="0"/>
    <n v="1"/>
  </r>
  <r>
    <n v="1670"/>
    <n v="38"/>
    <x v="1"/>
    <x v="1"/>
    <s v="Research Scientist"/>
    <s v="Marketing"/>
    <s v="Divorced"/>
    <s v="Travel_Frequently"/>
    <n v="22"/>
    <n v="8616"/>
    <x v="0"/>
    <x v="1"/>
    <n v="4"/>
    <n v="1"/>
    <n v="0"/>
    <n v="15"/>
    <s v="No"/>
    <x v="2"/>
    <x v="2"/>
    <x v="0"/>
    <n v="0"/>
  </r>
  <r>
    <n v="1568"/>
    <n v="52"/>
    <x v="1"/>
    <x v="0"/>
    <s v="Sales Manager"/>
    <s v="Other"/>
    <s v="Married"/>
    <s v="Travel_Frequently"/>
    <n v="19"/>
    <n v="14228"/>
    <x v="1"/>
    <x v="3"/>
    <n v="4"/>
    <n v="12"/>
    <n v="3"/>
    <n v="32"/>
    <s v="No"/>
    <x v="1"/>
    <x v="1"/>
    <x v="0"/>
    <n v="0"/>
  </r>
  <r>
    <n v="1518"/>
    <n v="48"/>
    <x v="1"/>
    <x v="1"/>
    <s v="Research Scientist"/>
    <s v="Business"/>
    <s v="Married"/>
    <s v="Non-Travel"/>
    <n v="25"/>
    <n v="10076"/>
    <x v="0"/>
    <x v="0"/>
    <n v="3"/>
    <n v="16"/>
    <n v="2"/>
    <n v="24"/>
    <s v="No"/>
    <x v="1"/>
    <x v="1"/>
    <x v="0"/>
    <n v="0"/>
  </r>
  <r>
    <n v="1105"/>
    <n v="23"/>
    <x v="0"/>
    <x v="0"/>
    <s v="Sales Executive"/>
    <s v="Business"/>
    <s v="Divorced"/>
    <s v="Travel_Frequently"/>
    <n v="16"/>
    <n v="7193"/>
    <x v="0"/>
    <x v="1"/>
    <n v="1"/>
    <n v="0"/>
    <n v="0"/>
    <n v="0"/>
    <s v="No"/>
    <x v="2"/>
    <x v="3"/>
    <x v="2"/>
    <n v="0"/>
  </r>
  <r>
    <n v="1753"/>
    <n v="54"/>
    <x v="0"/>
    <x v="2"/>
    <s v="Software Engineer"/>
    <s v="Human Resources"/>
    <s v="Married"/>
    <s v="Travel_Frequently"/>
    <n v="23"/>
    <n v="9920"/>
    <x v="0"/>
    <x v="1"/>
    <n v="4"/>
    <n v="21"/>
    <n v="0"/>
    <n v="26"/>
    <s v="Yes"/>
    <x v="1"/>
    <x v="1"/>
    <x v="0"/>
    <n v="1"/>
  </r>
  <r>
    <n v="1957"/>
    <n v="32"/>
    <x v="1"/>
    <x v="4"/>
    <s v="Finance Manager"/>
    <s v="Human Resources"/>
    <s v="Divorced"/>
    <s v="Travel_Rarely"/>
    <n v="8"/>
    <n v="8225"/>
    <x v="0"/>
    <x v="3"/>
    <n v="3"/>
    <n v="0"/>
    <n v="0"/>
    <n v="5"/>
    <s v="Yes"/>
    <x v="2"/>
    <x v="0"/>
    <x v="0"/>
    <n v="1"/>
  </r>
  <r>
    <n v="1850"/>
    <n v="47"/>
    <x v="1"/>
    <x v="1"/>
    <s v="Healthcare Representative"/>
    <s v="Other"/>
    <s v="Married"/>
    <s v="Non-Travel"/>
    <n v="5"/>
    <n v="9103"/>
    <x v="0"/>
    <x v="0"/>
    <n v="4"/>
    <n v="8"/>
    <n v="1"/>
    <n v="23"/>
    <s v="No"/>
    <x v="0"/>
    <x v="1"/>
    <x v="0"/>
    <n v="0"/>
  </r>
  <r>
    <n v="1205"/>
    <n v="32"/>
    <x v="1"/>
    <x v="1"/>
    <s v="Research Director"/>
    <s v="Other"/>
    <s v="Single"/>
    <s v="Travel_Frequently"/>
    <n v="16"/>
    <n v="12369"/>
    <x v="0"/>
    <x v="2"/>
    <n v="3"/>
    <n v="5"/>
    <n v="4"/>
    <n v="5"/>
    <s v="No"/>
    <x v="0"/>
    <x v="0"/>
    <x v="0"/>
    <n v="0"/>
  </r>
  <r>
    <n v="1427"/>
    <n v="22"/>
    <x v="0"/>
    <x v="4"/>
    <s v="Accountant"/>
    <s v="Unknown"/>
    <s v="Married"/>
    <s v="Non-Travel"/>
    <n v="23"/>
    <n v="6653"/>
    <x v="0"/>
    <x v="2"/>
    <n v="4"/>
    <n v="2"/>
    <n v="0"/>
    <n v="2"/>
    <s v="No"/>
    <x v="3"/>
    <x v="3"/>
    <x v="2"/>
    <n v="0"/>
  </r>
  <r>
    <n v="1130"/>
    <n v="58"/>
    <x v="1"/>
    <x v="2"/>
    <s v="Data Analyst"/>
    <s v="Other"/>
    <s v="Married"/>
    <s v="Non-Travel"/>
    <n v="21"/>
    <n v="10461"/>
    <x v="1"/>
    <x v="1"/>
    <n v="4"/>
    <n v="18"/>
    <n v="18"/>
    <n v="21"/>
    <s v="No"/>
    <x v="1"/>
    <x v="1"/>
    <x v="0"/>
    <n v="0"/>
  </r>
  <r>
    <n v="1545"/>
    <n v="45"/>
    <x v="1"/>
    <x v="4"/>
    <s v="Finance Manager"/>
    <s v="Life Sciences"/>
    <s v="Married"/>
    <s v="Travel_Frequently"/>
    <n v="5"/>
    <n v="14444"/>
    <x v="1"/>
    <x v="3"/>
    <n v="2"/>
    <n v="16"/>
    <n v="15"/>
    <n v="24"/>
    <s v="No"/>
    <x v="1"/>
    <x v="2"/>
    <x v="0"/>
    <n v="0"/>
  </r>
  <r>
    <n v="1117"/>
    <n v="28"/>
    <x v="0"/>
    <x v="0"/>
    <s v="Sales Executive"/>
    <s v="Marketing"/>
    <s v="Divorced"/>
    <s v="Travel_Frequently"/>
    <n v="3"/>
    <n v="7548"/>
    <x v="0"/>
    <x v="2"/>
    <n v="2"/>
    <n v="2"/>
    <n v="2"/>
    <n v="4"/>
    <s v="Yes"/>
    <x v="3"/>
    <x v="0"/>
    <x v="0"/>
    <n v="1"/>
  </r>
  <r>
    <n v="1412"/>
    <n v="51"/>
    <x v="1"/>
    <x v="3"/>
    <s v="HR Manager"/>
    <s v="Marketing"/>
    <s v="Single"/>
    <s v="Travel_Frequently"/>
    <n v="19"/>
    <n v="14887"/>
    <x v="1"/>
    <x v="1"/>
    <n v="2"/>
    <n v="23"/>
    <n v="6"/>
    <n v="31"/>
    <s v="Yes"/>
    <x v="1"/>
    <x v="1"/>
    <x v="0"/>
    <n v="1"/>
  </r>
  <r>
    <n v="1969"/>
    <n v="50"/>
    <x v="0"/>
    <x v="1"/>
    <s v="Research Scientist"/>
    <s v="Technical Degree"/>
    <s v="Divorced"/>
    <s v="Non-Travel"/>
    <n v="16"/>
    <n v="12261"/>
    <x v="0"/>
    <x v="3"/>
    <n v="3"/>
    <n v="10"/>
    <n v="5"/>
    <n v="26"/>
    <s v="No"/>
    <x v="1"/>
    <x v="1"/>
    <x v="0"/>
    <n v="0"/>
  </r>
  <r>
    <n v="1119"/>
    <n v="47"/>
    <x v="0"/>
    <x v="3"/>
    <s v="HR Specialist"/>
    <s v="Technical Degree"/>
    <s v="Married"/>
    <s v="Non-Travel"/>
    <n v="23"/>
    <n v="6909"/>
    <x v="0"/>
    <x v="3"/>
    <n v="2"/>
    <n v="1"/>
    <n v="0"/>
    <n v="12"/>
    <s v="Yes"/>
    <x v="2"/>
    <x v="1"/>
    <x v="2"/>
    <n v="1"/>
  </r>
  <r>
    <n v="1426"/>
    <n v="20"/>
    <x v="1"/>
    <x v="2"/>
    <s v="IT Support"/>
    <s v="Technical Degree"/>
    <s v="Single"/>
    <s v="Travel_Frequently"/>
    <n v="8"/>
    <n v="3832"/>
    <x v="0"/>
    <x v="3"/>
    <n v="3"/>
    <n v="0"/>
    <n v="0"/>
    <n v="0"/>
    <s v="No"/>
    <x v="2"/>
    <x v="3"/>
    <x v="3"/>
    <n v="0"/>
  </r>
  <r>
    <n v="1155"/>
    <n v="26"/>
    <x v="0"/>
    <x v="4"/>
    <s v="Accountant"/>
    <s v="Life Sciences"/>
    <s v="Single"/>
    <s v="Travel_Rarely"/>
    <n v="28"/>
    <n v="4500"/>
    <x v="1"/>
    <x v="0"/>
    <n v="4"/>
    <n v="2"/>
    <n v="0"/>
    <n v="4"/>
    <s v="Yes"/>
    <x v="3"/>
    <x v="0"/>
    <x v="3"/>
    <n v="1"/>
  </r>
  <r>
    <n v="1333"/>
    <n v="57"/>
    <x v="0"/>
    <x v="0"/>
    <s v="Sales Executive"/>
    <s v="Medical"/>
    <s v="Divorced"/>
    <s v="Non-Travel"/>
    <n v="3"/>
    <n v="9765"/>
    <x v="1"/>
    <x v="1"/>
    <n v="2"/>
    <n v="19"/>
    <n v="4"/>
    <n v="34"/>
    <s v="No"/>
    <x v="1"/>
    <x v="1"/>
    <x v="0"/>
    <n v="0"/>
  </r>
  <r>
    <n v="1961"/>
    <n v="49"/>
    <x v="0"/>
    <x v="2"/>
    <s v="IT Manager"/>
    <s v="Marketing"/>
    <s v="Single"/>
    <s v="Non-Travel"/>
    <n v="24"/>
    <n v="13791"/>
    <x v="1"/>
    <x v="2"/>
    <n v="4"/>
    <n v="25"/>
    <n v="12"/>
    <n v="28"/>
    <s v="No"/>
    <x v="1"/>
    <x v="1"/>
    <x v="0"/>
    <n v="0"/>
  </r>
  <r>
    <n v="1756"/>
    <n v="38"/>
    <x v="1"/>
    <x v="3"/>
    <s v="HR Specialist"/>
    <s v="Other"/>
    <s v="Single"/>
    <s v="Travel_Rarely"/>
    <n v="24"/>
    <n v="8886"/>
    <x v="0"/>
    <x v="0"/>
    <n v="2"/>
    <n v="3"/>
    <n v="0"/>
    <n v="17"/>
    <s v="No"/>
    <x v="3"/>
    <x v="2"/>
    <x v="0"/>
    <n v="0"/>
  </r>
  <r>
    <n v="1856"/>
    <n v="51"/>
    <x v="1"/>
    <x v="3"/>
    <s v="HR Manager"/>
    <s v="Medical"/>
    <s v="Divorced"/>
    <s v="Non-Travel"/>
    <n v="13"/>
    <n v="11961"/>
    <x v="0"/>
    <x v="3"/>
    <n v="3"/>
    <n v="0"/>
    <n v="0"/>
    <n v="16"/>
    <s v="No"/>
    <x v="2"/>
    <x v="1"/>
    <x v="0"/>
    <n v="0"/>
  </r>
  <r>
    <n v="1076"/>
    <n v="56"/>
    <x v="1"/>
    <x v="0"/>
    <s v="Sales Executive"/>
    <s v="Business"/>
    <s v="Married"/>
    <s v="Non-Travel"/>
    <n v="26"/>
    <n v="13851"/>
    <x v="0"/>
    <x v="3"/>
    <n v="3"/>
    <n v="17"/>
    <n v="6"/>
    <n v="34"/>
    <s v="No"/>
    <x v="1"/>
    <x v="1"/>
    <x v="0"/>
    <n v="0"/>
  </r>
  <r>
    <n v="1327"/>
    <n v="54"/>
    <x v="1"/>
    <x v="2"/>
    <s v="IT Support"/>
    <s v="Human Resources"/>
    <s v="Divorced"/>
    <s v="Travel_Rarely"/>
    <n v="20"/>
    <n v="10332"/>
    <x v="0"/>
    <x v="0"/>
    <n v="1"/>
    <n v="2"/>
    <n v="0"/>
    <n v="31"/>
    <s v="No"/>
    <x v="3"/>
    <x v="1"/>
    <x v="0"/>
    <n v="0"/>
  </r>
  <r>
    <n v="1223"/>
    <n v="40"/>
    <x v="0"/>
    <x v="0"/>
    <s v="Sales Representative"/>
    <s v="Medical"/>
    <s v="Married"/>
    <s v="Non-Travel"/>
    <n v="8"/>
    <n v="11334"/>
    <x v="1"/>
    <x v="2"/>
    <n v="1"/>
    <n v="2"/>
    <n v="2"/>
    <n v="20"/>
    <s v="No"/>
    <x v="3"/>
    <x v="2"/>
    <x v="0"/>
    <n v="0"/>
  </r>
  <r>
    <n v="1679"/>
    <n v="25"/>
    <x v="0"/>
    <x v="1"/>
    <s v="Research Director"/>
    <s v="Technical Degree"/>
    <s v="Married"/>
    <s v="Non-Travel"/>
    <n v="5"/>
    <n v="10952"/>
    <x v="0"/>
    <x v="4"/>
    <n v="4"/>
    <n v="3"/>
    <n v="2"/>
    <n v="5"/>
    <s v="No"/>
    <x v="3"/>
    <x v="3"/>
    <x v="0"/>
    <n v="0"/>
  </r>
  <r>
    <n v="1508"/>
    <n v="57"/>
    <x v="0"/>
    <x v="1"/>
    <s v="Healthcare Representative"/>
    <s v="Marketing"/>
    <s v="Married"/>
    <s v="Travel_Frequently"/>
    <n v="23"/>
    <n v="12708"/>
    <x v="0"/>
    <x v="1"/>
    <n v="1"/>
    <n v="12"/>
    <n v="0"/>
    <n v="33"/>
    <s v="No"/>
    <x v="1"/>
    <x v="1"/>
    <x v="0"/>
    <n v="0"/>
  </r>
  <r>
    <n v="1430"/>
    <n v="37"/>
    <x v="1"/>
    <x v="0"/>
    <s v="Sales Representative"/>
    <s v="Business"/>
    <s v="Single"/>
    <s v="Travel_Rarely"/>
    <n v="22"/>
    <n v="5173"/>
    <x v="0"/>
    <x v="0"/>
    <n v="1"/>
    <n v="9"/>
    <n v="3"/>
    <n v="10"/>
    <s v="No"/>
    <x v="0"/>
    <x v="2"/>
    <x v="3"/>
    <n v="0"/>
  </r>
  <r>
    <n v="1906"/>
    <n v="25"/>
    <x v="0"/>
    <x v="0"/>
    <s v="Sales Manager"/>
    <s v="Medical"/>
    <s v="Married"/>
    <s v="Travel_Rarely"/>
    <n v="28"/>
    <n v="7768"/>
    <x v="1"/>
    <x v="3"/>
    <n v="4"/>
    <n v="0"/>
    <n v="0"/>
    <n v="0"/>
    <s v="No"/>
    <x v="2"/>
    <x v="3"/>
    <x v="0"/>
    <n v="0"/>
  </r>
  <r>
    <n v="1569"/>
    <n v="25"/>
    <x v="0"/>
    <x v="2"/>
    <s v="IT Support"/>
    <s v="Life Sciences"/>
    <s v="Divorced"/>
    <s v="Non-Travel"/>
    <n v="18"/>
    <n v="6933"/>
    <x v="0"/>
    <x v="3"/>
    <n v="4"/>
    <n v="0"/>
    <n v="0"/>
    <n v="0"/>
    <s v="Yes"/>
    <x v="2"/>
    <x v="3"/>
    <x v="2"/>
    <n v="1"/>
  </r>
  <r>
    <n v="1547"/>
    <n v="53"/>
    <x v="1"/>
    <x v="0"/>
    <s v="Sales Manager"/>
    <s v="Business"/>
    <s v="Married"/>
    <s v="Non-Travel"/>
    <n v="18"/>
    <n v="13296"/>
    <x v="0"/>
    <x v="1"/>
    <n v="3"/>
    <n v="24"/>
    <n v="1"/>
    <n v="24"/>
    <s v="No"/>
    <x v="1"/>
    <x v="1"/>
    <x v="0"/>
    <n v="0"/>
  </r>
  <r>
    <n v="1930"/>
    <n v="37"/>
    <x v="0"/>
    <x v="4"/>
    <s v="Finance Manager"/>
    <s v="Marketing"/>
    <s v="Single"/>
    <s v="Travel_Frequently"/>
    <n v="1"/>
    <n v="11668"/>
    <x v="1"/>
    <x v="3"/>
    <n v="4"/>
    <n v="6"/>
    <n v="3"/>
    <n v="12"/>
    <s v="No"/>
    <x v="0"/>
    <x v="2"/>
    <x v="0"/>
    <n v="0"/>
  </r>
  <r>
    <n v="1962"/>
    <n v="60"/>
    <x v="1"/>
    <x v="2"/>
    <s v="IT Manager"/>
    <s v="Life Sciences"/>
    <s v="Married"/>
    <s v="Travel_Rarely"/>
    <n v="1"/>
    <n v="17517"/>
    <x v="1"/>
    <x v="3"/>
    <n v="2"/>
    <n v="13"/>
    <n v="12"/>
    <n v="38"/>
    <s v="No"/>
    <x v="1"/>
    <x v="1"/>
    <x v="0"/>
    <n v="0"/>
  </r>
  <r>
    <n v="1605"/>
    <n v="21"/>
    <x v="0"/>
    <x v="2"/>
    <s v="Software Engineer"/>
    <s v="Marketing"/>
    <s v="Divorced"/>
    <s v="Travel_Rarely"/>
    <n v="22"/>
    <n v="4413"/>
    <x v="0"/>
    <x v="3"/>
    <n v="3"/>
    <n v="0"/>
    <n v="0"/>
    <n v="0"/>
    <s v="No"/>
    <x v="2"/>
    <x v="3"/>
    <x v="3"/>
    <n v="0"/>
  </r>
  <r>
    <n v="1760"/>
    <n v="54"/>
    <x v="1"/>
    <x v="1"/>
    <s v="Healthcare Representative"/>
    <s v="Business"/>
    <s v="Married"/>
    <s v="Travel_Frequently"/>
    <n v="19"/>
    <n v="12105"/>
    <x v="0"/>
    <x v="0"/>
    <n v="3"/>
    <n v="17"/>
    <n v="11"/>
    <n v="34"/>
    <s v="No"/>
    <x v="1"/>
    <x v="1"/>
    <x v="0"/>
    <n v="0"/>
  </r>
  <r>
    <n v="1847"/>
    <n v="28"/>
    <x v="0"/>
    <x v="4"/>
    <s v="Accountant"/>
    <s v="Other"/>
    <s v="Single"/>
    <s v="Travel_Rarely"/>
    <n v="15"/>
    <n v="8941"/>
    <x v="0"/>
    <x v="2"/>
    <n v="2"/>
    <n v="0"/>
    <n v="0"/>
    <n v="1"/>
    <s v="No"/>
    <x v="2"/>
    <x v="0"/>
    <x v="0"/>
    <n v="0"/>
  </r>
  <r>
    <n v="1212"/>
    <n v="28"/>
    <x v="1"/>
    <x v="0"/>
    <s v="Sales Executive"/>
    <s v="Human Resources"/>
    <s v="Married"/>
    <s v="Non-Travel"/>
    <n v="3"/>
    <n v="7441"/>
    <x v="1"/>
    <x v="0"/>
    <n v="1"/>
    <n v="5"/>
    <n v="5"/>
    <n v="5"/>
    <s v="Yes"/>
    <x v="0"/>
    <x v="0"/>
    <x v="2"/>
    <n v="1"/>
  </r>
  <r>
    <n v="1310"/>
    <n v="46"/>
    <x v="0"/>
    <x v="2"/>
    <s v="IT Support"/>
    <s v="Medical"/>
    <s v="Single"/>
    <s v="Travel_Frequently"/>
    <n v="22"/>
    <n v="10313"/>
    <x v="1"/>
    <x v="3"/>
    <n v="3"/>
    <n v="0"/>
    <n v="0"/>
    <n v="26"/>
    <s v="No"/>
    <x v="2"/>
    <x v="1"/>
    <x v="0"/>
    <n v="0"/>
  </r>
  <r>
    <n v="1060"/>
    <n v="29"/>
    <x v="0"/>
    <x v="2"/>
    <s v="IT Manager"/>
    <s v="Human Resources"/>
    <s v="Single"/>
    <s v="Travel_Frequently"/>
    <n v="28"/>
    <n v="10131"/>
    <x v="0"/>
    <x v="2"/>
    <n v="4"/>
    <n v="0"/>
    <n v="0"/>
    <n v="0"/>
    <s v="Yes"/>
    <x v="2"/>
    <x v="0"/>
    <x v="0"/>
    <n v="1"/>
  </r>
  <r>
    <n v="1529"/>
    <n v="24"/>
    <x v="0"/>
    <x v="0"/>
    <s v="Sales Representative"/>
    <s v="Life Sciences"/>
    <s v="Single"/>
    <s v="Travel_Frequently"/>
    <n v="24"/>
    <n v="4681"/>
    <x v="0"/>
    <x v="0"/>
    <n v="4"/>
    <n v="2"/>
    <n v="2"/>
    <n v="3"/>
    <s v="No"/>
    <x v="3"/>
    <x v="3"/>
    <x v="3"/>
    <n v="0"/>
  </r>
  <r>
    <n v="1606"/>
    <n v="60"/>
    <x v="0"/>
    <x v="2"/>
    <s v="Data Analyst"/>
    <s v="Marketing"/>
    <s v="Divorced"/>
    <s v="Travel_Frequently"/>
    <n v="8"/>
    <n v="12624"/>
    <x v="0"/>
    <x v="1"/>
    <n v="3"/>
    <n v="0"/>
    <n v="0"/>
    <n v="40"/>
    <s v="No"/>
    <x v="2"/>
    <x v="1"/>
    <x v="0"/>
    <n v="0"/>
  </r>
  <r>
    <n v="1940"/>
    <n v="42"/>
    <x v="0"/>
    <x v="0"/>
    <s v="Sales Manager"/>
    <s v="Marketing"/>
    <s v="Single"/>
    <s v="Travel_Frequently"/>
    <n v="11"/>
    <n v="13499"/>
    <x v="0"/>
    <x v="2"/>
    <n v="4"/>
    <n v="13"/>
    <n v="7"/>
    <n v="19"/>
    <s v="No"/>
    <x v="1"/>
    <x v="2"/>
    <x v="0"/>
    <n v="0"/>
  </r>
  <r>
    <n v="1542"/>
    <n v="24"/>
    <x v="0"/>
    <x v="2"/>
    <s v="Data Analyst"/>
    <s v="Medical"/>
    <s v="Married"/>
    <s v="Non-Travel"/>
    <n v="13"/>
    <n v="5388"/>
    <x v="0"/>
    <x v="1"/>
    <n v="3"/>
    <n v="0"/>
    <n v="0"/>
    <n v="0"/>
    <s v="No"/>
    <x v="2"/>
    <x v="3"/>
    <x v="3"/>
    <n v="0"/>
  </r>
  <r>
    <n v="1106"/>
    <n v="38"/>
    <x v="1"/>
    <x v="1"/>
    <s v="Laboratory Technician"/>
    <s v="Other"/>
    <s v="Divorced"/>
    <s v="Travel_Frequently"/>
    <n v="17"/>
    <n v="7691"/>
    <x v="1"/>
    <x v="1"/>
    <n v="3"/>
    <n v="3"/>
    <n v="3"/>
    <n v="7"/>
    <s v="No"/>
    <x v="3"/>
    <x v="2"/>
    <x v="0"/>
    <n v="0"/>
  </r>
  <r>
    <n v="1019"/>
    <n v="22"/>
    <x v="0"/>
    <x v="0"/>
    <s v="Sales Manager"/>
    <s v="Marketing"/>
    <s v="Single"/>
    <s v="Travel_Frequently"/>
    <n v="11"/>
    <n v="7705"/>
    <x v="0"/>
    <x v="0"/>
    <n v="2"/>
    <n v="0"/>
    <n v="0"/>
    <n v="0"/>
    <s v="Yes"/>
    <x v="2"/>
    <x v="3"/>
    <x v="0"/>
    <n v="1"/>
  </r>
  <r>
    <n v="1787"/>
    <n v="35"/>
    <x v="1"/>
    <x v="4"/>
    <s v="Accountant"/>
    <s v="Other"/>
    <s v="Married"/>
    <s v="Travel_Frequently"/>
    <n v="25"/>
    <n v="6927"/>
    <x v="0"/>
    <x v="0"/>
    <n v="4"/>
    <n v="7"/>
    <n v="5"/>
    <n v="9"/>
    <s v="No"/>
    <x v="0"/>
    <x v="0"/>
    <x v="2"/>
    <n v="0"/>
  </r>
  <r>
    <n v="1256"/>
    <n v="36"/>
    <x v="0"/>
    <x v="4"/>
    <s v="Accountant"/>
    <s v="Other"/>
    <s v="Single"/>
    <s v="Non-Travel"/>
    <n v="4"/>
    <n v="7662"/>
    <x v="0"/>
    <x v="0"/>
    <n v="3"/>
    <n v="2"/>
    <n v="0"/>
    <n v="9"/>
    <s v="Yes"/>
    <x v="3"/>
    <x v="2"/>
    <x v="0"/>
    <n v="1"/>
  </r>
  <r>
    <n v="1786"/>
    <n v="39"/>
    <x v="0"/>
    <x v="1"/>
    <s v="Laboratory Technician"/>
    <s v="Other"/>
    <s v="Married"/>
    <s v="Travel_Rarely"/>
    <n v="8"/>
    <n v="6615"/>
    <x v="0"/>
    <x v="0"/>
    <n v="4"/>
    <n v="15"/>
    <n v="15"/>
    <n v="19"/>
    <s v="No"/>
    <x v="1"/>
    <x v="2"/>
    <x v="2"/>
    <n v="0"/>
  </r>
  <r>
    <n v="1924"/>
    <n v="54"/>
    <x v="1"/>
    <x v="1"/>
    <s v="Healthcare Representative"/>
    <s v="Business"/>
    <s v="Married"/>
    <s v="Non-Travel"/>
    <n v="13"/>
    <n v="9566"/>
    <x v="0"/>
    <x v="0"/>
    <n v="4"/>
    <n v="4"/>
    <n v="3"/>
    <n v="27"/>
    <s v="Yes"/>
    <x v="3"/>
    <x v="1"/>
    <x v="0"/>
    <n v="1"/>
  </r>
  <r>
    <n v="1901"/>
    <n v="26"/>
    <x v="0"/>
    <x v="1"/>
    <s v="Research Director"/>
    <s v="Business"/>
    <s v="Divorced"/>
    <s v="Non-Travel"/>
    <n v="26"/>
    <n v="10135"/>
    <x v="0"/>
    <x v="1"/>
    <n v="1"/>
    <n v="3"/>
    <n v="3"/>
    <n v="6"/>
    <s v="No"/>
    <x v="3"/>
    <x v="0"/>
    <x v="0"/>
    <n v="0"/>
  </r>
  <r>
    <n v="1421"/>
    <n v="22"/>
    <x v="0"/>
    <x v="1"/>
    <s v="Laboratory Technician"/>
    <s v="Business"/>
    <s v="Single"/>
    <s v="Travel_Frequently"/>
    <n v="29"/>
    <n v="6403"/>
    <x v="0"/>
    <x v="0"/>
    <n v="3"/>
    <n v="0"/>
    <n v="0"/>
    <n v="2"/>
    <s v="No"/>
    <x v="2"/>
    <x v="3"/>
    <x v="2"/>
    <n v="0"/>
  </r>
  <r>
    <n v="1129"/>
    <n v="57"/>
    <x v="0"/>
    <x v="1"/>
    <s v="Research Director"/>
    <s v="Marketing"/>
    <s v="Divorced"/>
    <s v="Travel_Rarely"/>
    <n v="22"/>
    <n v="16390"/>
    <x v="0"/>
    <x v="2"/>
    <n v="1"/>
    <n v="17"/>
    <n v="15"/>
    <n v="28"/>
    <s v="Yes"/>
    <x v="1"/>
    <x v="1"/>
    <x v="0"/>
    <n v="1"/>
  </r>
  <r>
    <n v="1385"/>
    <n v="50"/>
    <x v="0"/>
    <x v="1"/>
    <s v="Healthcare Representative"/>
    <s v="Other"/>
    <s v="Married"/>
    <s v="Travel_Rarely"/>
    <n v="22"/>
    <n v="11269"/>
    <x v="0"/>
    <x v="2"/>
    <n v="2"/>
    <n v="19"/>
    <n v="8"/>
    <n v="26"/>
    <s v="No"/>
    <x v="1"/>
    <x v="1"/>
    <x v="0"/>
    <n v="0"/>
  </r>
  <r>
    <n v="1973"/>
    <n v="40"/>
    <x v="0"/>
    <x v="1"/>
    <s v="Laboratory Technician"/>
    <s v="Business"/>
    <s v="Divorced"/>
    <s v="Travel_Rarely"/>
    <n v="20"/>
    <n v="7657"/>
    <x v="1"/>
    <x v="0"/>
    <n v="4"/>
    <n v="0"/>
    <n v="0"/>
    <n v="18"/>
    <s v="No"/>
    <x v="2"/>
    <x v="2"/>
    <x v="0"/>
    <n v="0"/>
  </r>
  <r>
    <n v="1751"/>
    <n v="56"/>
    <x v="0"/>
    <x v="0"/>
    <s v="Sales Executive"/>
    <s v="Technical Degree"/>
    <s v="Married"/>
    <s v="Non-Travel"/>
    <n v="20"/>
    <n v="10446"/>
    <x v="0"/>
    <x v="1"/>
    <n v="4"/>
    <n v="24"/>
    <n v="1"/>
    <n v="36"/>
    <s v="No"/>
    <x v="1"/>
    <x v="1"/>
    <x v="0"/>
    <n v="0"/>
  </r>
  <r>
    <n v="1368"/>
    <n v="49"/>
    <x v="0"/>
    <x v="2"/>
    <s v="Data Analyst"/>
    <s v="Marketing"/>
    <s v="Single"/>
    <s v="Travel_Frequently"/>
    <n v="16"/>
    <n v="9544"/>
    <x v="0"/>
    <x v="3"/>
    <n v="2"/>
    <n v="0"/>
    <n v="0"/>
    <n v="19"/>
    <s v="No"/>
    <x v="2"/>
    <x v="1"/>
    <x v="0"/>
    <n v="0"/>
  </r>
  <r>
    <n v="1514"/>
    <n v="36"/>
    <x v="1"/>
    <x v="1"/>
    <s v="Healthcare Representative"/>
    <s v="Other"/>
    <s v="Single"/>
    <s v="Non-Travel"/>
    <n v="15"/>
    <n v="8382"/>
    <x v="0"/>
    <x v="1"/>
    <n v="1"/>
    <n v="1"/>
    <n v="1"/>
    <n v="16"/>
    <s v="No"/>
    <x v="2"/>
    <x v="2"/>
    <x v="0"/>
    <n v="0"/>
  </r>
  <r>
    <n v="1440"/>
    <n v="41"/>
    <x v="1"/>
    <x v="2"/>
    <s v="IT Manager"/>
    <s v="Marketing"/>
    <s v="Married"/>
    <s v="Non-Travel"/>
    <n v="20"/>
    <n v="9833"/>
    <x v="1"/>
    <x v="1"/>
    <n v="3"/>
    <n v="0"/>
    <n v="0"/>
    <n v="13"/>
    <s v="No"/>
    <x v="2"/>
    <x v="2"/>
    <x v="0"/>
    <n v="0"/>
  </r>
  <r>
    <n v="1480"/>
    <n v="35"/>
    <x v="1"/>
    <x v="2"/>
    <s v="Data Analyst"/>
    <s v="Medical"/>
    <s v="Married"/>
    <s v="Non-Travel"/>
    <n v="13"/>
    <n v="9279"/>
    <x v="0"/>
    <x v="3"/>
    <n v="4"/>
    <n v="10"/>
    <n v="5"/>
    <n v="10"/>
    <s v="No"/>
    <x v="1"/>
    <x v="0"/>
    <x v="0"/>
    <n v="0"/>
  </r>
  <r>
    <n v="1182"/>
    <n v="51"/>
    <x v="0"/>
    <x v="4"/>
    <s v="Financial Analyst"/>
    <s v="Life Sciences"/>
    <s v="Single"/>
    <s v="Travel_Frequently"/>
    <n v="27"/>
    <n v="13426"/>
    <x v="0"/>
    <x v="2"/>
    <n v="4"/>
    <n v="17"/>
    <n v="16"/>
    <n v="31"/>
    <s v="No"/>
    <x v="1"/>
    <x v="1"/>
    <x v="0"/>
    <n v="0"/>
  </r>
  <r>
    <n v="1866"/>
    <n v="37"/>
    <x v="0"/>
    <x v="2"/>
    <s v="IT Manager"/>
    <s v="Medical"/>
    <s v="Divorced"/>
    <s v="Travel_Frequently"/>
    <n v="14"/>
    <n v="12926"/>
    <x v="1"/>
    <x v="0"/>
    <n v="3"/>
    <n v="6"/>
    <n v="5"/>
    <n v="17"/>
    <s v="No"/>
    <x v="0"/>
    <x v="2"/>
    <x v="0"/>
    <n v="0"/>
  </r>
  <r>
    <n v="1777"/>
    <n v="26"/>
    <x v="0"/>
    <x v="2"/>
    <s v="IT Support"/>
    <s v="Life Sciences"/>
    <s v="Single"/>
    <s v="Travel_Frequently"/>
    <n v="25"/>
    <n v="8082"/>
    <x v="0"/>
    <x v="0"/>
    <n v="3"/>
    <n v="0"/>
    <n v="0"/>
    <n v="2"/>
    <s v="Yes"/>
    <x v="2"/>
    <x v="0"/>
    <x v="0"/>
    <n v="1"/>
  </r>
  <r>
    <n v="1239"/>
    <n v="30"/>
    <x v="1"/>
    <x v="1"/>
    <s v="Research Director"/>
    <s v="Life Sciences"/>
    <s v="Single"/>
    <s v="Travel_Frequently"/>
    <n v="19"/>
    <n v="9616"/>
    <x v="1"/>
    <x v="2"/>
    <n v="1"/>
    <n v="1"/>
    <n v="1"/>
    <n v="8"/>
    <s v="No"/>
    <x v="2"/>
    <x v="0"/>
    <x v="0"/>
    <n v="0"/>
  </r>
  <r>
    <n v="1873"/>
    <n v="56"/>
    <x v="1"/>
    <x v="1"/>
    <s v="Research Scientist"/>
    <s v="Human Resources"/>
    <s v="Single"/>
    <s v="Travel_Frequently"/>
    <n v="29"/>
    <n v="11180"/>
    <x v="0"/>
    <x v="4"/>
    <n v="3"/>
    <n v="6"/>
    <n v="6"/>
    <n v="36"/>
    <s v="No"/>
    <x v="0"/>
    <x v="1"/>
    <x v="0"/>
    <n v="0"/>
  </r>
  <r>
    <n v="1207"/>
    <n v="46"/>
    <x v="1"/>
    <x v="0"/>
    <s v="Sales Executive"/>
    <s v="Medical"/>
    <s v="Married"/>
    <s v="Travel_Frequently"/>
    <n v="17"/>
    <n v="8824"/>
    <x v="0"/>
    <x v="1"/>
    <n v="2"/>
    <n v="4"/>
    <n v="2"/>
    <n v="20"/>
    <s v="No"/>
    <x v="3"/>
    <x v="1"/>
    <x v="0"/>
    <n v="0"/>
  </r>
  <r>
    <n v="1372"/>
    <n v="59"/>
    <x v="1"/>
    <x v="1"/>
    <s v="Laboratory Technician"/>
    <s v="Technical Degree"/>
    <s v="Divorced"/>
    <s v="Travel_Frequently"/>
    <n v="28"/>
    <n v="13271"/>
    <x v="0"/>
    <x v="2"/>
    <n v="3"/>
    <n v="20"/>
    <n v="16"/>
    <n v="39"/>
    <s v="No"/>
    <x v="1"/>
    <x v="1"/>
    <x v="0"/>
    <n v="0"/>
  </r>
  <r>
    <n v="2000"/>
    <n v="32"/>
    <x v="0"/>
    <x v="4"/>
    <s v="Financial Analyst"/>
    <s v="Technical Degree"/>
    <s v="Married"/>
    <s v="Non-Travel"/>
    <n v="11"/>
    <n v="6738"/>
    <x v="1"/>
    <x v="1"/>
    <n v="3"/>
    <n v="3"/>
    <n v="1"/>
    <n v="4"/>
    <s v="No"/>
    <x v="3"/>
    <x v="0"/>
    <x v="2"/>
    <n v="0"/>
  </r>
  <r>
    <n v="1282"/>
    <n v="50"/>
    <x v="0"/>
    <x v="2"/>
    <s v="Data Analyst"/>
    <s v="Human Resources"/>
    <s v="Married"/>
    <s v="Non-Travel"/>
    <n v="26"/>
    <n v="11780"/>
    <x v="0"/>
    <x v="3"/>
    <n v="3"/>
    <n v="23"/>
    <n v="12"/>
    <n v="27"/>
    <s v="No"/>
    <x v="1"/>
    <x v="1"/>
    <x v="0"/>
    <n v="0"/>
  </r>
  <r>
    <n v="1203"/>
    <n v="22"/>
    <x v="0"/>
    <x v="4"/>
    <s v="Financial Analyst"/>
    <s v="Other"/>
    <s v="Single"/>
    <s v="Travel_Frequently"/>
    <n v="24"/>
    <n v="4888"/>
    <x v="1"/>
    <x v="3"/>
    <n v="3"/>
    <n v="0"/>
    <n v="0"/>
    <n v="0"/>
    <s v="Yes"/>
    <x v="2"/>
    <x v="3"/>
    <x v="3"/>
    <n v="1"/>
  </r>
  <r>
    <n v="1439"/>
    <n v="49"/>
    <x v="0"/>
    <x v="4"/>
    <s v="Financial Analyst"/>
    <s v="Technical Degree"/>
    <s v="Divorced"/>
    <s v="Non-Travel"/>
    <n v="25"/>
    <n v="10402"/>
    <x v="0"/>
    <x v="0"/>
    <n v="4"/>
    <n v="23"/>
    <n v="17"/>
    <n v="27"/>
    <s v="No"/>
    <x v="1"/>
    <x v="1"/>
    <x v="0"/>
    <n v="0"/>
  </r>
  <r>
    <n v="1347"/>
    <n v="46"/>
    <x v="1"/>
    <x v="1"/>
    <s v="Healthcare Representative"/>
    <s v="Technical Degree"/>
    <s v="Single"/>
    <s v="Travel_Rarely"/>
    <n v="2"/>
    <n v="9618"/>
    <x v="0"/>
    <x v="2"/>
    <n v="1"/>
    <n v="24"/>
    <n v="7"/>
    <n v="24"/>
    <s v="No"/>
    <x v="1"/>
    <x v="1"/>
    <x v="0"/>
    <n v="0"/>
  </r>
  <r>
    <n v="1251"/>
    <n v="21"/>
    <x v="1"/>
    <x v="4"/>
    <s v="Accountant"/>
    <s v="Human Resources"/>
    <s v="Divorced"/>
    <s v="Non-Travel"/>
    <n v="6"/>
    <n v="8135"/>
    <x v="0"/>
    <x v="3"/>
    <n v="1"/>
    <n v="0"/>
    <n v="0"/>
    <n v="0"/>
    <s v="Yes"/>
    <x v="2"/>
    <x v="3"/>
    <x v="0"/>
    <n v="1"/>
  </r>
  <r>
    <n v="1410"/>
    <n v="54"/>
    <x v="1"/>
    <x v="1"/>
    <s v="Research Scientist"/>
    <s v="Human Resources"/>
    <s v="Single"/>
    <s v="Travel_Rarely"/>
    <n v="13"/>
    <n v="12363"/>
    <x v="0"/>
    <x v="0"/>
    <n v="3"/>
    <n v="22"/>
    <n v="15"/>
    <n v="30"/>
    <s v="Yes"/>
    <x v="1"/>
    <x v="1"/>
    <x v="0"/>
    <n v="1"/>
  </r>
  <r>
    <n v="1938"/>
    <n v="51"/>
    <x v="0"/>
    <x v="1"/>
    <s v="Laboratory Technician"/>
    <s v="Medical"/>
    <s v="Divorced"/>
    <s v="Travel_Frequently"/>
    <n v="12"/>
    <n v="8902"/>
    <x v="0"/>
    <x v="3"/>
    <n v="4"/>
    <n v="20"/>
    <n v="14"/>
    <n v="23"/>
    <s v="No"/>
    <x v="1"/>
    <x v="1"/>
    <x v="0"/>
    <n v="0"/>
  </r>
  <r>
    <n v="1236"/>
    <n v="28"/>
    <x v="0"/>
    <x v="4"/>
    <s v="Financial Analyst"/>
    <s v="Marketing"/>
    <s v="Divorced"/>
    <s v="Travel_Rarely"/>
    <n v="27"/>
    <n v="8274"/>
    <x v="0"/>
    <x v="1"/>
    <n v="2"/>
    <n v="1"/>
    <n v="1"/>
    <n v="1"/>
    <s v="No"/>
    <x v="2"/>
    <x v="0"/>
    <x v="0"/>
    <n v="0"/>
  </r>
  <r>
    <n v="1586"/>
    <n v="58"/>
    <x v="1"/>
    <x v="0"/>
    <s v="Sales Executive"/>
    <s v="Other"/>
    <s v="Divorced"/>
    <s v="Travel_Rarely"/>
    <n v="29"/>
    <n v="12364"/>
    <x v="0"/>
    <x v="0"/>
    <n v="2"/>
    <n v="12"/>
    <n v="10"/>
    <n v="30"/>
    <s v="No"/>
    <x v="1"/>
    <x v="1"/>
    <x v="0"/>
    <n v="0"/>
  </r>
  <r>
    <n v="1001"/>
    <n v="37"/>
    <x v="0"/>
    <x v="3"/>
    <s v="HR Specialist"/>
    <s v="Business"/>
    <s v="Divorced"/>
    <s v="Non-Travel"/>
    <n v="8"/>
    <n v="7907"/>
    <x v="1"/>
    <x v="1"/>
    <n v="1"/>
    <n v="1"/>
    <n v="0"/>
    <n v="13"/>
    <s v="Yes"/>
    <x v="2"/>
    <x v="2"/>
    <x v="0"/>
    <n v="1"/>
  </r>
  <r>
    <n v="1465"/>
    <n v="50"/>
    <x v="0"/>
    <x v="2"/>
    <s v="IT Manager"/>
    <s v="Medical"/>
    <s v="Married"/>
    <s v="Non-Travel"/>
    <n v="12"/>
    <n v="13428"/>
    <x v="0"/>
    <x v="2"/>
    <n v="4"/>
    <n v="1"/>
    <n v="1"/>
    <n v="23"/>
    <s v="No"/>
    <x v="2"/>
    <x v="1"/>
    <x v="0"/>
    <n v="0"/>
  </r>
  <r>
    <n v="1710"/>
    <n v="45"/>
    <x v="0"/>
    <x v="1"/>
    <s v="Research Director"/>
    <s v="Business"/>
    <s v="Married"/>
    <s v="Travel_Frequently"/>
    <n v="21"/>
    <n v="14761"/>
    <x v="0"/>
    <x v="0"/>
    <n v="4"/>
    <n v="15"/>
    <n v="1"/>
    <n v="25"/>
    <s v="No"/>
    <x v="1"/>
    <x v="2"/>
    <x v="0"/>
    <n v="0"/>
  </r>
  <r>
    <n v="1501"/>
    <n v="29"/>
    <x v="0"/>
    <x v="0"/>
    <s v="Sales Manager"/>
    <s v="Life Sciences"/>
    <s v="Single"/>
    <s v="Travel_Frequently"/>
    <n v="26"/>
    <n v="9596"/>
    <x v="1"/>
    <x v="2"/>
    <n v="4"/>
    <n v="8"/>
    <n v="1"/>
    <n v="9"/>
    <s v="No"/>
    <x v="0"/>
    <x v="0"/>
    <x v="0"/>
    <n v="0"/>
  </r>
  <r>
    <n v="1593"/>
    <n v="29"/>
    <x v="0"/>
    <x v="1"/>
    <s v="Healthcare Representative"/>
    <s v="Life Sciences"/>
    <s v="Divorced"/>
    <s v="Travel_Frequently"/>
    <n v="10"/>
    <n v="4787"/>
    <x v="0"/>
    <x v="2"/>
    <n v="1"/>
    <n v="0"/>
    <n v="0"/>
    <n v="8"/>
    <s v="No"/>
    <x v="2"/>
    <x v="0"/>
    <x v="3"/>
    <n v="0"/>
  </r>
  <r>
    <n v="1584"/>
    <n v="47"/>
    <x v="1"/>
    <x v="3"/>
    <s v="HR Manager"/>
    <s v="Marketing"/>
    <s v="Single"/>
    <s v="Non-Travel"/>
    <n v="1"/>
    <n v="13468"/>
    <x v="0"/>
    <x v="1"/>
    <n v="4"/>
    <n v="11"/>
    <n v="5"/>
    <n v="25"/>
    <s v="No"/>
    <x v="1"/>
    <x v="1"/>
    <x v="0"/>
    <n v="0"/>
  </r>
  <r>
    <n v="1817"/>
    <n v="34"/>
    <x v="0"/>
    <x v="1"/>
    <s v="Healthcare Representative"/>
    <s v="Medical"/>
    <s v="Married"/>
    <s v="Travel_Frequently"/>
    <n v="16"/>
    <n v="6799"/>
    <x v="1"/>
    <x v="0"/>
    <n v="4"/>
    <n v="3"/>
    <n v="1"/>
    <n v="12"/>
    <s v="No"/>
    <x v="3"/>
    <x v="0"/>
    <x v="2"/>
    <n v="0"/>
  </r>
  <r>
    <n v="1918"/>
    <n v="51"/>
    <x v="0"/>
    <x v="2"/>
    <s v="IT Support"/>
    <s v="Business"/>
    <s v="Divorced"/>
    <s v="Non-Travel"/>
    <n v="4"/>
    <n v="12087"/>
    <x v="0"/>
    <x v="1"/>
    <n v="3"/>
    <n v="6"/>
    <n v="1"/>
    <n v="30"/>
    <s v="No"/>
    <x v="0"/>
    <x v="1"/>
    <x v="0"/>
    <n v="0"/>
  </r>
  <r>
    <n v="1083"/>
    <n v="23"/>
    <x v="1"/>
    <x v="1"/>
    <s v="Healthcare Representative"/>
    <s v="Technical Degree"/>
    <s v="Married"/>
    <s v="Non-Travel"/>
    <n v="4"/>
    <n v="5765"/>
    <x v="1"/>
    <x v="3"/>
    <n v="4"/>
    <n v="2"/>
    <n v="0"/>
    <n v="3"/>
    <s v="No"/>
    <x v="3"/>
    <x v="3"/>
    <x v="2"/>
    <n v="0"/>
  </r>
  <r>
    <n v="1633"/>
    <n v="39"/>
    <x v="1"/>
    <x v="3"/>
    <s v="HR Specialist"/>
    <s v="Medical"/>
    <s v="Divorced"/>
    <s v="Travel_Rarely"/>
    <n v="2"/>
    <n v="7451"/>
    <x v="1"/>
    <x v="3"/>
    <n v="1"/>
    <n v="1"/>
    <n v="0"/>
    <n v="11"/>
    <s v="Yes"/>
    <x v="2"/>
    <x v="2"/>
    <x v="2"/>
    <n v="1"/>
  </r>
  <r>
    <n v="1366"/>
    <n v="27"/>
    <x v="0"/>
    <x v="2"/>
    <s v="Data Analyst"/>
    <s v="Unknown"/>
    <s v="Divorced"/>
    <s v="Travel_Frequently"/>
    <n v="2"/>
    <n v="4369"/>
    <x v="0"/>
    <x v="3"/>
    <n v="4"/>
    <n v="0"/>
    <n v="0"/>
    <n v="1"/>
    <s v="No"/>
    <x v="2"/>
    <x v="0"/>
    <x v="3"/>
    <n v="0"/>
  </r>
  <r>
    <n v="1057"/>
    <n v="33"/>
    <x v="0"/>
    <x v="1"/>
    <s v="Research Scientist"/>
    <s v="Human Resources"/>
    <s v="Single"/>
    <s v="Travel_Rarely"/>
    <n v="20"/>
    <n v="7777"/>
    <x v="0"/>
    <x v="1"/>
    <n v="1"/>
    <n v="4"/>
    <n v="3"/>
    <n v="8"/>
    <s v="No"/>
    <x v="3"/>
    <x v="0"/>
    <x v="0"/>
    <n v="0"/>
  </r>
  <r>
    <n v="1364"/>
    <n v="38"/>
    <x v="1"/>
    <x v="1"/>
    <s v="Research Director"/>
    <s v="Other"/>
    <s v="Divorced"/>
    <s v="Travel_Frequently"/>
    <n v="17"/>
    <n v="10892"/>
    <x v="1"/>
    <x v="2"/>
    <n v="4"/>
    <n v="0"/>
    <n v="0"/>
    <n v="8"/>
    <s v="Yes"/>
    <x v="2"/>
    <x v="2"/>
    <x v="0"/>
    <n v="1"/>
  </r>
  <r>
    <n v="1982"/>
    <n v="50"/>
    <x v="1"/>
    <x v="2"/>
    <s v="IT Manager"/>
    <s v="Business"/>
    <s v="Married"/>
    <s v="Non-Travel"/>
    <n v="20"/>
    <n v="13131"/>
    <x v="0"/>
    <x v="1"/>
    <n v="1"/>
    <n v="21"/>
    <n v="7"/>
    <n v="22"/>
    <s v="Yes"/>
    <x v="1"/>
    <x v="1"/>
    <x v="0"/>
    <n v="1"/>
  </r>
  <r>
    <n v="1233"/>
    <n v="59"/>
    <x v="1"/>
    <x v="1"/>
    <s v="Research Scientist"/>
    <s v="Other"/>
    <s v="Married"/>
    <s v="Travel_Frequently"/>
    <n v="19"/>
    <n v="9182"/>
    <x v="0"/>
    <x v="3"/>
    <n v="1"/>
    <n v="3"/>
    <n v="3"/>
    <n v="27"/>
    <s v="No"/>
    <x v="3"/>
    <x v="1"/>
    <x v="0"/>
    <n v="0"/>
  </r>
  <r>
    <n v="1955"/>
    <n v="20"/>
    <x v="1"/>
    <x v="2"/>
    <s v="Data Analyst"/>
    <s v="Marketing"/>
    <s v="Single"/>
    <s v="Travel_Frequently"/>
    <n v="21"/>
    <n v="6970"/>
    <x v="0"/>
    <x v="1"/>
    <n v="1"/>
    <n v="0"/>
    <n v="0"/>
    <n v="0"/>
    <s v="Yes"/>
    <x v="2"/>
    <x v="3"/>
    <x v="2"/>
    <n v="1"/>
  </r>
  <r>
    <n v="1548"/>
    <n v="34"/>
    <x v="1"/>
    <x v="1"/>
    <s v="Research Scientist"/>
    <s v="Business"/>
    <s v="Married"/>
    <s v="Travel_Rarely"/>
    <n v="21"/>
    <n v="7918"/>
    <x v="0"/>
    <x v="3"/>
    <n v="3"/>
    <n v="1"/>
    <n v="0"/>
    <n v="14"/>
    <s v="No"/>
    <x v="2"/>
    <x v="0"/>
    <x v="0"/>
    <n v="0"/>
  </r>
  <r>
    <n v="1758"/>
    <n v="53"/>
    <x v="0"/>
    <x v="0"/>
    <s v="Sales Executive"/>
    <s v="Other"/>
    <s v="Married"/>
    <s v="Non-Travel"/>
    <n v="23"/>
    <n v="12887"/>
    <x v="0"/>
    <x v="3"/>
    <n v="1"/>
    <n v="6"/>
    <n v="0"/>
    <n v="30"/>
    <s v="No"/>
    <x v="0"/>
    <x v="1"/>
    <x v="0"/>
    <n v="0"/>
  </r>
  <r>
    <n v="1727"/>
    <n v="57"/>
    <x v="1"/>
    <x v="4"/>
    <s v="Accountant"/>
    <s v="Other"/>
    <s v="Married"/>
    <s v="Travel_Rarely"/>
    <n v="15"/>
    <n v="11541"/>
    <x v="0"/>
    <x v="0"/>
    <n v="1"/>
    <n v="9"/>
    <n v="3"/>
    <n v="19"/>
    <s v="No"/>
    <x v="0"/>
    <x v="1"/>
    <x v="0"/>
    <n v="0"/>
  </r>
  <r>
    <n v="1294"/>
    <n v="43"/>
    <x v="0"/>
    <x v="0"/>
    <s v="Sales Executive"/>
    <s v="Technical Degree"/>
    <s v="Single"/>
    <s v="Travel_Frequently"/>
    <n v="16"/>
    <n v="5637"/>
    <x v="0"/>
    <x v="0"/>
    <n v="1"/>
    <n v="10"/>
    <n v="3"/>
    <n v="11"/>
    <s v="No"/>
    <x v="1"/>
    <x v="2"/>
    <x v="2"/>
    <n v="0"/>
  </r>
  <r>
    <n v="1692"/>
    <n v="52"/>
    <x v="1"/>
    <x v="0"/>
    <s v="Sales Representative"/>
    <s v="Marketing"/>
    <s v="Single"/>
    <s v="Travel_Rarely"/>
    <n v="4"/>
    <n v="9703"/>
    <x v="0"/>
    <x v="3"/>
    <n v="4"/>
    <n v="9"/>
    <n v="6"/>
    <n v="26"/>
    <s v="No"/>
    <x v="0"/>
    <x v="1"/>
    <x v="0"/>
    <n v="0"/>
  </r>
  <r>
    <n v="1834"/>
    <n v="31"/>
    <x v="0"/>
    <x v="2"/>
    <s v="Software Engineer"/>
    <s v="Life Sciences"/>
    <s v="Divorced"/>
    <s v="Travel_Frequently"/>
    <n v="15"/>
    <n v="7854"/>
    <x v="0"/>
    <x v="2"/>
    <n v="3"/>
    <n v="2"/>
    <n v="2"/>
    <n v="8"/>
    <s v="No"/>
    <x v="3"/>
    <x v="0"/>
    <x v="0"/>
    <n v="0"/>
  </r>
  <r>
    <n v="1312"/>
    <n v="29"/>
    <x v="0"/>
    <x v="2"/>
    <s v="IT Support"/>
    <s v="Marketing"/>
    <s v="Divorced"/>
    <s v="Travel_Rarely"/>
    <n v="12"/>
    <n v="6304"/>
    <x v="0"/>
    <x v="1"/>
    <n v="1"/>
    <n v="0"/>
    <n v="0"/>
    <n v="5"/>
    <s v="No"/>
    <x v="2"/>
    <x v="0"/>
    <x v="2"/>
    <n v="0"/>
  </r>
  <r>
    <n v="1442"/>
    <n v="58"/>
    <x v="0"/>
    <x v="0"/>
    <s v="Sales Representative"/>
    <s v="Medical"/>
    <s v="Married"/>
    <s v="Travel_Rarely"/>
    <n v="12"/>
    <n v="7462"/>
    <x v="0"/>
    <x v="3"/>
    <n v="4"/>
    <n v="21"/>
    <n v="11"/>
    <n v="24"/>
    <s v="Yes"/>
    <x v="1"/>
    <x v="1"/>
    <x v="2"/>
    <n v="1"/>
  </r>
  <r>
    <n v="1967"/>
    <n v="32"/>
    <x v="1"/>
    <x v="1"/>
    <s v="Research Director"/>
    <s v="Medical"/>
    <s v="Divorced"/>
    <s v="Non-Travel"/>
    <n v="16"/>
    <n v="9159"/>
    <x v="0"/>
    <x v="3"/>
    <n v="2"/>
    <n v="12"/>
    <n v="10"/>
    <n v="12"/>
    <s v="No"/>
    <x v="1"/>
    <x v="0"/>
    <x v="0"/>
    <n v="0"/>
  </r>
  <r>
    <n v="1833"/>
    <n v="54"/>
    <x v="0"/>
    <x v="2"/>
    <s v="Data Analyst"/>
    <s v="Human Resources"/>
    <s v="Single"/>
    <s v="Travel_Frequently"/>
    <n v="20"/>
    <n v="12479"/>
    <x v="0"/>
    <x v="0"/>
    <n v="3"/>
    <n v="13"/>
    <n v="0"/>
    <n v="29"/>
    <s v="No"/>
    <x v="1"/>
    <x v="1"/>
    <x v="0"/>
    <n v="0"/>
  </r>
  <r>
    <n v="1592"/>
    <n v="39"/>
    <x v="0"/>
    <x v="0"/>
    <s v="Sales Executive"/>
    <s v="Life Sciences"/>
    <s v="Married"/>
    <s v="Travel_Rarely"/>
    <n v="12"/>
    <n v="9029"/>
    <x v="0"/>
    <x v="2"/>
    <n v="1"/>
    <n v="10"/>
    <n v="3"/>
    <n v="13"/>
    <s v="No"/>
    <x v="1"/>
    <x v="2"/>
    <x v="0"/>
    <n v="0"/>
  </r>
  <r>
    <n v="1637"/>
    <n v="52"/>
    <x v="0"/>
    <x v="1"/>
    <s v="Research Director"/>
    <s v="Medical"/>
    <s v="Single"/>
    <s v="Non-Travel"/>
    <n v="15"/>
    <n v="13805"/>
    <x v="1"/>
    <x v="1"/>
    <n v="3"/>
    <n v="14"/>
    <n v="14"/>
    <n v="28"/>
    <s v="Yes"/>
    <x v="1"/>
    <x v="1"/>
    <x v="0"/>
    <n v="1"/>
  </r>
  <r>
    <n v="1241"/>
    <n v="37"/>
    <x v="0"/>
    <x v="4"/>
    <s v="Finance Manager"/>
    <s v="Marketing"/>
    <s v="Divorced"/>
    <s v="Non-Travel"/>
    <n v="17"/>
    <n v="11466"/>
    <x v="0"/>
    <x v="3"/>
    <n v="4"/>
    <n v="5"/>
    <n v="3"/>
    <n v="8"/>
    <s v="No"/>
    <x v="0"/>
    <x v="2"/>
    <x v="0"/>
    <n v="0"/>
  </r>
  <r>
    <n v="1570"/>
    <n v="51"/>
    <x v="0"/>
    <x v="1"/>
    <s v="Research Scientist"/>
    <s v="Medical"/>
    <s v="Divorced"/>
    <s v="Non-Travel"/>
    <n v="23"/>
    <n v="8534"/>
    <x v="0"/>
    <x v="2"/>
    <n v="4"/>
    <n v="10"/>
    <n v="3"/>
    <n v="30"/>
    <s v="No"/>
    <x v="1"/>
    <x v="1"/>
    <x v="0"/>
    <n v="0"/>
  </r>
  <r>
    <n v="1840"/>
    <n v="44"/>
    <x v="0"/>
    <x v="1"/>
    <s v="Laboratory Technician"/>
    <s v="Medical"/>
    <s v="Married"/>
    <s v="Travel_Rarely"/>
    <n v="17"/>
    <n v="9378"/>
    <x v="1"/>
    <x v="0"/>
    <n v="1"/>
    <n v="18"/>
    <n v="2"/>
    <n v="19"/>
    <s v="No"/>
    <x v="1"/>
    <x v="2"/>
    <x v="0"/>
    <n v="0"/>
  </r>
  <r>
    <n v="1888"/>
    <n v="28"/>
    <x v="1"/>
    <x v="4"/>
    <s v="Accountant"/>
    <s v="Human Resources"/>
    <s v="Single"/>
    <s v="Non-Travel"/>
    <n v="6"/>
    <n v="7277"/>
    <x v="0"/>
    <x v="2"/>
    <n v="1"/>
    <n v="0"/>
    <n v="0"/>
    <n v="1"/>
    <s v="Yes"/>
    <x v="2"/>
    <x v="0"/>
    <x v="2"/>
    <n v="1"/>
  </r>
  <r>
    <n v="1960"/>
    <n v="48"/>
    <x v="0"/>
    <x v="1"/>
    <s v="Research Director"/>
    <s v="Technical Degree"/>
    <s v="Single"/>
    <s v="Non-Travel"/>
    <n v="24"/>
    <n v="14328"/>
    <x v="0"/>
    <x v="2"/>
    <n v="3"/>
    <n v="11"/>
    <n v="7"/>
    <n v="18"/>
    <s v="No"/>
    <x v="1"/>
    <x v="1"/>
    <x v="0"/>
    <n v="0"/>
  </r>
  <r>
    <n v="1030"/>
    <n v="46"/>
    <x v="0"/>
    <x v="1"/>
    <s v="Laboratory Technician"/>
    <s v="Technical Degree"/>
    <s v="Divorced"/>
    <s v="Travel_Frequently"/>
    <n v="7"/>
    <n v="7843"/>
    <x v="0"/>
    <x v="2"/>
    <n v="1"/>
    <n v="5"/>
    <n v="4"/>
    <n v="19"/>
    <s v="No"/>
    <x v="0"/>
    <x v="1"/>
    <x v="0"/>
    <n v="0"/>
  </r>
  <r>
    <n v="1511"/>
    <n v="58"/>
    <x v="0"/>
    <x v="1"/>
    <s v="Research Director"/>
    <s v="Medical"/>
    <s v="Married"/>
    <s v="Non-Travel"/>
    <n v="22"/>
    <n v="14173"/>
    <x v="0"/>
    <x v="2"/>
    <n v="4"/>
    <n v="14"/>
    <n v="2"/>
    <n v="38"/>
    <s v="No"/>
    <x v="1"/>
    <x v="1"/>
    <x v="0"/>
    <n v="0"/>
  </r>
  <r>
    <n v="1717"/>
    <n v="27"/>
    <x v="1"/>
    <x v="4"/>
    <s v="Finance Manager"/>
    <s v="Business"/>
    <s v="Married"/>
    <s v="Travel_Rarely"/>
    <n v="4"/>
    <n v="12901"/>
    <x v="0"/>
    <x v="2"/>
    <n v="4"/>
    <n v="1"/>
    <n v="1"/>
    <n v="3"/>
    <s v="No"/>
    <x v="2"/>
    <x v="0"/>
    <x v="0"/>
    <n v="0"/>
  </r>
  <r>
    <n v="1861"/>
    <n v="52"/>
    <x v="1"/>
    <x v="1"/>
    <s v="Healthcare Representative"/>
    <s v="Marketing"/>
    <s v="Single"/>
    <s v="Non-Travel"/>
    <n v="17"/>
    <n v="12250"/>
    <x v="0"/>
    <x v="0"/>
    <n v="3"/>
    <n v="8"/>
    <n v="8"/>
    <n v="26"/>
    <s v="No"/>
    <x v="0"/>
    <x v="1"/>
    <x v="0"/>
    <n v="0"/>
  </r>
  <r>
    <n v="1668"/>
    <n v="29"/>
    <x v="1"/>
    <x v="4"/>
    <s v="Finance Manager"/>
    <s v="Business"/>
    <s v="Single"/>
    <s v="Travel_Rarely"/>
    <n v="20"/>
    <n v="10345"/>
    <x v="0"/>
    <x v="1"/>
    <n v="1"/>
    <n v="3"/>
    <n v="2"/>
    <n v="4"/>
    <s v="No"/>
    <x v="3"/>
    <x v="0"/>
    <x v="0"/>
    <n v="0"/>
  </r>
  <r>
    <n v="1852"/>
    <n v="28"/>
    <x v="0"/>
    <x v="1"/>
    <s v="Research Scientist"/>
    <s v="Medical"/>
    <s v="Married"/>
    <s v="Travel_Frequently"/>
    <n v="6"/>
    <n v="7605"/>
    <x v="0"/>
    <x v="0"/>
    <n v="3"/>
    <n v="1"/>
    <n v="1"/>
    <n v="6"/>
    <s v="No"/>
    <x v="2"/>
    <x v="0"/>
    <x v="0"/>
    <n v="0"/>
  </r>
  <r>
    <n v="1263"/>
    <n v="22"/>
    <x v="1"/>
    <x v="0"/>
    <s v="Sales Representative"/>
    <s v="Medical"/>
    <s v="Single"/>
    <s v="Non-Travel"/>
    <n v="15"/>
    <n v="5190"/>
    <x v="0"/>
    <x v="0"/>
    <n v="2"/>
    <n v="0"/>
    <n v="0"/>
    <n v="0"/>
    <s v="No"/>
    <x v="2"/>
    <x v="3"/>
    <x v="3"/>
    <n v="0"/>
  </r>
  <r>
    <n v="1140"/>
    <n v="50"/>
    <x v="1"/>
    <x v="0"/>
    <s v="Sales Executive"/>
    <s v="Technical Degree"/>
    <s v="Single"/>
    <s v="Travel_Rarely"/>
    <n v="10"/>
    <n v="10466"/>
    <x v="0"/>
    <x v="2"/>
    <n v="3"/>
    <n v="8"/>
    <n v="6"/>
    <n v="24"/>
    <s v="No"/>
    <x v="0"/>
    <x v="1"/>
    <x v="0"/>
    <n v="0"/>
  </r>
  <r>
    <n v="1696"/>
    <n v="30"/>
    <x v="0"/>
    <x v="4"/>
    <s v="Finance Manager"/>
    <s v="Business"/>
    <s v="Married"/>
    <s v="Non-Travel"/>
    <n v="7"/>
    <n v="10185"/>
    <x v="0"/>
    <x v="0"/>
    <n v="2"/>
    <n v="1"/>
    <n v="0"/>
    <n v="3"/>
    <s v="Yes"/>
    <x v="2"/>
    <x v="0"/>
    <x v="0"/>
    <n v="1"/>
  </r>
  <r>
    <n v="1088"/>
    <n v="38"/>
    <x v="1"/>
    <x v="2"/>
    <s v="IT Support"/>
    <s v="Other"/>
    <s v="Divorced"/>
    <s v="Travel_Rarely"/>
    <n v="8"/>
    <n v="8593"/>
    <x v="0"/>
    <x v="3"/>
    <n v="4"/>
    <n v="11"/>
    <n v="6"/>
    <n v="13"/>
    <s v="No"/>
    <x v="1"/>
    <x v="2"/>
    <x v="0"/>
    <n v="0"/>
  </r>
  <r>
    <n v="1697"/>
    <n v="21"/>
    <x v="1"/>
    <x v="3"/>
    <s v="HR Specialist"/>
    <s v="Human Resources"/>
    <s v="Divorced"/>
    <s v="Travel_Rarely"/>
    <n v="5"/>
    <n v="3614"/>
    <x v="0"/>
    <x v="2"/>
    <n v="1"/>
    <n v="0"/>
    <n v="0"/>
    <n v="0"/>
    <s v="No"/>
    <x v="2"/>
    <x v="3"/>
    <x v="3"/>
    <n v="0"/>
  </r>
  <r>
    <n v="1167"/>
    <n v="28"/>
    <x v="0"/>
    <x v="2"/>
    <s v="Data Analyst"/>
    <s v="Technical Degree"/>
    <s v="Married"/>
    <s v="Travel_Rarely"/>
    <n v="18"/>
    <n v="8315"/>
    <x v="1"/>
    <x v="1"/>
    <n v="1"/>
    <n v="8"/>
    <n v="8"/>
    <n v="8"/>
    <s v="Yes"/>
    <x v="0"/>
    <x v="0"/>
    <x v="0"/>
    <n v="1"/>
  </r>
  <r>
    <n v="1005"/>
    <n v="24"/>
    <x v="1"/>
    <x v="0"/>
    <s v="Sales Manager"/>
    <s v="Life Sciences"/>
    <s v="Divorced"/>
    <s v="Travel_Rarely"/>
    <n v="21"/>
    <n v="8156"/>
    <x v="0"/>
    <x v="3"/>
    <n v="4"/>
    <n v="0"/>
    <n v="0"/>
    <n v="0"/>
    <s v="No"/>
    <x v="2"/>
    <x v="3"/>
    <x v="0"/>
    <n v="0"/>
  </r>
  <r>
    <n v="1713"/>
    <n v="57"/>
    <x v="0"/>
    <x v="2"/>
    <s v="Software Engineer"/>
    <s v="Human Resources"/>
    <s v="Married"/>
    <s v="Travel_Rarely"/>
    <n v="8"/>
    <n v="11677"/>
    <x v="0"/>
    <x v="2"/>
    <n v="1"/>
    <n v="4"/>
    <n v="4"/>
    <n v="30"/>
    <s v="No"/>
    <x v="3"/>
    <x v="1"/>
    <x v="0"/>
    <n v="0"/>
  </r>
  <r>
    <n v="1685"/>
    <n v="24"/>
    <x v="0"/>
    <x v="0"/>
    <s v="Sales Executive"/>
    <s v="Business"/>
    <s v="Single"/>
    <s v="Travel_Rarely"/>
    <n v="9"/>
    <n v="5771"/>
    <x v="0"/>
    <x v="2"/>
    <n v="2"/>
    <n v="0"/>
    <n v="0"/>
    <n v="0"/>
    <s v="Yes"/>
    <x v="2"/>
    <x v="3"/>
    <x v="2"/>
    <n v="1"/>
  </r>
  <r>
    <n v="1096"/>
    <n v="43"/>
    <x v="0"/>
    <x v="1"/>
    <s v="Laboratory Technician"/>
    <s v="Marketing"/>
    <s v="Married"/>
    <s v="Travel_Rarely"/>
    <n v="4"/>
    <n v="9298"/>
    <x v="1"/>
    <x v="1"/>
    <n v="3"/>
    <n v="13"/>
    <n v="12"/>
    <n v="16"/>
    <s v="No"/>
    <x v="1"/>
    <x v="2"/>
    <x v="0"/>
    <n v="0"/>
  </r>
  <r>
    <n v="1478"/>
    <n v="47"/>
    <x v="0"/>
    <x v="2"/>
    <s v="Software Engineer"/>
    <s v="Medical"/>
    <s v="Divorced"/>
    <s v="Non-Travel"/>
    <n v="2"/>
    <n v="10892"/>
    <x v="0"/>
    <x v="2"/>
    <n v="3"/>
    <n v="6"/>
    <n v="2"/>
    <n v="23"/>
    <s v="No"/>
    <x v="0"/>
    <x v="1"/>
    <x v="0"/>
    <n v="0"/>
  </r>
  <r>
    <n v="1494"/>
    <n v="49"/>
    <x v="0"/>
    <x v="1"/>
    <s v="Healthcare Representative"/>
    <s v="Human Resources"/>
    <s v="Divorced"/>
    <s v="Travel_Rarely"/>
    <n v="6"/>
    <n v="8419"/>
    <x v="0"/>
    <x v="1"/>
    <n v="2"/>
    <n v="4"/>
    <n v="0"/>
    <n v="15"/>
    <s v="No"/>
    <x v="3"/>
    <x v="1"/>
    <x v="0"/>
    <n v="0"/>
  </r>
  <r>
    <n v="1079"/>
    <n v="23"/>
    <x v="0"/>
    <x v="1"/>
    <s v="Research Scientist"/>
    <s v="Business"/>
    <s v="Single"/>
    <s v="Travel_Rarely"/>
    <n v="11"/>
    <n v="6115"/>
    <x v="0"/>
    <x v="2"/>
    <n v="1"/>
    <n v="3"/>
    <n v="0"/>
    <n v="3"/>
    <s v="No"/>
    <x v="3"/>
    <x v="3"/>
    <x v="2"/>
    <n v="0"/>
  </r>
  <r>
    <n v="1495"/>
    <n v="57"/>
    <x v="1"/>
    <x v="1"/>
    <s v="Laboratory Technician"/>
    <s v="Medical"/>
    <s v="Single"/>
    <s v="Travel_Rarely"/>
    <n v="16"/>
    <n v="11538"/>
    <x v="1"/>
    <x v="2"/>
    <n v="1"/>
    <n v="24"/>
    <n v="18"/>
    <n v="33"/>
    <s v="No"/>
    <x v="1"/>
    <x v="1"/>
    <x v="0"/>
    <n v="0"/>
  </r>
  <r>
    <n v="1895"/>
    <n v="39"/>
    <x v="0"/>
    <x v="0"/>
    <s v="Sales Manager"/>
    <s v="Other"/>
    <s v="Single"/>
    <s v="Travel_Rarely"/>
    <n v="6"/>
    <n v="13960"/>
    <x v="0"/>
    <x v="3"/>
    <n v="2"/>
    <n v="2"/>
    <n v="0"/>
    <n v="17"/>
    <s v="No"/>
    <x v="3"/>
    <x v="2"/>
    <x v="0"/>
    <n v="0"/>
  </r>
  <r>
    <n v="1189"/>
    <n v="38"/>
    <x v="0"/>
    <x v="1"/>
    <s v="Research Director"/>
    <s v="Business"/>
    <s v="Single"/>
    <s v="Non-Travel"/>
    <n v="26"/>
    <n v="12466"/>
    <x v="1"/>
    <x v="1"/>
    <n v="1"/>
    <n v="9"/>
    <n v="7"/>
    <n v="10"/>
    <s v="No"/>
    <x v="0"/>
    <x v="2"/>
    <x v="0"/>
    <n v="0"/>
  </r>
  <r>
    <n v="1603"/>
    <n v="57"/>
    <x v="1"/>
    <x v="0"/>
    <s v="Sales Executive"/>
    <s v="Technical Degree"/>
    <s v="Married"/>
    <s v="Travel_Rarely"/>
    <n v="16"/>
    <n v="10742"/>
    <x v="0"/>
    <x v="2"/>
    <n v="3"/>
    <n v="6"/>
    <n v="4"/>
    <n v="33"/>
    <s v="No"/>
    <x v="0"/>
    <x v="1"/>
    <x v="0"/>
    <n v="0"/>
  </r>
  <r>
    <n v="1732"/>
    <n v="55"/>
    <x v="0"/>
    <x v="0"/>
    <s v="Sales Representative"/>
    <s v="Unknown"/>
    <s v="Divorced"/>
    <s v="Travel_Rarely"/>
    <n v="27"/>
    <n v="12094"/>
    <x v="0"/>
    <x v="3"/>
    <n v="4"/>
    <n v="9"/>
    <n v="9"/>
    <n v="32"/>
    <s v="No"/>
    <x v="0"/>
    <x v="1"/>
    <x v="0"/>
    <n v="0"/>
  </r>
  <r>
    <n v="1573"/>
    <n v="53"/>
    <x v="1"/>
    <x v="0"/>
    <s v="Sales Manager"/>
    <s v="Marketing"/>
    <s v="Married"/>
    <s v="Travel_Frequently"/>
    <n v="4"/>
    <n v="14305"/>
    <x v="0"/>
    <x v="0"/>
    <n v="4"/>
    <n v="16"/>
    <n v="0"/>
    <n v="30"/>
    <s v="No"/>
    <x v="1"/>
    <x v="1"/>
    <x v="0"/>
    <n v="0"/>
  </r>
  <r>
    <n v="1565"/>
    <n v="43"/>
    <x v="1"/>
    <x v="1"/>
    <s v="Healthcare Representative"/>
    <s v="Business"/>
    <s v="Married"/>
    <s v="Travel_Frequently"/>
    <n v="3"/>
    <n v="8048"/>
    <x v="1"/>
    <x v="2"/>
    <n v="2"/>
    <n v="12"/>
    <n v="0"/>
    <n v="20"/>
    <s v="No"/>
    <x v="1"/>
    <x v="2"/>
    <x v="0"/>
    <n v="0"/>
  </r>
  <r>
    <n v="1064"/>
    <n v="60"/>
    <x v="0"/>
    <x v="1"/>
    <s v="Research Scientist"/>
    <s v="Medical"/>
    <s v="Married"/>
    <s v="Non-Travel"/>
    <n v="2"/>
    <n v="11282"/>
    <x v="0"/>
    <x v="1"/>
    <n v="1"/>
    <n v="5"/>
    <n v="5"/>
    <n v="35"/>
    <s v="No"/>
    <x v="0"/>
    <x v="1"/>
    <x v="0"/>
    <n v="0"/>
  </r>
  <r>
    <n v="1655"/>
    <n v="57"/>
    <x v="0"/>
    <x v="4"/>
    <s v="Finance Manager"/>
    <s v="Human Resources"/>
    <s v="Married"/>
    <s v="Non-Travel"/>
    <n v="9"/>
    <n v="17496"/>
    <x v="1"/>
    <x v="3"/>
    <n v="4"/>
    <n v="12"/>
    <n v="10"/>
    <n v="37"/>
    <s v="Yes"/>
    <x v="1"/>
    <x v="1"/>
    <x v="0"/>
    <n v="1"/>
  </r>
  <r>
    <n v="1750"/>
    <n v="21"/>
    <x v="0"/>
    <x v="4"/>
    <s v="Accountant"/>
    <s v="Other"/>
    <s v="Divorced"/>
    <s v="Non-Travel"/>
    <n v="27"/>
    <n v="6374"/>
    <x v="1"/>
    <x v="1"/>
    <n v="2"/>
    <n v="0"/>
    <n v="0"/>
    <n v="1"/>
    <s v="No"/>
    <x v="2"/>
    <x v="3"/>
    <x v="2"/>
    <n v="0"/>
  </r>
  <r>
    <n v="1859"/>
    <n v="50"/>
    <x v="1"/>
    <x v="0"/>
    <s v="Sales Manager"/>
    <s v="Business"/>
    <s v="Divorced"/>
    <s v="Travel_Frequently"/>
    <n v="3"/>
    <n v="12506"/>
    <x v="1"/>
    <x v="3"/>
    <n v="4"/>
    <n v="1"/>
    <n v="1"/>
    <n v="19"/>
    <s v="No"/>
    <x v="2"/>
    <x v="1"/>
    <x v="0"/>
    <n v="0"/>
  </r>
  <r>
    <n v="1608"/>
    <n v="25"/>
    <x v="0"/>
    <x v="0"/>
    <s v="Sales Representative"/>
    <s v="Life Sciences"/>
    <s v="Single"/>
    <s v="Non-Travel"/>
    <n v="16"/>
    <n v="7185"/>
    <x v="0"/>
    <x v="3"/>
    <n v="4"/>
    <n v="0"/>
    <n v="0"/>
    <n v="0"/>
    <s v="No"/>
    <x v="2"/>
    <x v="3"/>
    <x v="2"/>
    <n v="0"/>
  </r>
  <r>
    <n v="1138"/>
    <n v="39"/>
    <x v="0"/>
    <x v="4"/>
    <s v="Financial Analyst"/>
    <s v="Other"/>
    <s v="Single"/>
    <s v="Travel_Rarely"/>
    <n v="15"/>
    <n v="7783"/>
    <x v="0"/>
    <x v="2"/>
    <n v="2"/>
    <n v="5"/>
    <n v="2"/>
    <n v="12"/>
    <s v="No"/>
    <x v="0"/>
    <x v="2"/>
    <x v="0"/>
    <n v="0"/>
  </r>
  <r>
    <n v="1842"/>
    <n v="26"/>
    <x v="1"/>
    <x v="1"/>
    <s v="Research Scientist"/>
    <s v="Human Resources"/>
    <s v="Married"/>
    <s v="Travel_Frequently"/>
    <n v="25"/>
    <n v="6187"/>
    <x v="0"/>
    <x v="0"/>
    <n v="2"/>
    <n v="0"/>
    <n v="0"/>
    <n v="0"/>
    <s v="No"/>
    <x v="2"/>
    <x v="0"/>
    <x v="2"/>
    <n v="0"/>
  </r>
  <r>
    <n v="1801"/>
    <n v="38"/>
    <x v="0"/>
    <x v="1"/>
    <s v="Research Scientist"/>
    <s v="Other"/>
    <s v="Divorced"/>
    <s v="Travel_Frequently"/>
    <n v="17"/>
    <n v="11955"/>
    <x v="1"/>
    <x v="0"/>
    <n v="2"/>
    <n v="8"/>
    <n v="8"/>
    <n v="18"/>
    <s v="No"/>
    <x v="0"/>
    <x v="2"/>
    <x v="0"/>
    <n v="0"/>
  </r>
  <r>
    <n v="1990"/>
    <n v="41"/>
    <x v="0"/>
    <x v="0"/>
    <s v="Sales Executive"/>
    <s v="Human Resources"/>
    <s v="Married"/>
    <s v="Non-Travel"/>
    <n v="26"/>
    <n v="6349"/>
    <x v="0"/>
    <x v="3"/>
    <n v="2"/>
    <n v="2"/>
    <n v="2"/>
    <n v="7"/>
    <s v="No"/>
    <x v="3"/>
    <x v="2"/>
    <x v="2"/>
    <n v="0"/>
  </r>
  <r>
    <n v="1040"/>
    <n v="32"/>
    <x v="0"/>
    <x v="2"/>
    <s v="Software Engineer"/>
    <s v="Life Sciences"/>
    <s v="Divorced"/>
    <s v="Travel_Frequently"/>
    <n v="9"/>
    <n v="6427"/>
    <x v="0"/>
    <x v="1"/>
    <n v="2"/>
    <n v="3"/>
    <n v="1"/>
    <n v="11"/>
    <s v="No"/>
    <x v="3"/>
    <x v="0"/>
    <x v="2"/>
    <n v="0"/>
  </r>
  <r>
    <n v="1365"/>
    <n v="46"/>
    <x v="1"/>
    <x v="1"/>
    <s v="Healthcare Representative"/>
    <s v="Human Resources"/>
    <s v="Single"/>
    <s v="Travel_Frequently"/>
    <n v="23"/>
    <n v="9661"/>
    <x v="1"/>
    <x v="2"/>
    <n v="1"/>
    <n v="14"/>
    <n v="9"/>
    <n v="21"/>
    <s v="No"/>
    <x v="1"/>
    <x v="1"/>
    <x v="0"/>
    <n v="0"/>
  </r>
  <r>
    <n v="1309"/>
    <n v="44"/>
    <x v="0"/>
    <x v="0"/>
    <s v="Sales Representative"/>
    <s v="Human Resources"/>
    <s v="Single"/>
    <s v="Travel_Frequently"/>
    <n v="9"/>
    <n v="6432"/>
    <x v="0"/>
    <x v="2"/>
    <n v="1"/>
    <n v="12"/>
    <n v="5"/>
    <n v="12"/>
    <s v="Yes"/>
    <x v="1"/>
    <x v="2"/>
    <x v="2"/>
    <n v="1"/>
  </r>
  <r>
    <n v="1101"/>
    <n v="52"/>
    <x v="1"/>
    <x v="2"/>
    <s v="IT Manager"/>
    <s v="Business"/>
    <s v="Divorced"/>
    <s v="Travel_Frequently"/>
    <n v="28"/>
    <n v="11674"/>
    <x v="0"/>
    <x v="0"/>
    <n v="1"/>
    <n v="6"/>
    <n v="6"/>
    <n v="15"/>
    <s v="No"/>
    <x v="0"/>
    <x v="1"/>
    <x v="0"/>
    <n v="0"/>
  </r>
  <r>
    <n v="1493"/>
    <n v="23"/>
    <x v="1"/>
    <x v="3"/>
    <s v="HR Manager"/>
    <s v="Business"/>
    <s v="Married"/>
    <s v="Non-Travel"/>
    <n v="23"/>
    <n v="8734"/>
    <x v="1"/>
    <x v="1"/>
    <n v="4"/>
    <n v="0"/>
    <n v="0"/>
    <n v="0"/>
    <s v="Yes"/>
    <x v="2"/>
    <x v="3"/>
    <x v="0"/>
    <n v="1"/>
  </r>
  <r>
    <n v="1702"/>
    <n v="27"/>
    <x v="1"/>
    <x v="0"/>
    <s v="Sales Representative"/>
    <s v="Medical"/>
    <s v="Divorced"/>
    <s v="Travel_Frequently"/>
    <n v="7"/>
    <n v="5536"/>
    <x v="1"/>
    <x v="3"/>
    <n v="3"/>
    <n v="1"/>
    <n v="0"/>
    <n v="3"/>
    <s v="No"/>
    <x v="2"/>
    <x v="0"/>
    <x v="2"/>
    <n v="0"/>
  </r>
  <r>
    <n v="1009"/>
    <n v="30"/>
    <x v="0"/>
    <x v="0"/>
    <s v="Sales Representative"/>
    <s v="Technical Degree"/>
    <s v="Divorced"/>
    <s v="Non-Travel"/>
    <n v="10"/>
    <n v="6195"/>
    <x v="0"/>
    <x v="3"/>
    <n v="1"/>
    <n v="0"/>
    <n v="0"/>
    <n v="0"/>
    <s v="No"/>
    <x v="2"/>
    <x v="0"/>
    <x v="2"/>
    <n v="0"/>
  </r>
  <r>
    <n v="1742"/>
    <n v="37"/>
    <x v="1"/>
    <x v="2"/>
    <s v="Software Engineer"/>
    <s v="Technical Degree"/>
    <s v="Divorced"/>
    <s v="Travel_Frequently"/>
    <n v="20"/>
    <n v="6617"/>
    <x v="0"/>
    <x v="2"/>
    <n v="4"/>
    <n v="14"/>
    <n v="6"/>
    <n v="14"/>
    <s v="No"/>
    <x v="1"/>
    <x v="2"/>
    <x v="2"/>
    <n v="0"/>
  </r>
  <r>
    <n v="1086"/>
    <n v="23"/>
    <x v="1"/>
    <x v="1"/>
    <s v="Research Scientist"/>
    <s v="Marketing"/>
    <s v="Married"/>
    <s v="Non-Travel"/>
    <n v="16"/>
    <n v="8085"/>
    <x v="0"/>
    <x v="0"/>
    <n v="4"/>
    <n v="0"/>
    <n v="0"/>
    <n v="3"/>
    <s v="No"/>
    <x v="2"/>
    <x v="3"/>
    <x v="0"/>
    <n v="0"/>
  </r>
  <r>
    <n v="1459"/>
    <n v="51"/>
    <x v="1"/>
    <x v="1"/>
    <s v="Research Scientist"/>
    <s v="Human Resources"/>
    <s v="Single"/>
    <s v="Non-Travel"/>
    <n v="19"/>
    <n v="8678"/>
    <x v="0"/>
    <x v="3"/>
    <n v="4"/>
    <n v="16"/>
    <n v="2"/>
    <n v="24"/>
    <s v="No"/>
    <x v="1"/>
    <x v="1"/>
    <x v="0"/>
    <n v="0"/>
  </r>
  <r>
    <n v="1950"/>
    <n v="35"/>
    <x v="1"/>
    <x v="4"/>
    <s v="Financial Analyst"/>
    <s v="Life Sciences"/>
    <s v="Divorced"/>
    <s v="Non-Travel"/>
    <n v="11"/>
    <n v="6478"/>
    <x v="0"/>
    <x v="0"/>
    <n v="4"/>
    <n v="6"/>
    <n v="2"/>
    <n v="9"/>
    <s v="No"/>
    <x v="0"/>
    <x v="0"/>
    <x v="2"/>
    <n v="0"/>
  </r>
  <r>
    <n v="1812"/>
    <n v="31"/>
    <x v="1"/>
    <x v="1"/>
    <s v="Laboratory Technician"/>
    <s v="Other"/>
    <s v="Divorced"/>
    <s v="Travel_Rarely"/>
    <n v="2"/>
    <n v="6500"/>
    <x v="0"/>
    <x v="1"/>
    <n v="4"/>
    <n v="6"/>
    <n v="6"/>
    <n v="8"/>
    <s v="No"/>
    <x v="0"/>
    <x v="0"/>
    <x v="2"/>
    <n v="0"/>
  </r>
  <r>
    <n v="1782"/>
    <n v="25"/>
    <x v="1"/>
    <x v="0"/>
    <s v="Sales Representative"/>
    <s v="Human Resources"/>
    <s v="Divorced"/>
    <s v="Travel_Frequently"/>
    <n v="9"/>
    <n v="4207"/>
    <x v="0"/>
    <x v="0"/>
    <n v="2"/>
    <n v="0"/>
    <n v="0"/>
    <n v="0"/>
    <s v="No"/>
    <x v="2"/>
    <x v="3"/>
    <x v="3"/>
    <n v="0"/>
  </r>
  <r>
    <n v="1181"/>
    <n v="47"/>
    <x v="1"/>
    <x v="3"/>
    <s v="HR Manager"/>
    <s v="Marketing"/>
    <s v="Divorced"/>
    <s v="Non-Travel"/>
    <n v="6"/>
    <n v="14629"/>
    <x v="0"/>
    <x v="3"/>
    <n v="4"/>
    <n v="22"/>
    <n v="20"/>
    <n v="25"/>
    <s v="No"/>
    <x v="1"/>
    <x v="1"/>
    <x v="0"/>
    <n v="0"/>
  </r>
  <r>
    <n v="1054"/>
    <n v="40"/>
    <x v="0"/>
    <x v="3"/>
    <s v="HR Manager"/>
    <s v="Medical"/>
    <s v="Single"/>
    <s v="Travel_Frequently"/>
    <n v="21"/>
    <n v="10805"/>
    <x v="0"/>
    <x v="1"/>
    <n v="2"/>
    <n v="7"/>
    <n v="0"/>
    <n v="15"/>
    <s v="No"/>
    <x v="0"/>
    <x v="2"/>
    <x v="0"/>
    <n v="0"/>
  </r>
  <r>
    <n v="1535"/>
    <n v="44"/>
    <x v="0"/>
    <x v="2"/>
    <s v="IT Support"/>
    <s v="Life Sciences"/>
    <s v="Married"/>
    <s v="Travel_Frequently"/>
    <n v="25"/>
    <n v="10511"/>
    <x v="1"/>
    <x v="1"/>
    <n v="1"/>
    <n v="10"/>
    <n v="4"/>
    <n v="22"/>
    <s v="No"/>
    <x v="1"/>
    <x v="2"/>
    <x v="0"/>
    <n v="0"/>
  </r>
  <r>
    <n v="1611"/>
    <n v="34"/>
    <x v="1"/>
    <x v="1"/>
    <s v="Healthcare Representative"/>
    <s v="Life Sciences"/>
    <s v="Married"/>
    <s v="Travel_Rarely"/>
    <n v="4"/>
    <n v="8084"/>
    <x v="0"/>
    <x v="0"/>
    <n v="2"/>
    <n v="1"/>
    <n v="0"/>
    <n v="10"/>
    <s v="No"/>
    <x v="2"/>
    <x v="0"/>
    <x v="0"/>
    <n v="0"/>
  </r>
  <r>
    <n v="1997"/>
    <n v="35"/>
    <x v="0"/>
    <x v="1"/>
    <s v="Research Scientist"/>
    <s v="Medical"/>
    <s v="Divorced"/>
    <s v="Travel_Frequently"/>
    <n v="16"/>
    <n v="5028"/>
    <x v="0"/>
    <x v="0"/>
    <n v="2"/>
    <n v="1"/>
    <n v="1"/>
    <n v="9"/>
    <s v="Yes"/>
    <x v="2"/>
    <x v="0"/>
    <x v="3"/>
    <n v="1"/>
  </r>
  <r>
    <n v="1171"/>
    <n v="56"/>
    <x v="0"/>
    <x v="2"/>
    <s v="IT Manager"/>
    <s v="Other"/>
    <s v="Divorced"/>
    <s v="Non-Travel"/>
    <n v="18"/>
    <n v="14141"/>
    <x v="0"/>
    <x v="1"/>
    <n v="2"/>
    <n v="8"/>
    <n v="6"/>
    <n v="32"/>
    <s v="Yes"/>
    <x v="0"/>
    <x v="1"/>
    <x v="0"/>
    <n v="1"/>
  </r>
  <r>
    <n v="1320"/>
    <n v="24"/>
    <x v="0"/>
    <x v="3"/>
    <s v="HR Manager"/>
    <s v="Medical"/>
    <s v="Divorced"/>
    <s v="Travel_Frequently"/>
    <n v="15"/>
    <n v="9632"/>
    <x v="1"/>
    <x v="0"/>
    <n v="4"/>
    <n v="2"/>
    <n v="1"/>
    <n v="4"/>
    <s v="No"/>
    <x v="3"/>
    <x v="3"/>
    <x v="0"/>
    <n v="0"/>
  </r>
  <r>
    <n v="1420"/>
    <n v="32"/>
    <x v="1"/>
    <x v="1"/>
    <s v="Laboratory Technician"/>
    <s v="Life Sciences"/>
    <s v="Divorced"/>
    <s v="Travel_Rarely"/>
    <n v="7"/>
    <n v="8918"/>
    <x v="1"/>
    <x v="2"/>
    <n v="2"/>
    <n v="1"/>
    <n v="1"/>
    <n v="12"/>
    <s v="Yes"/>
    <x v="2"/>
    <x v="0"/>
    <x v="0"/>
    <n v="1"/>
  </r>
  <r>
    <n v="1928"/>
    <n v="22"/>
    <x v="1"/>
    <x v="3"/>
    <s v="HR Specialist"/>
    <s v="Other"/>
    <s v="Married"/>
    <s v="Non-Travel"/>
    <n v="22"/>
    <n v="4352"/>
    <x v="0"/>
    <x v="0"/>
    <n v="1"/>
    <n v="0"/>
    <n v="0"/>
    <n v="0"/>
    <s v="No"/>
    <x v="2"/>
    <x v="3"/>
    <x v="3"/>
    <n v="0"/>
  </r>
  <r>
    <n v="1191"/>
    <n v="39"/>
    <x v="1"/>
    <x v="0"/>
    <s v="Sales Manager"/>
    <s v="Life Sciences"/>
    <s v="Divorced"/>
    <s v="Travel_Frequently"/>
    <n v="3"/>
    <n v="8717"/>
    <x v="1"/>
    <x v="1"/>
    <n v="1"/>
    <n v="6"/>
    <n v="5"/>
    <n v="13"/>
    <s v="Yes"/>
    <x v="0"/>
    <x v="2"/>
    <x v="0"/>
    <n v="1"/>
  </r>
  <r>
    <n v="1766"/>
    <n v="23"/>
    <x v="0"/>
    <x v="1"/>
    <s v="Laboratory Technician"/>
    <s v="Business"/>
    <s v="Divorced"/>
    <s v="Non-Travel"/>
    <n v="3"/>
    <n v="4840"/>
    <x v="0"/>
    <x v="1"/>
    <n v="2"/>
    <n v="2"/>
    <n v="0"/>
    <n v="3"/>
    <s v="No"/>
    <x v="3"/>
    <x v="3"/>
    <x v="3"/>
    <n v="0"/>
  </r>
  <r>
    <n v="1559"/>
    <n v="21"/>
    <x v="1"/>
    <x v="2"/>
    <s v="Data Analyst"/>
    <s v="Medical"/>
    <s v="Divorced"/>
    <s v="Non-Travel"/>
    <n v="8"/>
    <n v="5436"/>
    <x v="0"/>
    <x v="0"/>
    <n v="2"/>
    <n v="0"/>
    <n v="0"/>
    <n v="0"/>
    <s v="No"/>
    <x v="2"/>
    <x v="3"/>
    <x v="3"/>
    <n v="0"/>
  </r>
  <r>
    <n v="1146"/>
    <n v="43"/>
    <x v="1"/>
    <x v="2"/>
    <s v="IT Manager"/>
    <s v="Life Sciences"/>
    <s v="Divorced"/>
    <s v="Non-Travel"/>
    <n v="18"/>
    <n v="13678"/>
    <x v="1"/>
    <x v="3"/>
    <n v="3"/>
    <n v="12"/>
    <n v="6"/>
    <n v="23"/>
    <s v="No"/>
    <x v="1"/>
    <x v="2"/>
    <x v="0"/>
    <n v="0"/>
  </r>
  <r>
    <n v="1301"/>
    <n v="33"/>
    <x v="1"/>
    <x v="1"/>
    <s v="Healthcare Representative"/>
    <s v="Medical"/>
    <s v="Divorced"/>
    <s v="Travel_Rarely"/>
    <n v="18"/>
    <n v="5732"/>
    <x v="1"/>
    <x v="2"/>
    <n v="3"/>
    <n v="5"/>
    <n v="0"/>
    <n v="7"/>
    <s v="No"/>
    <x v="0"/>
    <x v="0"/>
    <x v="2"/>
    <n v="0"/>
  </r>
  <r>
    <n v="1153"/>
    <n v="24"/>
    <x v="1"/>
    <x v="2"/>
    <s v="Data Analyst"/>
    <s v="Life Sciences"/>
    <s v="Divorced"/>
    <s v="Non-Travel"/>
    <n v="1"/>
    <n v="8834"/>
    <x v="0"/>
    <x v="0"/>
    <n v="3"/>
    <n v="1"/>
    <n v="1"/>
    <n v="3"/>
    <s v="Yes"/>
    <x v="2"/>
    <x v="3"/>
    <x v="0"/>
    <n v="1"/>
  </r>
  <r>
    <n v="1735"/>
    <n v="23"/>
    <x v="1"/>
    <x v="2"/>
    <s v="Data Analyst"/>
    <s v="Medical"/>
    <s v="Single"/>
    <s v="Non-Travel"/>
    <n v="19"/>
    <n v="10163"/>
    <x v="0"/>
    <x v="0"/>
    <n v="1"/>
    <n v="0"/>
    <n v="0"/>
    <n v="0"/>
    <s v="No"/>
    <x v="2"/>
    <x v="3"/>
    <x v="0"/>
    <n v="0"/>
  </r>
  <r>
    <n v="1554"/>
    <n v="50"/>
    <x v="1"/>
    <x v="2"/>
    <s v="Software Engineer"/>
    <s v="Business"/>
    <s v="Married"/>
    <s v="Travel_Rarely"/>
    <n v="27"/>
    <n v="11616"/>
    <x v="0"/>
    <x v="1"/>
    <n v="2"/>
    <n v="11"/>
    <n v="0"/>
    <n v="24"/>
    <s v="No"/>
    <x v="1"/>
    <x v="1"/>
    <x v="0"/>
    <n v="0"/>
  </r>
  <r>
    <n v="1082"/>
    <n v="25"/>
    <x v="0"/>
    <x v="0"/>
    <s v="Sales Executive"/>
    <s v="Human Resources"/>
    <s v="Single"/>
    <s v="Travel_Rarely"/>
    <n v="18"/>
    <n v="6160"/>
    <x v="0"/>
    <x v="3"/>
    <n v="1"/>
    <n v="0"/>
    <n v="0"/>
    <n v="0"/>
    <s v="No"/>
    <x v="2"/>
    <x v="3"/>
    <x v="2"/>
    <n v="0"/>
  </r>
  <r>
    <n v="1257"/>
    <n v="41"/>
    <x v="1"/>
    <x v="2"/>
    <s v="Software Engineer"/>
    <s v="Marketing"/>
    <s v="Married"/>
    <s v="Travel_Rarely"/>
    <n v="13"/>
    <n v="9612"/>
    <x v="1"/>
    <x v="0"/>
    <n v="3"/>
    <n v="9"/>
    <n v="4"/>
    <n v="13"/>
    <s v="No"/>
    <x v="0"/>
    <x v="2"/>
    <x v="0"/>
    <n v="0"/>
  </r>
  <r>
    <n v="1052"/>
    <n v="24"/>
    <x v="1"/>
    <x v="2"/>
    <s v="IT Manager"/>
    <s v="Medical"/>
    <s v="Single"/>
    <s v="Non-Travel"/>
    <n v="21"/>
    <n v="6665"/>
    <x v="0"/>
    <x v="2"/>
    <n v="1"/>
    <n v="0"/>
    <n v="0"/>
    <n v="0"/>
    <s v="Yes"/>
    <x v="2"/>
    <x v="3"/>
    <x v="2"/>
    <n v="1"/>
  </r>
  <r>
    <n v="1095"/>
    <n v="58"/>
    <x v="1"/>
    <x v="3"/>
    <s v="HR Manager"/>
    <s v="Human Resources"/>
    <s v="Married"/>
    <s v="Travel_Rarely"/>
    <n v="6"/>
    <n v="14002"/>
    <x v="0"/>
    <x v="0"/>
    <n v="1"/>
    <n v="1"/>
    <n v="1"/>
    <n v="31"/>
    <s v="Yes"/>
    <x v="2"/>
    <x v="1"/>
    <x v="0"/>
    <n v="1"/>
  </r>
  <r>
    <n v="1163"/>
    <n v="21"/>
    <x v="0"/>
    <x v="0"/>
    <s v="Sales Representative"/>
    <s v="Technical Degree"/>
    <s v="Married"/>
    <s v="Travel_Rarely"/>
    <n v="28"/>
    <n v="4933"/>
    <x v="0"/>
    <x v="3"/>
    <n v="2"/>
    <n v="1"/>
    <n v="0"/>
    <n v="1"/>
    <s v="No"/>
    <x v="2"/>
    <x v="3"/>
    <x v="3"/>
    <n v="0"/>
  </r>
  <r>
    <n v="1093"/>
    <n v="60"/>
    <x v="0"/>
    <x v="3"/>
    <s v="HR Manager"/>
    <s v="Marketing"/>
    <s v="Single"/>
    <s v="Non-Travel"/>
    <n v="3"/>
    <n v="15618"/>
    <x v="0"/>
    <x v="0"/>
    <n v="1"/>
    <n v="15"/>
    <n v="14"/>
    <n v="33"/>
    <s v="No"/>
    <x v="1"/>
    <x v="1"/>
    <x v="0"/>
    <n v="0"/>
  </r>
  <r>
    <n v="1552"/>
    <n v="49"/>
    <x v="1"/>
    <x v="3"/>
    <s v="HR Specialist"/>
    <s v="Medical"/>
    <s v="Married"/>
    <s v="Travel_Rarely"/>
    <n v="5"/>
    <n v="7838"/>
    <x v="0"/>
    <x v="1"/>
    <n v="2"/>
    <n v="3"/>
    <n v="0"/>
    <n v="18"/>
    <s v="No"/>
    <x v="3"/>
    <x v="1"/>
    <x v="0"/>
    <n v="0"/>
  </r>
  <r>
    <n v="1050"/>
    <n v="53"/>
    <x v="0"/>
    <x v="2"/>
    <s v="Software Engineer"/>
    <s v="Other"/>
    <s v="Single"/>
    <s v="Travel_Frequently"/>
    <n v="24"/>
    <n v="11970"/>
    <x v="0"/>
    <x v="0"/>
    <n v="1"/>
    <n v="9"/>
    <n v="9"/>
    <n v="21"/>
    <s v="Yes"/>
    <x v="0"/>
    <x v="1"/>
    <x v="0"/>
    <n v="1"/>
  </r>
  <r>
    <n v="1374"/>
    <n v="59"/>
    <x v="1"/>
    <x v="2"/>
    <s v="Software Engineer"/>
    <s v="Medical"/>
    <s v="Married"/>
    <s v="Travel_Frequently"/>
    <n v="9"/>
    <n v="13110"/>
    <x v="0"/>
    <x v="1"/>
    <n v="2"/>
    <n v="10"/>
    <n v="5"/>
    <n v="39"/>
    <s v="No"/>
    <x v="1"/>
    <x v="1"/>
    <x v="0"/>
    <n v="0"/>
  </r>
  <r>
    <n v="1678"/>
    <n v="20"/>
    <x v="1"/>
    <x v="4"/>
    <s v="Financial Analyst"/>
    <s v="Life Sciences"/>
    <s v="Single"/>
    <s v="Travel_Rarely"/>
    <n v="6"/>
    <n v="8110"/>
    <x v="0"/>
    <x v="2"/>
    <n v="1"/>
    <n v="0"/>
    <n v="0"/>
    <n v="0"/>
    <s v="No"/>
    <x v="2"/>
    <x v="3"/>
    <x v="0"/>
    <n v="0"/>
  </r>
  <r>
    <n v="1038"/>
    <n v="57"/>
    <x v="1"/>
    <x v="0"/>
    <s v="Sales Representative"/>
    <s v="Marketing"/>
    <s v="Married"/>
    <s v="Travel_Rarely"/>
    <n v="13"/>
    <n v="10650"/>
    <x v="1"/>
    <x v="2"/>
    <n v="2"/>
    <n v="20"/>
    <n v="13"/>
    <n v="31"/>
    <s v="No"/>
    <x v="1"/>
    <x v="1"/>
    <x v="0"/>
    <n v="0"/>
  </r>
  <r>
    <n v="1201"/>
    <n v="27"/>
    <x v="1"/>
    <x v="0"/>
    <s v="Sales Representative"/>
    <s v="Marketing"/>
    <s v="Divorced"/>
    <s v="Non-Travel"/>
    <n v="17"/>
    <n v="5401"/>
    <x v="0"/>
    <x v="0"/>
    <n v="1"/>
    <n v="3"/>
    <n v="2"/>
    <n v="3"/>
    <s v="No"/>
    <x v="3"/>
    <x v="0"/>
    <x v="3"/>
    <n v="0"/>
  </r>
  <r>
    <n v="1790"/>
    <n v="59"/>
    <x v="1"/>
    <x v="4"/>
    <s v="Finance Manager"/>
    <s v="Other"/>
    <s v="Divorced"/>
    <s v="Non-Travel"/>
    <n v="11"/>
    <n v="16653"/>
    <x v="0"/>
    <x v="2"/>
    <n v="1"/>
    <n v="0"/>
    <n v="0"/>
    <n v="31"/>
    <s v="No"/>
    <x v="2"/>
    <x v="1"/>
    <x v="0"/>
    <n v="0"/>
  </r>
  <r>
    <n v="1225"/>
    <n v="30"/>
    <x v="1"/>
    <x v="2"/>
    <s v="Software Engineer"/>
    <s v="Life Sciences"/>
    <s v="Married"/>
    <s v="Non-Travel"/>
    <n v="4"/>
    <n v="6855"/>
    <x v="0"/>
    <x v="0"/>
    <n v="1"/>
    <n v="0"/>
    <n v="0"/>
    <n v="0"/>
    <s v="Yes"/>
    <x v="2"/>
    <x v="0"/>
    <x v="2"/>
    <n v="1"/>
  </r>
  <r>
    <n v="1583"/>
    <n v="32"/>
    <x v="1"/>
    <x v="4"/>
    <s v="Accountant"/>
    <s v="Technical Degree"/>
    <s v="Divorced"/>
    <s v="Non-Travel"/>
    <n v="27"/>
    <n v="6702"/>
    <x v="0"/>
    <x v="1"/>
    <n v="4"/>
    <n v="1"/>
    <n v="0"/>
    <n v="7"/>
    <s v="Yes"/>
    <x v="2"/>
    <x v="0"/>
    <x v="2"/>
    <n v="1"/>
  </r>
  <r>
    <n v="1845"/>
    <n v="28"/>
    <x v="1"/>
    <x v="0"/>
    <s v="Sales Executive"/>
    <s v="Human Resources"/>
    <s v="Married"/>
    <s v="Travel_Frequently"/>
    <n v="8"/>
    <n v="4146"/>
    <x v="0"/>
    <x v="2"/>
    <n v="1"/>
    <n v="0"/>
    <n v="0"/>
    <n v="0"/>
    <s v="Yes"/>
    <x v="2"/>
    <x v="0"/>
    <x v="3"/>
    <n v="1"/>
  </r>
  <r>
    <n v="1853"/>
    <n v="29"/>
    <x v="0"/>
    <x v="1"/>
    <s v="Research Director"/>
    <s v="Life Sciences"/>
    <s v="Divorced"/>
    <s v="Non-Travel"/>
    <n v="7"/>
    <n v="7663"/>
    <x v="1"/>
    <x v="0"/>
    <n v="2"/>
    <n v="1"/>
    <n v="1"/>
    <n v="4"/>
    <s v="No"/>
    <x v="2"/>
    <x v="0"/>
    <x v="0"/>
    <n v="0"/>
  </r>
  <r>
    <n v="1267"/>
    <n v="57"/>
    <x v="1"/>
    <x v="2"/>
    <s v="IT Manager"/>
    <s v="Medical"/>
    <s v="Divorced"/>
    <s v="Travel_Rarely"/>
    <n v="20"/>
    <n v="14638"/>
    <x v="0"/>
    <x v="3"/>
    <n v="1"/>
    <n v="5"/>
    <n v="5"/>
    <n v="27"/>
    <s v="No"/>
    <x v="0"/>
    <x v="1"/>
    <x v="0"/>
    <n v="0"/>
  </r>
  <r>
    <n v="1276"/>
    <n v="34"/>
    <x v="0"/>
    <x v="1"/>
    <s v="Research Director"/>
    <s v="Human Resources"/>
    <s v="Single"/>
    <s v="Non-Travel"/>
    <n v="27"/>
    <n v="10238"/>
    <x v="0"/>
    <x v="3"/>
    <n v="4"/>
    <n v="5"/>
    <n v="2"/>
    <n v="14"/>
    <s v="No"/>
    <x v="0"/>
    <x v="0"/>
    <x v="0"/>
    <n v="0"/>
  </r>
  <r>
    <n v="1235"/>
    <n v="35"/>
    <x v="1"/>
    <x v="4"/>
    <s v="Accountant"/>
    <s v="Human Resources"/>
    <s v="Divorced"/>
    <s v="Non-Travel"/>
    <n v="27"/>
    <n v="9084"/>
    <x v="0"/>
    <x v="0"/>
    <n v="3"/>
    <n v="8"/>
    <n v="5"/>
    <n v="15"/>
    <s v="No"/>
    <x v="0"/>
    <x v="0"/>
    <x v="0"/>
    <n v="0"/>
  </r>
  <r>
    <n v="1773"/>
    <n v="56"/>
    <x v="0"/>
    <x v="1"/>
    <s v="Laboratory Technician"/>
    <s v="Human Resources"/>
    <s v="Married"/>
    <s v="Travel_Frequently"/>
    <n v="9"/>
    <n v="9485"/>
    <x v="1"/>
    <x v="1"/>
    <n v="2"/>
    <n v="6"/>
    <n v="1"/>
    <n v="21"/>
    <s v="No"/>
    <x v="0"/>
    <x v="1"/>
    <x v="0"/>
    <n v="0"/>
  </r>
  <r>
    <n v="1262"/>
    <n v="45"/>
    <x v="0"/>
    <x v="1"/>
    <s v="Healthcare Representative"/>
    <s v="Human Resources"/>
    <s v="Divorced"/>
    <s v="Non-Travel"/>
    <n v="4"/>
    <n v="8862"/>
    <x v="0"/>
    <x v="1"/>
    <n v="4"/>
    <n v="14"/>
    <n v="12"/>
    <n v="21"/>
    <s v="No"/>
    <x v="1"/>
    <x v="2"/>
    <x v="0"/>
    <n v="0"/>
  </r>
  <r>
    <n v="1948"/>
    <n v="43"/>
    <x v="1"/>
    <x v="4"/>
    <s v="Financial Analyst"/>
    <s v="Other"/>
    <s v="Single"/>
    <s v="Travel_Rarely"/>
    <n v="11"/>
    <n v="9996"/>
    <x v="0"/>
    <x v="1"/>
    <n v="2"/>
    <n v="9"/>
    <n v="6"/>
    <n v="21"/>
    <s v="No"/>
    <x v="0"/>
    <x v="2"/>
    <x v="0"/>
    <n v="0"/>
  </r>
  <r>
    <n v="1092"/>
    <n v="31"/>
    <x v="1"/>
    <x v="0"/>
    <s v="Sales Executive"/>
    <s v="Marketing"/>
    <s v="Divorced"/>
    <s v="Travel_Frequently"/>
    <n v="19"/>
    <n v="3780"/>
    <x v="0"/>
    <x v="3"/>
    <n v="4"/>
    <n v="0"/>
    <n v="0"/>
    <n v="0"/>
    <s v="No"/>
    <x v="2"/>
    <x v="0"/>
    <x v="3"/>
    <n v="0"/>
  </r>
  <r>
    <n v="1763"/>
    <n v="43"/>
    <x v="1"/>
    <x v="1"/>
    <s v="Research Director"/>
    <s v="Marketing"/>
    <s v="Single"/>
    <s v="Travel_Rarely"/>
    <n v="28"/>
    <n v="13395"/>
    <x v="0"/>
    <x v="0"/>
    <n v="3"/>
    <n v="0"/>
    <n v="0"/>
    <n v="18"/>
    <s v="Yes"/>
    <x v="2"/>
    <x v="2"/>
    <x v="0"/>
    <n v="1"/>
  </r>
  <r>
    <n v="1736"/>
    <n v="33"/>
    <x v="1"/>
    <x v="2"/>
    <s v="Data Analyst"/>
    <s v="Business"/>
    <s v="Married"/>
    <s v="Travel_Frequently"/>
    <n v="24"/>
    <n v="6276"/>
    <x v="0"/>
    <x v="3"/>
    <n v="3"/>
    <n v="1"/>
    <n v="0"/>
    <n v="2"/>
    <s v="No"/>
    <x v="2"/>
    <x v="0"/>
    <x v="2"/>
    <n v="0"/>
  </r>
  <r>
    <n v="1988"/>
    <n v="43"/>
    <x v="0"/>
    <x v="0"/>
    <s v="Sales Manager"/>
    <s v="Medical"/>
    <s v="Married"/>
    <s v="Non-Travel"/>
    <n v="12"/>
    <n v="10212"/>
    <x v="0"/>
    <x v="2"/>
    <n v="2"/>
    <n v="10"/>
    <n v="10"/>
    <n v="18"/>
    <s v="No"/>
    <x v="1"/>
    <x v="2"/>
    <x v="0"/>
    <n v="0"/>
  </r>
  <r>
    <n v="1503"/>
    <n v="52"/>
    <x v="1"/>
    <x v="0"/>
    <s v="Sales Executive"/>
    <s v="Medical"/>
    <s v="Divorced"/>
    <s v="Travel_Frequently"/>
    <n v="29"/>
    <n v="11194"/>
    <x v="1"/>
    <x v="2"/>
    <n v="1"/>
    <n v="14"/>
    <n v="2"/>
    <n v="32"/>
    <s v="No"/>
    <x v="1"/>
    <x v="1"/>
    <x v="0"/>
    <n v="0"/>
  </r>
  <r>
    <n v="1021"/>
    <n v="48"/>
    <x v="1"/>
    <x v="1"/>
    <s v="Laboratory Technician"/>
    <s v="Business"/>
    <s v="Divorced"/>
    <s v="Travel_Frequently"/>
    <n v="5"/>
    <n v="8572"/>
    <x v="0"/>
    <x v="0"/>
    <n v="1"/>
    <n v="19"/>
    <n v="16"/>
    <n v="27"/>
    <s v="No"/>
    <x v="1"/>
    <x v="1"/>
    <x v="0"/>
    <n v="0"/>
  </r>
  <r>
    <n v="1391"/>
    <n v="20"/>
    <x v="1"/>
    <x v="4"/>
    <s v="Finance Manager"/>
    <s v="Business"/>
    <s v="Divorced"/>
    <s v="Travel_Frequently"/>
    <n v="18"/>
    <n v="8321"/>
    <x v="0"/>
    <x v="0"/>
    <n v="1"/>
    <n v="0"/>
    <n v="0"/>
    <n v="0"/>
    <s v="No"/>
    <x v="2"/>
    <x v="3"/>
    <x v="0"/>
    <n v="0"/>
  </r>
  <r>
    <n v="1369"/>
    <n v="55"/>
    <x v="1"/>
    <x v="3"/>
    <s v="HR Specialist"/>
    <s v="Business"/>
    <s v="Divorced"/>
    <s v="Travel_Frequently"/>
    <n v="2"/>
    <n v="11959"/>
    <x v="0"/>
    <x v="3"/>
    <n v="1"/>
    <n v="6"/>
    <n v="0"/>
    <n v="29"/>
    <s v="Yes"/>
    <x v="0"/>
    <x v="1"/>
    <x v="0"/>
    <n v="1"/>
  </r>
  <r>
    <n v="1354"/>
    <n v="20"/>
    <x v="0"/>
    <x v="0"/>
    <s v="Sales Manager"/>
    <s v="Life Sciences"/>
    <s v="Married"/>
    <s v="Travel_Frequently"/>
    <n v="29"/>
    <n v="9536"/>
    <x v="0"/>
    <x v="1"/>
    <n v="1"/>
    <n v="0"/>
    <n v="0"/>
    <n v="0"/>
    <s v="No"/>
    <x v="2"/>
    <x v="3"/>
    <x v="0"/>
    <n v="0"/>
  </r>
  <r>
    <n v="1399"/>
    <n v="37"/>
    <x v="1"/>
    <x v="0"/>
    <s v="Sales Representative"/>
    <s v="Life Sciences"/>
    <s v="Married"/>
    <s v="Non-Travel"/>
    <n v="9"/>
    <n v="7355"/>
    <x v="0"/>
    <x v="2"/>
    <n v="3"/>
    <n v="1"/>
    <n v="0"/>
    <n v="13"/>
    <s v="No"/>
    <x v="2"/>
    <x v="2"/>
    <x v="2"/>
    <n v="0"/>
  </r>
  <r>
    <n v="1023"/>
    <n v="28"/>
    <x v="1"/>
    <x v="0"/>
    <s v="Sales Representative"/>
    <s v="Technical Degree"/>
    <s v="Single"/>
    <s v="Travel_Rarely"/>
    <n v="23"/>
    <n v="4551"/>
    <x v="0"/>
    <x v="1"/>
    <n v="1"/>
    <n v="1"/>
    <n v="1"/>
    <n v="1"/>
    <s v="No"/>
    <x v="2"/>
    <x v="0"/>
    <x v="3"/>
    <n v="0"/>
  </r>
  <r>
    <n v="1464"/>
    <n v="49"/>
    <x v="1"/>
    <x v="2"/>
    <s v="IT Manager"/>
    <s v="Other"/>
    <s v="Single"/>
    <s v="Travel_Frequently"/>
    <n v="23"/>
    <n v="14835"/>
    <x v="1"/>
    <x v="2"/>
    <n v="4"/>
    <n v="21"/>
    <n v="9"/>
    <n v="28"/>
    <s v="No"/>
    <x v="1"/>
    <x v="1"/>
    <x v="0"/>
    <n v="0"/>
  </r>
  <r>
    <n v="1983"/>
    <n v="56"/>
    <x v="1"/>
    <x v="1"/>
    <s v="Healthcare Representative"/>
    <s v="Medical"/>
    <s v="Single"/>
    <s v="Non-Travel"/>
    <n v="14"/>
    <n v="11567"/>
    <x v="1"/>
    <x v="2"/>
    <n v="3"/>
    <n v="11"/>
    <n v="3"/>
    <n v="34"/>
    <s v="No"/>
    <x v="1"/>
    <x v="1"/>
    <x v="0"/>
    <n v="0"/>
  </r>
  <r>
    <n v="1917"/>
    <n v="27"/>
    <x v="0"/>
    <x v="3"/>
    <s v="HR Manager"/>
    <s v="Medical"/>
    <s v="Married"/>
    <s v="Non-Travel"/>
    <n v="11"/>
    <n v="9022"/>
    <x v="1"/>
    <x v="2"/>
    <n v="4"/>
    <n v="1"/>
    <n v="1"/>
    <n v="1"/>
    <s v="Yes"/>
    <x v="2"/>
    <x v="0"/>
    <x v="0"/>
    <n v="1"/>
  </r>
  <r>
    <n v="1966"/>
    <n v="21"/>
    <x v="1"/>
    <x v="4"/>
    <s v="Financial Analyst"/>
    <s v="Marketing"/>
    <s v="Married"/>
    <s v="Travel_Frequently"/>
    <n v="29"/>
    <n v="6374"/>
    <x v="0"/>
    <x v="0"/>
    <n v="2"/>
    <n v="0"/>
    <n v="0"/>
    <n v="0"/>
    <s v="Yes"/>
    <x v="2"/>
    <x v="3"/>
    <x v="2"/>
    <n v="1"/>
  </r>
  <r>
    <n v="1797"/>
    <n v="29"/>
    <x v="1"/>
    <x v="3"/>
    <s v="HR Manager"/>
    <s v="Marketing"/>
    <s v="Divorced"/>
    <s v="Travel_Frequently"/>
    <n v="13"/>
    <n v="6365"/>
    <x v="1"/>
    <x v="2"/>
    <n v="2"/>
    <n v="1"/>
    <n v="0"/>
    <n v="9"/>
    <s v="No"/>
    <x v="2"/>
    <x v="0"/>
    <x v="2"/>
    <n v="0"/>
  </r>
  <r>
    <n v="1389"/>
    <n v="58"/>
    <x v="1"/>
    <x v="0"/>
    <s v="Sales Executive"/>
    <s v="Other"/>
    <s v="Single"/>
    <s v="Non-Travel"/>
    <n v="29"/>
    <n v="9965"/>
    <x v="0"/>
    <x v="3"/>
    <n v="2"/>
    <n v="15"/>
    <n v="1"/>
    <n v="34"/>
    <s v="No"/>
    <x v="1"/>
    <x v="1"/>
    <x v="0"/>
    <n v="0"/>
  </r>
  <r>
    <n v="1660"/>
    <n v="35"/>
    <x v="1"/>
    <x v="1"/>
    <s v="Laboratory Technician"/>
    <s v="Life Sciences"/>
    <s v="Single"/>
    <s v="Non-Travel"/>
    <n v="29"/>
    <n v="9038"/>
    <x v="1"/>
    <x v="1"/>
    <n v="3"/>
    <n v="3"/>
    <n v="0"/>
    <n v="15"/>
    <s v="No"/>
    <x v="3"/>
    <x v="0"/>
    <x v="0"/>
    <n v="0"/>
  </r>
  <r>
    <n v="1298"/>
    <n v="58"/>
    <x v="1"/>
    <x v="1"/>
    <s v="Laboratory Technician"/>
    <s v="Technical Degree"/>
    <s v="Single"/>
    <s v="Travel_Frequently"/>
    <n v="5"/>
    <n v="13345"/>
    <x v="0"/>
    <x v="1"/>
    <n v="1"/>
    <n v="19"/>
    <n v="19"/>
    <n v="38"/>
    <s v="No"/>
    <x v="1"/>
    <x v="1"/>
    <x v="0"/>
    <n v="0"/>
  </r>
  <r>
    <n v="1255"/>
    <n v="25"/>
    <x v="1"/>
    <x v="0"/>
    <s v="Sales Executive"/>
    <s v="Human Resources"/>
    <s v="Single"/>
    <s v="Travel_Rarely"/>
    <n v="4"/>
    <n v="4631"/>
    <x v="0"/>
    <x v="1"/>
    <n v="1"/>
    <n v="5"/>
    <n v="3"/>
    <n v="5"/>
    <s v="No"/>
    <x v="0"/>
    <x v="3"/>
    <x v="3"/>
    <n v="0"/>
  </r>
  <r>
    <n v="1281"/>
    <n v="57"/>
    <x v="1"/>
    <x v="3"/>
    <s v="HR Specialist"/>
    <s v="Marketing"/>
    <s v="Married"/>
    <s v="Travel_Rarely"/>
    <n v="10"/>
    <n v="12226"/>
    <x v="0"/>
    <x v="0"/>
    <n v="3"/>
    <n v="11"/>
    <n v="8"/>
    <n v="37"/>
    <s v="No"/>
    <x v="1"/>
    <x v="1"/>
    <x v="0"/>
    <n v="0"/>
  </r>
  <r>
    <n v="1415"/>
    <n v="23"/>
    <x v="0"/>
    <x v="0"/>
    <s v="Sales Manager"/>
    <s v="Technical Degree"/>
    <s v="Divorced"/>
    <s v="Non-Travel"/>
    <n v="4"/>
    <n v="7776"/>
    <x v="0"/>
    <x v="3"/>
    <n v="1"/>
    <n v="0"/>
    <n v="0"/>
    <n v="3"/>
    <s v="Yes"/>
    <x v="2"/>
    <x v="3"/>
    <x v="0"/>
    <n v="1"/>
  </r>
  <r>
    <n v="1362"/>
    <n v="33"/>
    <x v="0"/>
    <x v="2"/>
    <s v="Software Engineer"/>
    <s v="Human Resources"/>
    <s v="Married"/>
    <s v="Travel_Frequently"/>
    <n v="25"/>
    <n v="9733"/>
    <x v="0"/>
    <x v="2"/>
    <n v="2"/>
    <n v="7"/>
    <n v="7"/>
    <n v="13"/>
    <s v="Yes"/>
    <x v="0"/>
    <x v="0"/>
    <x v="0"/>
    <n v="1"/>
  </r>
  <r>
    <n v="1322"/>
    <n v="53"/>
    <x v="1"/>
    <x v="0"/>
    <s v="Sales Representative"/>
    <s v="Human Resources"/>
    <s v="Single"/>
    <s v="Non-Travel"/>
    <n v="24"/>
    <n v="9838"/>
    <x v="1"/>
    <x v="2"/>
    <n v="3"/>
    <n v="8"/>
    <n v="2"/>
    <n v="29"/>
    <s v="No"/>
    <x v="0"/>
    <x v="1"/>
    <x v="0"/>
    <n v="0"/>
  </r>
  <r>
    <n v="1224"/>
    <n v="44"/>
    <x v="0"/>
    <x v="2"/>
    <s v="Data Analyst"/>
    <s v="Other"/>
    <s v="Divorced"/>
    <s v="Travel_Frequently"/>
    <n v="4"/>
    <n v="9352"/>
    <x v="0"/>
    <x v="2"/>
    <n v="3"/>
    <n v="5"/>
    <n v="3"/>
    <n v="15"/>
    <s v="No"/>
    <x v="0"/>
    <x v="2"/>
    <x v="0"/>
    <n v="0"/>
  </r>
  <r>
    <n v="1213"/>
    <n v="27"/>
    <x v="0"/>
    <x v="0"/>
    <s v="Sales Representative"/>
    <s v="Medical"/>
    <s v="Single"/>
    <s v="Non-Travel"/>
    <n v="22"/>
    <n v="6872"/>
    <x v="1"/>
    <x v="2"/>
    <n v="4"/>
    <n v="2"/>
    <n v="2"/>
    <n v="7"/>
    <s v="No"/>
    <x v="3"/>
    <x v="0"/>
    <x v="2"/>
    <n v="0"/>
  </r>
  <r>
    <n v="1414"/>
    <n v="54"/>
    <x v="1"/>
    <x v="2"/>
    <s v="IT Manager"/>
    <s v="Human Resources"/>
    <s v="Divorced"/>
    <s v="Non-Travel"/>
    <n v="20"/>
    <n v="17023"/>
    <x v="0"/>
    <x v="2"/>
    <n v="1"/>
    <n v="2"/>
    <n v="0"/>
    <n v="33"/>
    <s v="Yes"/>
    <x v="3"/>
    <x v="1"/>
    <x v="0"/>
    <n v="1"/>
  </r>
  <r>
    <n v="1173"/>
    <n v="48"/>
    <x v="0"/>
    <x v="2"/>
    <s v="Data Analyst"/>
    <s v="Human Resources"/>
    <s v="Single"/>
    <s v="Non-Travel"/>
    <n v="26"/>
    <n v="11046"/>
    <x v="0"/>
    <x v="1"/>
    <n v="3"/>
    <n v="12"/>
    <n v="8"/>
    <n v="28"/>
    <s v="No"/>
    <x v="1"/>
    <x v="1"/>
    <x v="0"/>
    <n v="0"/>
  </r>
  <r>
    <n v="1387"/>
    <n v="54"/>
    <x v="1"/>
    <x v="0"/>
    <s v="Sales Representative"/>
    <s v="Technical Degree"/>
    <s v="Married"/>
    <s v="Travel_Rarely"/>
    <n v="7"/>
    <n v="9794"/>
    <x v="1"/>
    <x v="2"/>
    <n v="4"/>
    <n v="7"/>
    <n v="3"/>
    <n v="23"/>
    <s v="No"/>
    <x v="0"/>
    <x v="1"/>
    <x v="0"/>
    <n v="0"/>
  </r>
  <r>
    <n v="1080"/>
    <n v="44"/>
    <x v="0"/>
    <x v="3"/>
    <s v="HR Manager"/>
    <s v="Technical Degree"/>
    <s v="Divorced"/>
    <s v="Non-Travel"/>
    <n v="21"/>
    <n v="12561"/>
    <x v="0"/>
    <x v="1"/>
    <n v="1"/>
    <n v="14"/>
    <n v="8"/>
    <n v="24"/>
    <s v="No"/>
    <x v="1"/>
    <x v="2"/>
    <x v="0"/>
    <n v="0"/>
  </r>
  <r>
    <n v="1148"/>
    <n v="59"/>
    <x v="1"/>
    <x v="2"/>
    <s v="IT Manager"/>
    <s v="Human Resources"/>
    <s v="Divorced"/>
    <s v="Non-Travel"/>
    <n v="2"/>
    <n v="13190"/>
    <x v="1"/>
    <x v="3"/>
    <n v="1"/>
    <n v="0"/>
    <n v="0"/>
    <n v="36"/>
    <s v="Yes"/>
    <x v="2"/>
    <x v="1"/>
    <x v="0"/>
    <n v="1"/>
  </r>
  <r>
    <n v="1382"/>
    <n v="27"/>
    <x v="0"/>
    <x v="0"/>
    <s v="Sales Representative"/>
    <s v="Technical Degree"/>
    <s v="Single"/>
    <s v="Non-Travel"/>
    <n v="23"/>
    <n v="6647"/>
    <x v="1"/>
    <x v="0"/>
    <n v="3"/>
    <n v="1"/>
    <n v="0"/>
    <n v="7"/>
    <s v="No"/>
    <x v="2"/>
    <x v="0"/>
    <x v="2"/>
    <n v="0"/>
  </r>
  <r>
    <n v="1648"/>
    <n v="33"/>
    <x v="1"/>
    <x v="1"/>
    <s v="Research Director"/>
    <s v="Business"/>
    <s v="Divorced"/>
    <s v="Travel_Frequently"/>
    <n v="15"/>
    <n v="10057"/>
    <x v="1"/>
    <x v="1"/>
    <n v="2"/>
    <n v="1"/>
    <n v="0"/>
    <n v="7"/>
    <s v="No"/>
    <x v="2"/>
    <x v="0"/>
    <x v="0"/>
    <n v="0"/>
  </r>
  <r>
    <n v="1453"/>
    <n v="24"/>
    <x v="1"/>
    <x v="2"/>
    <s v="Data Analyst"/>
    <s v="Marketing"/>
    <s v="Single"/>
    <s v="Travel_Rarely"/>
    <n v="17"/>
    <n v="7009"/>
    <x v="0"/>
    <x v="1"/>
    <n v="1"/>
    <n v="3"/>
    <n v="0"/>
    <n v="4"/>
    <s v="No"/>
    <x v="3"/>
    <x v="3"/>
    <x v="2"/>
    <n v="0"/>
  </r>
  <r>
    <n v="1904"/>
    <n v="42"/>
    <x v="1"/>
    <x v="1"/>
    <s v="Research Director"/>
    <s v="Other"/>
    <s v="Single"/>
    <s v="Non-Travel"/>
    <n v="21"/>
    <n v="12705"/>
    <x v="0"/>
    <x v="0"/>
    <n v="4"/>
    <n v="14"/>
    <n v="12"/>
    <n v="21"/>
    <s v="No"/>
    <x v="1"/>
    <x v="2"/>
    <x v="0"/>
    <n v="0"/>
  </r>
  <r>
    <n v="1974"/>
    <n v="52"/>
    <x v="1"/>
    <x v="1"/>
    <s v="Research Scientist"/>
    <s v="Human Resources"/>
    <s v="Single"/>
    <s v="Non-Travel"/>
    <n v="17"/>
    <n v="12125"/>
    <x v="1"/>
    <x v="1"/>
    <n v="2"/>
    <n v="4"/>
    <n v="3"/>
    <n v="32"/>
    <s v="Yes"/>
    <x v="3"/>
    <x v="1"/>
    <x v="0"/>
    <n v="1"/>
  </r>
  <r>
    <n v="1512"/>
    <n v="25"/>
    <x v="1"/>
    <x v="3"/>
    <s v="HR Manager"/>
    <s v="Marketing"/>
    <s v="Married"/>
    <s v="Non-Travel"/>
    <n v="14"/>
    <n v="7661"/>
    <x v="1"/>
    <x v="3"/>
    <n v="4"/>
    <n v="0"/>
    <n v="0"/>
    <n v="0"/>
    <s v="No"/>
    <x v="2"/>
    <x v="3"/>
    <x v="0"/>
    <n v="0"/>
  </r>
  <r>
    <n v="1330"/>
    <n v="32"/>
    <x v="1"/>
    <x v="1"/>
    <s v="Laboratory Technician"/>
    <s v="Business"/>
    <s v="Single"/>
    <s v="Travel_Rarely"/>
    <n v="15"/>
    <n v="6932"/>
    <x v="0"/>
    <x v="1"/>
    <n v="2"/>
    <n v="6"/>
    <n v="6"/>
    <n v="11"/>
    <s v="No"/>
    <x v="0"/>
    <x v="0"/>
    <x v="2"/>
    <n v="0"/>
  </r>
  <r>
    <n v="1827"/>
    <n v="34"/>
    <x v="0"/>
    <x v="4"/>
    <s v="Financial Analyst"/>
    <s v="Business"/>
    <s v="Divorced"/>
    <s v="Non-Travel"/>
    <n v="25"/>
    <n v="7482"/>
    <x v="0"/>
    <x v="0"/>
    <n v="1"/>
    <n v="3"/>
    <n v="2"/>
    <n v="12"/>
    <s v="No"/>
    <x v="3"/>
    <x v="0"/>
    <x v="2"/>
    <n v="0"/>
  </r>
  <r>
    <n v="1537"/>
    <n v="26"/>
    <x v="0"/>
    <x v="4"/>
    <s v="Finance Manager"/>
    <s v="Other"/>
    <s v="Single"/>
    <s v="Travel_Rarely"/>
    <n v="21"/>
    <n v="11540"/>
    <x v="1"/>
    <x v="2"/>
    <n v="4"/>
    <n v="0"/>
    <n v="0"/>
    <n v="2"/>
    <s v="No"/>
    <x v="2"/>
    <x v="0"/>
    <x v="0"/>
    <n v="0"/>
  </r>
  <r>
    <n v="1691"/>
    <n v="47"/>
    <x v="1"/>
    <x v="1"/>
    <s v="Research Director"/>
    <s v="Human Resources"/>
    <s v="Divorced"/>
    <s v="Travel_Frequently"/>
    <n v="14"/>
    <n v="10533"/>
    <x v="0"/>
    <x v="1"/>
    <n v="1"/>
    <n v="3"/>
    <n v="0"/>
    <n v="17"/>
    <s v="Yes"/>
    <x v="3"/>
    <x v="1"/>
    <x v="0"/>
    <n v="1"/>
  </r>
  <r>
    <n v="1504"/>
    <n v="59"/>
    <x v="1"/>
    <x v="1"/>
    <s v="Healthcare Representative"/>
    <s v="Human Resources"/>
    <s v="Single"/>
    <s v="Travel_Rarely"/>
    <n v="20"/>
    <n v="10884"/>
    <x v="0"/>
    <x v="3"/>
    <n v="1"/>
    <n v="25"/>
    <n v="5"/>
    <n v="36"/>
    <s v="No"/>
    <x v="1"/>
    <x v="1"/>
    <x v="0"/>
    <n v="0"/>
  </r>
  <r>
    <n v="1737"/>
    <n v="24"/>
    <x v="1"/>
    <x v="2"/>
    <s v="Data Analyst"/>
    <s v="Marketing"/>
    <s v="Married"/>
    <s v="Non-Travel"/>
    <n v="1"/>
    <n v="6820"/>
    <x v="1"/>
    <x v="3"/>
    <n v="2"/>
    <n v="0"/>
    <n v="0"/>
    <n v="4"/>
    <s v="No"/>
    <x v="2"/>
    <x v="3"/>
    <x v="2"/>
    <n v="0"/>
  </r>
  <r>
    <n v="1279"/>
    <n v="33"/>
    <x v="0"/>
    <x v="0"/>
    <s v="Sales Manager"/>
    <s v="Business"/>
    <s v="Single"/>
    <s v="Non-Travel"/>
    <n v="23"/>
    <n v="9756"/>
    <x v="1"/>
    <x v="1"/>
    <n v="2"/>
    <n v="1"/>
    <n v="0"/>
    <n v="12"/>
    <s v="Yes"/>
    <x v="2"/>
    <x v="0"/>
    <x v="0"/>
    <n v="1"/>
  </r>
  <r>
    <n v="1881"/>
    <n v="22"/>
    <x v="1"/>
    <x v="2"/>
    <s v="IT Support"/>
    <s v="Business"/>
    <s v="Divorced"/>
    <s v="Non-Travel"/>
    <n v="16"/>
    <n v="6919"/>
    <x v="1"/>
    <x v="3"/>
    <n v="2"/>
    <n v="0"/>
    <n v="0"/>
    <n v="0"/>
    <s v="No"/>
    <x v="2"/>
    <x v="3"/>
    <x v="2"/>
    <n v="0"/>
  </r>
  <r>
    <n v="1650"/>
    <n v="30"/>
    <x v="1"/>
    <x v="1"/>
    <s v="Research Scientist"/>
    <s v="Human Resources"/>
    <s v="Single"/>
    <s v="Travel_Frequently"/>
    <n v="2"/>
    <n v="4338"/>
    <x v="0"/>
    <x v="0"/>
    <n v="1"/>
    <n v="0"/>
    <n v="0"/>
    <n v="0"/>
    <s v="No"/>
    <x v="2"/>
    <x v="0"/>
    <x v="3"/>
    <n v="0"/>
  </r>
  <r>
    <n v="1390"/>
    <n v="54"/>
    <x v="1"/>
    <x v="2"/>
    <s v="IT Manager"/>
    <s v="Marketing"/>
    <s v="Divorced"/>
    <s v="Travel_Rarely"/>
    <n v="22"/>
    <n v="16510"/>
    <x v="0"/>
    <x v="0"/>
    <n v="3"/>
    <n v="14"/>
    <n v="3"/>
    <n v="28"/>
    <s v="No"/>
    <x v="1"/>
    <x v="1"/>
    <x v="0"/>
    <n v="0"/>
  </r>
  <r>
    <n v="1394"/>
    <n v="25"/>
    <x v="1"/>
    <x v="1"/>
    <s v="Laboratory Technician"/>
    <s v="Life Sciences"/>
    <s v="Single"/>
    <s v="Travel_Rarely"/>
    <n v="15"/>
    <n v="8424"/>
    <x v="0"/>
    <x v="2"/>
    <n v="4"/>
    <n v="3"/>
    <n v="3"/>
    <n v="5"/>
    <s v="No"/>
    <x v="3"/>
    <x v="3"/>
    <x v="0"/>
    <n v="0"/>
  </r>
  <r>
    <n v="1154"/>
    <n v="35"/>
    <x v="0"/>
    <x v="2"/>
    <s v="IT Manager"/>
    <s v="Medical"/>
    <s v="Married"/>
    <s v="Travel_Frequently"/>
    <n v="21"/>
    <n v="8982"/>
    <x v="0"/>
    <x v="0"/>
    <n v="4"/>
    <n v="6"/>
    <n v="1"/>
    <n v="8"/>
    <s v="No"/>
    <x v="0"/>
    <x v="0"/>
    <x v="0"/>
    <n v="0"/>
  </r>
  <r>
    <n v="1454"/>
    <n v="20"/>
    <x v="1"/>
    <x v="0"/>
    <s v="Sales Representative"/>
    <s v="Other"/>
    <s v="Divorced"/>
    <s v="Travel_Rarely"/>
    <n v="1"/>
    <n v="2756"/>
    <x v="0"/>
    <x v="3"/>
    <n v="2"/>
    <n v="0"/>
    <n v="0"/>
    <n v="0"/>
    <s v="Yes"/>
    <x v="2"/>
    <x v="3"/>
    <x v="1"/>
    <n v="1"/>
  </r>
  <r>
    <n v="1455"/>
    <n v="42"/>
    <x v="1"/>
    <x v="4"/>
    <s v="Accountant"/>
    <s v="Medical"/>
    <s v="Single"/>
    <s v="Travel_Frequently"/>
    <n v="23"/>
    <n v="11076"/>
    <x v="0"/>
    <x v="1"/>
    <n v="1"/>
    <n v="19"/>
    <n v="7"/>
    <n v="21"/>
    <s v="Yes"/>
    <x v="1"/>
    <x v="2"/>
    <x v="0"/>
    <n v="1"/>
  </r>
  <r>
    <n v="1419"/>
    <n v="29"/>
    <x v="1"/>
    <x v="2"/>
    <s v="Software Engineer"/>
    <s v="Human Resources"/>
    <s v="Married"/>
    <s v="Travel_Rarely"/>
    <n v="20"/>
    <n v="4968"/>
    <x v="0"/>
    <x v="1"/>
    <n v="2"/>
    <n v="1"/>
    <n v="0"/>
    <n v="1"/>
    <s v="No"/>
    <x v="2"/>
    <x v="0"/>
    <x v="3"/>
    <n v="0"/>
  </r>
  <r>
    <n v="1084"/>
    <n v="47"/>
    <x v="1"/>
    <x v="2"/>
    <s v="Software Engineer"/>
    <s v="Medical"/>
    <s v="Married"/>
    <s v="Non-Travel"/>
    <n v="23"/>
    <n v="7824"/>
    <x v="1"/>
    <x v="0"/>
    <n v="1"/>
    <n v="19"/>
    <n v="19"/>
    <n v="27"/>
    <s v="No"/>
    <x v="1"/>
    <x v="1"/>
    <x v="0"/>
    <n v="0"/>
  </r>
  <r>
    <n v="1103"/>
    <n v="35"/>
    <x v="0"/>
    <x v="1"/>
    <s v="Research Director"/>
    <s v="Other"/>
    <s v="Married"/>
    <s v="Travel_Frequently"/>
    <n v="5"/>
    <n v="11098"/>
    <x v="0"/>
    <x v="1"/>
    <n v="3"/>
    <n v="3"/>
    <n v="0"/>
    <n v="9"/>
    <s v="Yes"/>
    <x v="3"/>
    <x v="0"/>
    <x v="0"/>
    <n v="1"/>
  </r>
  <r>
    <n v="1943"/>
    <n v="56"/>
    <x v="1"/>
    <x v="2"/>
    <s v="IT Support"/>
    <s v="Other"/>
    <s v="Married"/>
    <s v="Travel_Rarely"/>
    <n v="28"/>
    <n v="9870"/>
    <x v="0"/>
    <x v="2"/>
    <n v="3"/>
    <n v="18"/>
    <n v="6"/>
    <n v="32"/>
    <s v="No"/>
    <x v="1"/>
    <x v="1"/>
    <x v="0"/>
    <n v="0"/>
  </r>
  <r>
    <n v="1913"/>
    <n v="49"/>
    <x v="0"/>
    <x v="3"/>
    <s v="HR Specialist"/>
    <s v="Marketing"/>
    <s v="Divorced"/>
    <s v="Travel_Frequently"/>
    <n v="6"/>
    <n v="11585"/>
    <x v="1"/>
    <x v="2"/>
    <n v="4"/>
    <n v="14"/>
    <n v="9"/>
    <n v="23"/>
    <s v="Yes"/>
    <x v="1"/>
    <x v="1"/>
    <x v="0"/>
    <n v="1"/>
  </r>
  <r>
    <n v="1959"/>
    <n v="59"/>
    <x v="1"/>
    <x v="4"/>
    <s v="Financial Analyst"/>
    <s v="Technical Degree"/>
    <s v="Divorced"/>
    <s v="Non-Travel"/>
    <n v="12"/>
    <n v="10716"/>
    <x v="0"/>
    <x v="1"/>
    <n v="3"/>
    <n v="21"/>
    <n v="14"/>
    <n v="35"/>
    <s v="No"/>
    <x v="1"/>
    <x v="1"/>
    <x v="0"/>
    <n v="0"/>
  </r>
  <r>
    <n v="1836"/>
    <n v="36"/>
    <x v="1"/>
    <x v="0"/>
    <s v="Sales Manager"/>
    <s v="Other"/>
    <s v="Single"/>
    <s v="Travel_Frequently"/>
    <n v="20"/>
    <n v="8229"/>
    <x v="0"/>
    <x v="3"/>
    <n v="3"/>
    <n v="1"/>
    <n v="1"/>
    <n v="10"/>
    <s v="No"/>
    <x v="2"/>
    <x v="2"/>
    <x v="0"/>
    <n v="0"/>
  </r>
  <r>
    <n v="1594"/>
    <n v="49"/>
    <x v="1"/>
    <x v="0"/>
    <s v="Sales Representative"/>
    <s v="Life Sciences"/>
    <s v="Single"/>
    <s v="Non-Travel"/>
    <n v="7"/>
    <n v="10412"/>
    <x v="0"/>
    <x v="0"/>
    <n v="2"/>
    <n v="17"/>
    <n v="15"/>
    <n v="23"/>
    <s v="No"/>
    <x v="1"/>
    <x v="1"/>
    <x v="0"/>
    <n v="0"/>
  </r>
  <r>
    <n v="1446"/>
    <n v="60"/>
    <x v="1"/>
    <x v="0"/>
    <s v="Sales Manager"/>
    <s v="Business"/>
    <s v="Divorced"/>
    <s v="Travel_Frequently"/>
    <n v="25"/>
    <n v="14090"/>
    <x v="1"/>
    <x v="2"/>
    <n v="2"/>
    <n v="9"/>
    <n v="6"/>
    <n v="28"/>
    <s v="No"/>
    <x v="0"/>
    <x v="1"/>
    <x v="0"/>
    <n v="0"/>
  </r>
  <r>
    <n v="1813"/>
    <n v="59"/>
    <x v="1"/>
    <x v="4"/>
    <s v="Financial Analyst"/>
    <s v="Human Resources"/>
    <s v="Divorced"/>
    <s v="Non-Travel"/>
    <n v="13"/>
    <n v="10764"/>
    <x v="0"/>
    <x v="0"/>
    <n v="1"/>
    <n v="21"/>
    <n v="10"/>
    <n v="34"/>
    <s v="No"/>
    <x v="1"/>
    <x v="1"/>
    <x v="0"/>
    <n v="0"/>
  </r>
  <r>
    <n v="1245"/>
    <n v="28"/>
    <x v="1"/>
    <x v="0"/>
    <s v="Sales Representative"/>
    <s v="Other"/>
    <s v="Married"/>
    <s v="Travel_Rarely"/>
    <n v="28"/>
    <n v="3493"/>
    <x v="1"/>
    <x v="3"/>
    <n v="3"/>
    <n v="1"/>
    <n v="1"/>
    <n v="3"/>
    <s v="Yes"/>
    <x v="2"/>
    <x v="0"/>
    <x v="1"/>
    <n v="1"/>
  </r>
  <r>
    <n v="1805"/>
    <n v="33"/>
    <x v="0"/>
    <x v="3"/>
    <s v="HR Specialist"/>
    <s v="Human Resources"/>
    <s v="Married"/>
    <s v="Non-Travel"/>
    <n v="24"/>
    <n v="7314"/>
    <x v="0"/>
    <x v="0"/>
    <n v="3"/>
    <n v="1"/>
    <n v="0"/>
    <n v="8"/>
    <s v="No"/>
    <x v="2"/>
    <x v="0"/>
    <x v="2"/>
    <n v="0"/>
  </r>
  <r>
    <n v="1110"/>
    <n v="43"/>
    <x v="0"/>
    <x v="1"/>
    <s v="Research Scientist"/>
    <s v="Technical Degree"/>
    <s v="Married"/>
    <s v="Non-Travel"/>
    <n v="12"/>
    <n v="8666"/>
    <x v="0"/>
    <x v="3"/>
    <n v="4"/>
    <n v="7"/>
    <n v="6"/>
    <n v="14"/>
    <s v="No"/>
    <x v="0"/>
    <x v="2"/>
    <x v="0"/>
    <n v="0"/>
  </r>
  <r>
    <n v="1287"/>
    <n v="28"/>
    <x v="0"/>
    <x v="0"/>
    <s v="Sales Representative"/>
    <s v="Technical Degree"/>
    <s v="Single"/>
    <s v="Travel_Rarely"/>
    <n v="4"/>
    <n v="4424"/>
    <x v="0"/>
    <x v="0"/>
    <n v="3"/>
    <n v="1"/>
    <n v="1"/>
    <n v="2"/>
    <s v="Yes"/>
    <x v="2"/>
    <x v="0"/>
    <x v="3"/>
    <n v="1"/>
  </r>
  <r>
    <n v="1646"/>
    <n v="31"/>
    <x v="0"/>
    <x v="0"/>
    <s v="Sales Executive"/>
    <s v="Medical"/>
    <s v="Married"/>
    <s v="Travel_Rarely"/>
    <n v="4"/>
    <n v="6756"/>
    <x v="0"/>
    <x v="2"/>
    <n v="3"/>
    <n v="5"/>
    <n v="1"/>
    <n v="8"/>
    <s v="No"/>
    <x v="0"/>
    <x v="0"/>
    <x v="2"/>
    <n v="0"/>
  </r>
  <r>
    <n v="1743"/>
    <n v="28"/>
    <x v="1"/>
    <x v="2"/>
    <s v="IT Support"/>
    <s v="Human Resources"/>
    <s v="Single"/>
    <s v="Travel_Rarely"/>
    <n v="6"/>
    <n v="4513"/>
    <x v="0"/>
    <x v="1"/>
    <n v="1"/>
    <n v="1"/>
    <n v="1"/>
    <n v="1"/>
    <s v="Yes"/>
    <x v="2"/>
    <x v="0"/>
    <x v="3"/>
    <n v="1"/>
  </r>
  <r>
    <n v="1170"/>
    <n v="48"/>
    <x v="0"/>
    <x v="1"/>
    <s v="Research Director"/>
    <s v="Medical"/>
    <s v="Married"/>
    <s v="Travel_Frequently"/>
    <n v="6"/>
    <n v="14737"/>
    <x v="0"/>
    <x v="0"/>
    <n v="2"/>
    <n v="19"/>
    <n v="4"/>
    <n v="19"/>
    <s v="No"/>
    <x v="1"/>
    <x v="1"/>
    <x v="0"/>
    <n v="0"/>
  </r>
  <r>
    <n v="1625"/>
    <n v="40"/>
    <x v="1"/>
    <x v="1"/>
    <s v="Healthcare Representative"/>
    <s v="Other"/>
    <s v="Single"/>
    <s v="Non-Travel"/>
    <n v="5"/>
    <n v="5199"/>
    <x v="1"/>
    <x v="1"/>
    <n v="2"/>
    <n v="1"/>
    <n v="0"/>
    <n v="1"/>
    <s v="Yes"/>
    <x v="2"/>
    <x v="2"/>
    <x v="3"/>
    <n v="1"/>
  </r>
  <r>
    <n v="1724"/>
    <n v="41"/>
    <x v="0"/>
    <x v="0"/>
    <s v="Sales Manager"/>
    <s v="Human Resources"/>
    <s v="Married"/>
    <s v="Travel_Frequently"/>
    <n v="27"/>
    <n v="10989"/>
    <x v="0"/>
    <x v="0"/>
    <n v="3"/>
    <n v="8"/>
    <n v="4"/>
    <n v="9"/>
    <s v="No"/>
    <x v="0"/>
    <x v="2"/>
    <x v="0"/>
    <n v="0"/>
  </r>
  <r>
    <n v="1844"/>
    <n v="45"/>
    <x v="1"/>
    <x v="0"/>
    <s v="Sales Executive"/>
    <s v="Marketing"/>
    <s v="Single"/>
    <s v="Travel_Frequently"/>
    <n v="14"/>
    <n v="10296"/>
    <x v="0"/>
    <x v="1"/>
    <n v="4"/>
    <n v="10"/>
    <n v="7"/>
    <n v="19"/>
    <s v="No"/>
    <x v="1"/>
    <x v="2"/>
    <x v="0"/>
    <n v="0"/>
  </r>
  <r>
    <n v="1227"/>
    <n v="38"/>
    <x v="0"/>
    <x v="1"/>
    <s v="Research Director"/>
    <s v="Other"/>
    <s v="Divorced"/>
    <s v="Travel_Frequently"/>
    <n v="14"/>
    <n v="12041"/>
    <x v="0"/>
    <x v="3"/>
    <n v="1"/>
    <n v="6"/>
    <n v="4"/>
    <n v="13"/>
    <s v="Yes"/>
    <x v="0"/>
    <x v="2"/>
    <x v="0"/>
    <n v="1"/>
  </r>
  <r>
    <n v="1849"/>
    <n v="46"/>
    <x v="1"/>
    <x v="4"/>
    <s v="Financial Analyst"/>
    <s v="Marketing"/>
    <s v="Divorced"/>
    <s v="Non-Travel"/>
    <n v="2"/>
    <n v="9815"/>
    <x v="0"/>
    <x v="2"/>
    <n v="4"/>
    <n v="17"/>
    <n v="3"/>
    <n v="26"/>
    <s v="No"/>
    <x v="1"/>
    <x v="1"/>
    <x v="0"/>
    <n v="0"/>
  </r>
  <r>
    <n v="1738"/>
    <n v="45"/>
    <x v="0"/>
    <x v="4"/>
    <s v="Accountant"/>
    <s v="Other"/>
    <s v="Divorced"/>
    <s v="Travel_Frequently"/>
    <n v="1"/>
    <n v="9051"/>
    <x v="1"/>
    <x v="1"/>
    <n v="4"/>
    <n v="7"/>
    <n v="4"/>
    <n v="17"/>
    <s v="Yes"/>
    <x v="0"/>
    <x v="2"/>
    <x v="0"/>
    <n v="1"/>
  </r>
  <r>
    <n v="1098"/>
    <n v="47"/>
    <x v="1"/>
    <x v="2"/>
    <s v="Data Analyst"/>
    <s v="Medical"/>
    <s v="Single"/>
    <s v="Travel_Frequently"/>
    <n v="5"/>
    <n v="10045"/>
    <x v="1"/>
    <x v="0"/>
    <n v="4"/>
    <n v="9"/>
    <n v="2"/>
    <n v="22"/>
    <s v="Yes"/>
    <x v="0"/>
    <x v="1"/>
    <x v="0"/>
    <n v="1"/>
  </r>
  <r>
    <n v="1498"/>
    <n v="25"/>
    <x v="0"/>
    <x v="1"/>
    <s v="Healthcare Representative"/>
    <s v="Marketing"/>
    <s v="Married"/>
    <s v="Travel_Frequently"/>
    <n v="6"/>
    <n v="6120"/>
    <x v="0"/>
    <x v="1"/>
    <n v="1"/>
    <n v="0"/>
    <n v="0"/>
    <n v="0"/>
    <s v="Yes"/>
    <x v="2"/>
    <x v="3"/>
    <x v="2"/>
    <n v="1"/>
  </r>
  <r>
    <n v="1277"/>
    <n v="35"/>
    <x v="0"/>
    <x v="2"/>
    <s v="IT Manager"/>
    <s v="Business"/>
    <s v="Divorced"/>
    <s v="Travel_Rarely"/>
    <n v="18"/>
    <n v="11209"/>
    <x v="0"/>
    <x v="2"/>
    <n v="1"/>
    <n v="7"/>
    <n v="0"/>
    <n v="15"/>
    <s v="No"/>
    <x v="0"/>
    <x v="0"/>
    <x v="0"/>
    <n v="0"/>
  </r>
  <r>
    <n v="1629"/>
    <n v="37"/>
    <x v="1"/>
    <x v="4"/>
    <s v="Financial Analyst"/>
    <s v="Other"/>
    <s v="Married"/>
    <s v="Non-Travel"/>
    <n v="29"/>
    <n v="9044"/>
    <x v="0"/>
    <x v="1"/>
    <n v="2"/>
    <n v="7"/>
    <n v="6"/>
    <n v="17"/>
    <s v="No"/>
    <x v="0"/>
    <x v="2"/>
    <x v="0"/>
    <n v="0"/>
  </r>
  <r>
    <n v="1656"/>
    <n v="43"/>
    <x v="0"/>
    <x v="1"/>
    <s v="Healthcare Representative"/>
    <s v="Life Sciences"/>
    <s v="Divorced"/>
    <s v="Travel_Rarely"/>
    <n v="16"/>
    <n v="10843"/>
    <x v="1"/>
    <x v="3"/>
    <n v="2"/>
    <n v="15"/>
    <n v="5"/>
    <n v="22"/>
    <s v="No"/>
    <x v="1"/>
    <x v="2"/>
    <x v="0"/>
    <n v="0"/>
  </r>
  <r>
    <n v="1795"/>
    <n v="56"/>
    <x v="0"/>
    <x v="0"/>
    <s v="Sales Manager"/>
    <s v="Life Sciences"/>
    <s v="Married"/>
    <s v="Non-Travel"/>
    <n v="23"/>
    <n v="13767"/>
    <x v="0"/>
    <x v="0"/>
    <n v="4"/>
    <n v="2"/>
    <n v="0"/>
    <n v="27"/>
    <s v="No"/>
    <x v="3"/>
    <x v="1"/>
    <x v="0"/>
    <n v="0"/>
  </r>
  <r>
    <n v="1165"/>
    <n v="21"/>
    <x v="0"/>
    <x v="1"/>
    <s v="Research Director"/>
    <s v="Human Resources"/>
    <s v="Divorced"/>
    <s v="Travel_Frequently"/>
    <n v="13"/>
    <n v="7271"/>
    <x v="0"/>
    <x v="2"/>
    <n v="2"/>
    <n v="0"/>
    <n v="0"/>
    <n v="0"/>
    <s v="No"/>
    <x v="2"/>
    <x v="3"/>
    <x v="2"/>
    <n v="0"/>
  </r>
  <r>
    <n v="1018"/>
    <n v="23"/>
    <x v="1"/>
    <x v="0"/>
    <s v="Sales Representative"/>
    <s v="Marketing"/>
    <s v="Single"/>
    <s v="Travel_Frequently"/>
    <n v="22"/>
    <n v="6233"/>
    <x v="0"/>
    <x v="3"/>
    <n v="1"/>
    <n v="1"/>
    <n v="0"/>
    <n v="3"/>
    <s v="No"/>
    <x v="2"/>
    <x v="3"/>
    <x v="2"/>
    <n v="0"/>
  </r>
  <r>
    <n v="1789"/>
    <n v="37"/>
    <x v="0"/>
    <x v="1"/>
    <s v="Research Scientist"/>
    <s v="Life Sciences"/>
    <s v="Divorced"/>
    <s v="Non-Travel"/>
    <n v="29"/>
    <n v="7309"/>
    <x v="1"/>
    <x v="2"/>
    <n v="4"/>
    <n v="0"/>
    <n v="0"/>
    <n v="9"/>
    <s v="Yes"/>
    <x v="2"/>
    <x v="2"/>
    <x v="2"/>
    <n v="1"/>
  </r>
  <r>
    <n v="1900"/>
    <n v="60"/>
    <x v="1"/>
    <x v="2"/>
    <s v="IT Support"/>
    <s v="Marketing"/>
    <s v="Single"/>
    <s v="Travel_Frequently"/>
    <n v="16"/>
    <n v="11428"/>
    <x v="0"/>
    <x v="1"/>
    <n v="1"/>
    <n v="8"/>
    <n v="5"/>
    <n v="30"/>
    <s v="Yes"/>
    <x v="0"/>
    <x v="1"/>
    <x v="0"/>
    <n v="1"/>
  </r>
  <r>
    <n v="1209"/>
    <n v="40"/>
    <x v="1"/>
    <x v="2"/>
    <s v="IT Support"/>
    <s v="Business"/>
    <s v="Divorced"/>
    <s v="Travel_Rarely"/>
    <n v="15"/>
    <n v="8558"/>
    <x v="1"/>
    <x v="3"/>
    <n v="1"/>
    <n v="3"/>
    <n v="1"/>
    <n v="12"/>
    <s v="Yes"/>
    <x v="3"/>
    <x v="2"/>
    <x v="0"/>
    <n v="1"/>
  </r>
  <r>
    <n v="1393"/>
    <n v="44"/>
    <x v="0"/>
    <x v="0"/>
    <s v="Sales Manager"/>
    <s v="Human Resources"/>
    <s v="Married"/>
    <s v="Travel_Frequently"/>
    <n v="21"/>
    <n v="11557"/>
    <x v="1"/>
    <x v="3"/>
    <n v="2"/>
    <n v="13"/>
    <n v="2"/>
    <n v="22"/>
    <s v="Yes"/>
    <x v="1"/>
    <x v="2"/>
    <x v="0"/>
    <n v="1"/>
  </r>
  <r>
    <n v="1176"/>
    <n v="41"/>
    <x v="0"/>
    <x v="0"/>
    <s v="Sales Representative"/>
    <s v="Medical"/>
    <s v="Single"/>
    <s v="Travel_Frequently"/>
    <n v="15"/>
    <n v="7804"/>
    <x v="0"/>
    <x v="1"/>
    <n v="4"/>
    <n v="7"/>
    <n v="5"/>
    <n v="13"/>
    <s v="No"/>
    <x v="0"/>
    <x v="2"/>
    <x v="0"/>
    <n v="0"/>
  </r>
  <r>
    <n v="1659"/>
    <n v="26"/>
    <x v="1"/>
    <x v="2"/>
    <s v="Data Analyst"/>
    <s v="Other"/>
    <s v="Single"/>
    <s v="Travel_Rarely"/>
    <n v="19"/>
    <n v="5419"/>
    <x v="0"/>
    <x v="3"/>
    <n v="2"/>
    <n v="0"/>
    <n v="0"/>
    <n v="0"/>
    <s v="No"/>
    <x v="2"/>
    <x v="0"/>
    <x v="3"/>
    <n v="0"/>
  </r>
  <r>
    <n v="1325"/>
    <n v="42"/>
    <x v="0"/>
    <x v="1"/>
    <s v="Laboratory Technician"/>
    <s v="Business"/>
    <s v="Divorced"/>
    <s v="Travel_Rarely"/>
    <n v="20"/>
    <n v="10166"/>
    <x v="0"/>
    <x v="1"/>
    <n v="4"/>
    <n v="15"/>
    <n v="15"/>
    <n v="16"/>
    <s v="No"/>
    <x v="1"/>
    <x v="2"/>
    <x v="0"/>
    <n v="0"/>
  </r>
  <r>
    <n v="1599"/>
    <n v="57"/>
    <x v="1"/>
    <x v="3"/>
    <s v="HR Manager"/>
    <s v="Marketing"/>
    <s v="Divorced"/>
    <s v="Travel_Rarely"/>
    <n v="7"/>
    <n v="15227"/>
    <x v="1"/>
    <x v="0"/>
    <n v="2"/>
    <n v="23"/>
    <n v="2"/>
    <n v="31"/>
    <s v="No"/>
    <x v="1"/>
    <x v="1"/>
    <x v="0"/>
    <n v="0"/>
  </r>
  <r>
    <n v="1749"/>
    <n v="36"/>
    <x v="1"/>
    <x v="0"/>
    <s v="Sales Representative"/>
    <s v="Business"/>
    <s v="Divorced"/>
    <s v="Travel_Rarely"/>
    <n v="2"/>
    <n v="7477"/>
    <x v="0"/>
    <x v="3"/>
    <n v="3"/>
    <n v="2"/>
    <n v="1"/>
    <n v="8"/>
    <s v="No"/>
    <x v="3"/>
    <x v="2"/>
    <x v="2"/>
    <n v="0"/>
  </r>
  <r>
    <n v="1024"/>
    <n v="47"/>
    <x v="0"/>
    <x v="3"/>
    <s v="HR Specialist"/>
    <s v="Other"/>
    <s v="Married"/>
    <s v="Travel_Frequently"/>
    <n v="12"/>
    <n v="10162"/>
    <x v="0"/>
    <x v="3"/>
    <n v="2"/>
    <n v="25"/>
    <n v="1"/>
    <n v="25"/>
    <s v="No"/>
    <x v="1"/>
    <x v="1"/>
    <x v="0"/>
    <n v="0"/>
  </r>
  <r>
    <n v="1156"/>
    <n v="38"/>
    <x v="1"/>
    <x v="1"/>
    <s v="Healthcare Representative"/>
    <s v="Human Resources"/>
    <s v="Divorced"/>
    <s v="Travel_Frequently"/>
    <n v="27"/>
    <n v="9504"/>
    <x v="1"/>
    <x v="2"/>
    <n v="3"/>
    <n v="12"/>
    <n v="9"/>
    <n v="16"/>
    <s v="No"/>
    <x v="1"/>
    <x v="2"/>
    <x v="0"/>
    <n v="0"/>
  </r>
  <r>
    <n v="1243"/>
    <n v="32"/>
    <x v="0"/>
    <x v="3"/>
    <s v="HR Manager"/>
    <s v="Medical"/>
    <s v="Married"/>
    <s v="Travel_Rarely"/>
    <n v="21"/>
    <n v="12388"/>
    <x v="0"/>
    <x v="0"/>
    <n v="2"/>
    <n v="0"/>
    <n v="0"/>
    <n v="12"/>
    <s v="No"/>
    <x v="2"/>
    <x v="0"/>
    <x v="0"/>
    <n v="0"/>
  </r>
  <r>
    <n v="1363"/>
    <n v="53"/>
    <x v="0"/>
    <x v="1"/>
    <s v="Research Scientist"/>
    <s v="Life Sciences"/>
    <s v="Married"/>
    <s v="Travel_Rarely"/>
    <n v="21"/>
    <n v="12520"/>
    <x v="0"/>
    <x v="1"/>
    <n v="4"/>
    <n v="1"/>
    <n v="0"/>
    <n v="33"/>
    <s v="No"/>
    <x v="2"/>
    <x v="1"/>
    <x v="0"/>
    <n v="0"/>
  </r>
  <r>
    <n v="1566"/>
    <n v="37"/>
    <x v="1"/>
    <x v="1"/>
    <s v="Research Scientist"/>
    <s v="Human Resources"/>
    <s v="Divorced"/>
    <s v="Travel_Rarely"/>
    <n v="11"/>
    <n v="8016"/>
    <x v="1"/>
    <x v="3"/>
    <n v="3"/>
    <n v="2"/>
    <n v="1"/>
    <n v="15"/>
    <s v="No"/>
    <x v="3"/>
    <x v="2"/>
    <x v="0"/>
    <n v="0"/>
  </r>
  <r>
    <n v="1274"/>
    <n v="44"/>
    <x v="1"/>
    <x v="2"/>
    <s v="Data Analyst"/>
    <s v="Business"/>
    <s v="Single"/>
    <s v="Travel_Rarely"/>
    <n v="23"/>
    <n v="10526"/>
    <x v="0"/>
    <x v="0"/>
    <n v="1"/>
    <n v="8"/>
    <n v="2"/>
    <n v="23"/>
    <s v="No"/>
    <x v="0"/>
    <x v="2"/>
    <x v="0"/>
    <n v="0"/>
  </r>
  <r>
    <n v="1963"/>
    <n v="45"/>
    <x v="1"/>
    <x v="0"/>
    <s v="Sales Representative"/>
    <s v="Other"/>
    <s v="Single"/>
    <s v="Travel_Rarely"/>
    <n v="16"/>
    <n v="11909"/>
    <x v="0"/>
    <x v="3"/>
    <n v="4"/>
    <n v="17"/>
    <n v="8"/>
    <n v="25"/>
    <s v="No"/>
    <x v="1"/>
    <x v="2"/>
    <x v="0"/>
    <n v="0"/>
  </r>
  <r>
    <n v="1619"/>
    <n v="60"/>
    <x v="0"/>
    <x v="3"/>
    <s v="HR Specialist"/>
    <s v="Marketing"/>
    <s v="Divorced"/>
    <s v="Travel_Frequently"/>
    <n v="6"/>
    <n v="10065"/>
    <x v="0"/>
    <x v="2"/>
    <n v="3"/>
    <n v="3"/>
    <n v="1"/>
    <n v="35"/>
    <s v="No"/>
    <x v="3"/>
    <x v="1"/>
    <x v="0"/>
    <n v="0"/>
  </r>
  <r>
    <n v="1634"/>
    <n v="47"/>
    <x v="0"/>
    <x v="2"/>
    <s v="Data Analyst"/>
    <s v="Human Resources"/>
    <s v="Single"/>
    <s v="Travel_Frequently"/>
    <n v="7"/>
    <n v="6245"/>
    <x v="1"/>
    <x v="1"/>
    <n v="4"/>
    <n v="4"/>
    <n v="3"/>
    <n v="17"/>
    <s v="No"/>
    <x v="3"/>
    <x v="1"/>
    <x v="2"/>
    <n v="0"/>
  </r>
  <r>
    <n v="1226"/>
    <n v="41"/>
    <x v="0"/>
    <x v="2"/>
    <s v="Data Analyst"/>
    <s v="Life Sciences"/>
    <s v="Married"/>
    <s v="Travel_Frequently"/>
    <n v="4"/>
    <n v="7004"/>
    <x v="1"/>
    <x v="3"/>
    <n v="4"/>
    <n v="7"/>
    <n v="0"/>
    <n v="11"/>
    <s v="No"/>
    <x v="0"/>
    <x v="2"/>
    <x v="2"/>
    <n v="0"/>
  </r>
  <r>
    <n v="1237"/>
    <n v="24"/>
    <x v="1"/>
    <x v="2"/>
    <s v="Software Engineer"/>
    <s v="Business"/>
    <s v="Single"/>
    <s v="Non-Travel"/>
    <n v="27"/>
    <n v="7643"/>
    <x v="1"/>
    <x v="1"/>
    <n v="2"/>
    <n v="0"/>
    <n v="0"/>
    <n v="0"/>
    <s v="Yes"/>
    <x v="2"/>
    <x v="3"/>
    <x v="0"/>
    <n v="1"/>
  </r>
  <r>
    <n v="1247"/>
    <n v="28"/>
    <x v="0"/>
    <x v="0"/>
    <s v="Sales Executive"/>
    <s v="Medical"/>
    <s v="Divorced"/>
    <s v="Non-Travel"/>
    <n v="21"/>
    <n v="6578"/>
    <x v="0"/>
    <x v="3"/>
    <n v="1"/>
    <n v="7"/>
    <n v="2"/>
    <n v="8"/>
    <s v="No"/>
    <x v="0"/>
    <x v="0"/>
    <x v="2"/>
    <n v="0"/>
  </r>
  <r>
    <n v="1292"/>
    <n v="37"/>
    <x v="0"/>
    <x v="4"/>
    <s v="Finance Manager"/>
    <s v="Technical Degree"/>
    <s v="Married"/>
    <s v="Travel_Rarely"/>
    <n v="29"/>
    <n v="10977"/>
    <x v="0"/>
    <x v="2"/>
    <n v="3"/>
    <n v="8"/>
    <n v="2"/>
    <n v="14"/>
    <s v="No"/>
    <x v="0"/>
    <x v="2"/>
    <x v="0"/>
    <n v="0"/>
  </r>
  <r>
    <n v="1754"/>
    <n v="27"/>
    <x v="1"/>
    <x v="0"/>
    <s v="Sales Representative"/>
    <s v="Technical Degree"/>
    <s v="Single"/>
    <s v="Non-Travel"/>
    <n v="8"/>
    <n v="4061"/>
    <x v="0"/>
    <x v="0"/>
    <n v="4"/>
    <n v="5"/>
    <n v="2"/>
    <n v="7"/>
    <s v="No"/>
    <x v="0"/>
    <x v="0"/>
    <x v="3"/>
    <n v="0"/>
  </r>
  <r>
    <n v="1640"/>
    <n v="32"/>
    <x v="0"/>
    <x v="0"/>
    <s v="Sales Manager"/>
    <s v="Human Resources"/>
    <s v="Married"/>
    <s v="Non-Travel"/>
    <n v="7"/>
    <n v="11414"/>
    <x v="1"/>
    <x v="0"/>
    <n v="1"/>
    <n v="2"/>
    <n v="1"/>
    <n v="11"/>
    <s v="No"/>
    <x v="3"/>
    <x v="0"/>
    <x v="0"/>
    <n v="0"/>
  </r>
  <r>
    <n v="1734"/>
    <n v="59"/>
    <x v="0"/>
    <x v="1"/>
    <s v="Laboratory Technician"/>
    <s v="Other"/>
    <s v="Divorced"/>
    <s v="Travel_Rarely"/>
    <n v="15"/>
    <n v="10154"/>
    <x v="0"/>
    <x v="3"/>
    <n v="4"/>
    <n v="9"/>
    <n v="0"/>
    <n v="28"/>
    <s v="No"/>
    <x v="0"/>
    <x v="1"/>
    <x v="0"/>
    <n v="0"/>
  </r>
  <r>
    <n v="1115"/>
    <n v="55"/>
    <x v="1"/>
    <x v="1"/>
    <s v="Healthcare Representative"/>
    <s v="Marketing"/>
    <s v="Single"/>
    <s v="Travel_Frequently"/>
    <n v="5"/>
    <n v="13530"/>
    <x v="1"/>
    <x v="0"/>
    <n v="4"/>
    <n v="22"/>
    <n v="14"/>
    <n v="35"/>
    <s v="No"/>
    <x v="1"/>
    <x v="1"/>
    <x v="0"/>
    <n v="0"/>
  </r>
  <r>
    <n v="1011"/>
    <n v="25"/>
    <x v="1"/>
    <x v="0"/>
    <s v="Sales Manager"/>
    <s v="Other"/>
    <s v="Divorced"/>
    <s v="Travel_Rarely"/>
    <n v="6"/>
    <n v="10427"/>
    <x v="0"/>
    <x v="3"/>
    <n v="4"/>
    <n v="0"/>
    <n v="0"/>
    <n v="5"/>
    <s v="Yes"/>
    <x v="2"/>
    <x v="3"/>
    <x v="0"/>
    <n v="1"/>
  </r>
  <r>
    <n v="1871"/>
    <n v="34"/>
    <x v="0"/>
    <x v="0"/>
    <s v="Sales Representative"/>
    <s v="Marketing"/>
    <s v="Married"/>
    <s v="Non-Travel"/>
    <n v="21"/>
    <n v="6407"/>
    <x v="1"/>
    <x v="0"/>
    <n v="1"/>
    <n v="5"/>
    <n v="5"/>
    <n v="5"/>
    <s v="No"/>
    <x v="0"/>
    <x v="0"/>
    <x v="2"/>
    <n v="0"/>
  </r>
  <r>
    <n v="1581"/>
    <n v="42"/>
    <x v="1"/>
    <x v="0"/>
    <s v="Sales Representative"/>
    <s v="Human Resources"/>
    <s v="Divorced"/>
    <s v="Travel_Frequently"/>
    <n v="26"/>
    <n v="10973"/>
    <x v="0"/>
    <x v="2"/>
    <n v="1"/>
    <n v="21"/>
    <n v="17"/>
    <n v="21"/>
    <s v="No"/>
    <x v="1"/>
    <x v="2"/>
    <x v="0"/>
    <n v="0"/>
  </r>
  <r>
    <n v="1825"/>
    <n v="20"/>
    <x v="0"/>
    <x v="2"/>
    <s v="IT Support"/>
    <s v="Marketing"/>
    <s v="Divorced"/>
    <s v="Non-Travel"/>
    <n v="22"/>
    <n v="6282"/>
    <x v="0"/>
    <x v="2"/>
    <n v="2"/>
    <n v="0"/>
    <n v="0"/>
    <n v="0"/>
    <s v="No"/>
    <x v="2"/>
    <x v="3"/>
    <x v="2"/>
    <n v="0"/>
  </r>
  <r>
    <n v="1747"/>
    <n v="41"/>
    <x v="0"/>
    <x v="1"/>
    <s v="Research Scientist"/>
    <s v="Medical"/>
    <s v="Divorced"/>
    <s v="Travel_Frequently"/>
    <n v="16"/>
    <n v="11280"/>
    <x v="0"/>
    <x v="3"/>
    <n v="2"/>
    <n v="20"/>
    <n v="16"/>
    <n v="20"/>
    <s v="No"/>
    <x v="1"/>
    <x v="2"/>
    <x v="0"/>
    <n v="0"/>
  </r>
  <r>
    <n v="1434"/>
    <n v="29"/>
    <x v="1"/>
    <x v="0"/>
    <s v="Sales Manager"/>
    <s v="Marketing"/>
    <s v="Married"/>
    <s v="Travel_Rarely"/>
    <n v="18"/>
    <n v="8765"/>
    <x v="0"/>
    <x v="0"/>
    <n v="4"/>
    <n v="0"/>
    <n v="0"/>
    <n v="0"/>
    <s v="No"/>
    <x v="2"/>
    <x v="0"/>
    <x v="0"/>
    <n v="0"/>
  </r>
  <r>
    <n v="1099"/>
    <n v="41"/>
    <x v="1"/>
    <x v="2"/>
    <s v="Data Analyst"/>
    <s v="Life Sciences"/>
    <s v="Divorced"/>
    <s v="Travel_Rarely"/>
    <n v="25"/>
    <n v="8518"/>
    <x v="0"/>
    <x v="3"/>
    <n v="2"/>
    <n v="19"/>
    <n v="12"/>
    <n v="21"/>
    <s v="No"/>
    <x v="1"/>
    <x v="2"/>
    <x v="0"/>
    <n v="0"/>
  </r>
  <r>
    <n v="1854"/>
    <n v="52"/>
    <x v="1"/>
    <x v="0"/>
    <s v="Sales Manager"/>
    <s v="Unknown"/>
    <s v="Married"/>
    <s v="Travel_Rarely"/>
    <n v="17"/>
    <n v="8897"/>
    <x v="0"/>
    <x v="0"/>
    <n v="2"/>
    <n v="12"/>
    <n v="7"/>
    <n v="27"/>
    <s v="No"/>
    <x v="1"/>
    <x v="1"/>
    <x v="0"/>
    <n v="0"/>
  </r>
  <r>
    <n v="1784"/>
    <n v="32"/>
    <x v="0"/>
    <x v="4"/>
    <s v="Financial Analyst"/>
    <s v="Technical Degree"/>
    <s v="Divorced"/>
    <s v="Travel_Frequently"/>
    <n v="29"/>
    <n v="7958"/>
    <x v="1"/>
    <x v="0"/>
    <n v="2"/>
    <n v="2"/>
    <n v="2"/>
    <n v="7"/>
    <s v="Yes"/>
    <x v="3"/>
    <x v="0"/>
    <x v="0"/>
    <n v="1"/>
  </r>
  <r>
    <n v="1816"/>
    <n v="33"/>
    <x v="0"/>
    <x v="2"/>
    <s v="Data Analyst"/>
    <s v="Life Sciences"/>
    <s v="Married"/>
    <s v="Non-Travel"/>
    <n v="13"/>
    <n v="5814"/>
    <x v="0"/>
    <x v="3"/>
    <n v="2"/>
    <n v="5"/>
    <n v="1"/>
    <n v="5"/>
    <s v="No"/>
    <x v="0"/>
    <x v="0"/>
    <x v="2"/>
    <n v="0"/>
  </r>
  <r>
    <n v="1562"/>
    <n v="44"/>
    <x v="0"/>
    <x v="0"/>
    <s v="Sales Manager"/>
    <s v="Marketing"/>
    <s v="Divorced"/>
    <s v="Travel_Rarely"/>
    <n v="12"/>
    <n v="10285"/>
    <x v="0"/>
    <x v="2"/>
    <n v="2"/>
    <n v="16"/>
    <n v="11"/>
    <n v="20"/>
    <s v="No"/>
    <x v="1"/>
    <x v="2"/>
    <x v="0"/>
    <n v="0"/>
  </r>
  <r>
    <n v="1768"/>
    <n v="59"/>
    <x v="1"/>
    <x v="1"/>
    <s v="Research Director"/>
    <s v="Human Resources"/>
    <s v="Divorced"/>
    <s v="Travel_Frequently"/>
    <n v="17"/>
    <n v="16381"/>
    <x v="0"/>
    <x v="1"/>
    <n v="2"/>
    <n v="9"/>
    <n v="2"/>
    <n v="39"/>
    <s v="No"/>
    <x v="0"/>
    <x v="1"/>
    <x v="0"/>
    <n v="0"/>
  </r>
  <r>
    <n v="1823"/>
    <n v="39"/>
    <x v="1"/>
    <x v="0"/>
    <s v="Sales Executive"/>
    <s v="Medical"/>
    <s v="Single"/>
    <s v="Travel_Rarely"/>
    <n v="2"/>
    <n v="6247"/>
    <x v="0"/>
    <x v="3"/>
    <n v="3"/>
    <n v="16"/>
    <n v="6"/>
    <n v="19"/>
    <s v="No"/>
    <x v="1"/>
    <x v="2"/>
    <x v="2"/>
    <n v="0"/>
  </r>
  <r>
    <n v="1072"/>
    <n v="34"/>
    <x v="1"/>
    <x v="4"/>
    <s v="Financial Analyst"/>
    <s v="Business"/>
    <s v="Single"/>
    <s v="Non-Travel"/>
    <n v="10"/>
    <n v="6786"/>
    <x v="0"/>
    <x v="1"/>
    <n v="4"/>
    <n v="2"/>
    <n v="2"/>
    <n v="3"/>
    <s v="No"/>
    <x v="3"/>
    <x v="0"/>
    <x v="2"/>
    <n v="0"/>
  </r>
  <r>
    <n v="1043"/>
    <n v="60"/>
    <x v="1"/>
    <x v="0"/>
    <s v="Sales Representative"/>
    <s v="Medical"/>
    <s v="Married"/>
    <s v="Non-Travel"/>
    <n v="27"/>
    <n v="11421"/>
    <x v="0"/>
    <x v="0"/>
    <n v="4"/>
    <n v="4"/>
    <n v="3"/>
    <n v="40"/>
    <s v="No"/>
    <x v="3"/>
    <x v="1"/>
    <x v="0"/>
    <n v="0"/>
  </r>
  <r>
    <n v="1056"/>
    <n v="40"/>
    <x v="1"/>
    <x v="0"/>
    <s v="Sales Executive"/>
    <s v="Other"/>
    <s v="Married"/>
    <s v="Travel_Frequently"/>
    <n v="17"/>
    <n v="8594"/>
    <x v="1"/>
    <x v="2"/>
    <n v="4"/>
    <n v="12"/>
    <n v="8"/>
    <n v="15"/>
    <s v="No"/>
    <x v="1"/>
    <x v="2"/>
    <x v="0"/>
    <n v="0"/>
  </r>
  <r>
    <n v="1752"/>
    <n v="26"/>
    <x v="0"/>
    <x v="0"/>
    <s v="Sales Executive"/>
    <s v="Business"/>
    <s v="Single"/>
    <s v="Non-Travel"/>
    <n v="29"/>
    <n v="6649"/>
    <x v="0"/>
    <x v="2"/>
    <n v="3"/>
    <n v="5"/>
    <n v="2"/>
    <n v="6"/>
    <s v="No"/>
    <x v="0"/>
    <x v="0"/>
    <x v="2"/>
    <n v="0"/>
  </r>
  <r>
    <n v="1126"/>
    <n v="47"/>
    <x v="0"/>
    <x v="1"/>
    <s v="Research Scientist"/>
    <s v="Technical Degree"/>
    <s v="Married"/>
    <s v="Non-Travel"/>
    <n v="18"/>
    <n v="10918"/>
    <x v="1"/>
    <x v="1"/>
    <n v="4"/>
    <n v="11"/>
    <n v="6"/>
    <n v="25"/>
    <s v="Yes"/>
    <x v="1"/>
    <x v="1"/>
    <x v="0"/>
    <n v="1"/>
  </r>
  <r>
    <n v="1186"/>
    <n v="40"/>
    <x v="1"/>
    <x v="3"/>
    <s v="HR Specialist"/>
    <s v="Life Sciences"/>
    <s v="Divorced"/>
    <s v="Non-Travel"/>
    <n v="9"/>
    <n v="8246"/>
    <x v="0"/>
    <x v="3"/>
    <n v="4"/>
    <n v="18"/>
    <n v="8"/>
    <n v="20"/>
    <s v="No"/>
    <x v="1"/>
    <x v="2"/>
    <x v="0"/>
    <n v="0"/>
  </r>
  <r>
    <n v="1144"/>
    <n v="52"/>
    <x v="0"/>
    <x v="3"/>
    <s v="HR Specialist"/>
    <s v="Human Resources"/>
    <s v="Single"/>
    <s v="Travel_Rarely"/>
    <n v="22"/>
    <n v="9639"/>
    <x v="0"/>
    <x v="2"/>
    <n v="1"/>
    <n v="4"/>
    <n v="4"/>
    <n v="26"/>
    <s v="No"/>
    <x v="3"/>
    <x v="1"/>
    <x v="0"/>
    <n v="0"/>
  </r>
  <r>
    <n v="1123"/>
    <n v="45"/>
    <x v="0"/>
    <x v="2"/>
    <s v="IT Support"/>
    <s v="Business"/>
    <s v="Single"/>
    <s v="Travel_Rarely"/>
    <n v="15"/>
    <n v="11406"/>
    <x v="1"/>
    <x v="3"/>
    <n v="4"/>
    <n v="17"/>
    <n v="3"/>
    <n v="24"/>
    <s v="Yes"/>
    <x v="1"/>
    <x v="2"/>
    <x v="0"/>
    <n v="1"/>
  </r>
  <r>
    <n v="1778"/>
    <n v="33"/>
    <x v="1"/>
    <x v="4"/>
    <s v="Finance Manager"/>
    <s v="Marketing"/>
    <s v="Single"/>
    <s v="Non-Travel"/>
    <n v="10"/>
    <n v="10777"/>
    <x v="1"/>
    <x v="0"/>
    <n v="3"/>
    <n v="4"/>
    <n v="2"/>
    <n v="5"/>
    <s v="No"/>
    <x v="3"/>
    <x v="0"/>
    <x v="0"/>
    <n v="0"/>
  </r>
  <r>
    <n v="1397"/>
    <n v="56"/>
    <x v="0"/>
    <x v="1"/>
    <s v="Healthcare Representative"/>
    <s v="Human Resources"/>
    <s v="Divorced"/>
    <s v="Travel_Rarely"/>
    <n v="20"/>
    <n v="9723"/>
    <x v="0"/>
    <x v="3"/>
    <n v="1"/>
    <n v="25"/>
    <n v="9"/>
    <n v="31"/>
    <s v="No"/>
    <x v="1"/>
    <x v="1"/>
    <x v="0"/>
    <n v="0"/>
  </r>
  <r>
    <n v="1448"/>
    <n v="42"/>
    <x v="0"/>
    <x v="4"/>
    <s v="Financial Analyst"/>
    <s v="Technical Degree"/>
    <s v="Single"/>
    <s v="Travel_Frequently"/>
    <n v="21"/>
    <n v="10455"/>
    <x v="0"/>
    <x v="1"/>
    <n v="3"/>
    <n v="13"/>
    <n v="10"/>
    <n v="20"/>
    <s v="No"/>
    <x v="1"/>
    <x v="2"/>
    <x v="0"/>
    <n v="0"/>
  </r>
  <r>
    <n v="1488"/>
    <n v="35"/>
    <x v="1"/>
    <x v="0"/>
    <s v="Sales Representative"/>
    <s v="Unknown"/>
    <s v="Divorced"/>
    <s v="Non-Travel"/>
    <n v="11"/>
    <n v="3502"/>
    <x v="1"/>
    <x v="1"/>
    <n v="4"/>
    <n v="1"/>
    <n v="1"/>
    <n v="2"/>
    <s v="No"/>
    <x v="2"/>
    <x v="0"/>
    <x v="3"/>
    <n v="0"/>
  </r>
  <r>
    <n v="1111"/>
    <n v="47"/>
    <x v="1"/>
    <x v="2"/>
    <s v="Data Analyst"/>
    <s v="Human Resources"/>
    <s v="Married"/>
    <s v="Non-Travel"/>
    <n v="10"/>
    <n v="7237"/>
    <x v="0"/>
    <x v="1"/>
    <n v="3"/>
    <n v="9"/>
    <n v="5"/>
    <n v="15"/>
    <s v="No"/>
    <x v="0"/>
    <x v="1"/>
    <x v="2"/>
    <n v="0"/>
  </r>
  <r>
    <n v="1610"/>
    <n v="54"/>
    <x v="0"/>
    <x v="0"/>
    <s v="Sales Executive"/>
    <s v="Unknown"/>
    <s v="Divorced"/>
    <s v="Travel_Frequently"/>
    <n v="13"/>
    <n v="8667"/>
    <x v="0"/>
    <x v="3"/>
    <n v="1"/>
    <n v="25"/>
    <n v="22"/>
    <n v="26"/>
    <s v="No"/>
    <x v="1"/>
    <x v="1"/>
    <x v="0"/>
    <n v="0"/>
  </r>
  <r>
    <n v="1793"/>
    <n v="27"/>
    <x v="0"/>
    <x v="0"/>
    <s v="Sales Manager"/>
    <s v="Unknown"/>
    <s v="Married"/>
    <s v="Non-Travel"/>
    <n v="24"/>
    <n v="8161"/>
    <x v="1"/>
    <x v="1"/>
    <n v="1"/>
    <n v="3"/>
    <n v="1"/>
    <n v="4"/>
    <s v="No"/>
    <x v="3"/>
    <x v="0"/>
    <x v="0"/>
    <n v="0"/>
  </r>
  <r>
    <n v="1644"/>
    <n v="60"/>
    <x v="1"/>
    <x v="0"/>
    <s v="Sales Manager"/>
    <s v="Life Sciences"/>
    <s v="Single"/>
    <s v="Non-Travel"/>
    <n v="14"/>
    <n v="13884"/>
    <x v="0"/>
    <x v="0"/>
    <n v="2"/>
    <n v="4"/>
    <n v="3"/>
    <n v="33"/>
    <s v="Yes"/>
    <x v="3"/>
    <x v="1"/>
    <x v="0"/>
    <n v="1"/>
  </r>
  <r>
    <n v="1438"/>
    <n v="33"/>
    <x v="1"/>
    <x v="0"/>
    <s v="Sales Executive"/>
    <s v="Business"/>
    <s v="Single"/>
    <s v="Travel_Rarely"/>
    <n v="6"/>
    <n v="6317"/>
    <x v="0"/>
    <x v="0"/>
    <n v="4"/>
    <n v="5"/>
    <n v="2"/>
    <n v="7"/>
    <s v="No"/>
    <x v="0"/>
    <x v="0"/>
    <x v="2"/>
    <n v="0"/>
  </r>
  <r>
    <n v="1053"/>
    <n v="58"/>
    <x v="1"/>
    <x v="0"/>
    <s v="Sales Representative"/>
    <s v="Marketing"/>
    <s v="Married"/>
    <s v="Non-Travel"/>
    <n v="9"/>
    <n v="9323"/>
    <x v="0"/>
    <x v="2"/>
    <n v="3"/>
    <n v="9"/>
    <n v="7"/>
    <n v="33"/>
    <s v="No"/>
    <x v="0"/>
    <x v="1"/>
    <x v="0"/>
    <n v="0"/>
  </r>
  <r>
    <n v="1926"/>
    <n v="23"/>
    <x v="0"/>
    <x v="1"/>
    <s v="Research Director"/>
    <s v="Other"/>
    <s v="Divorced"/>
    <s v="Travel_Rarely"/>
    <n v="18"/>
    <n v="9006"/>
    <x v="0"/>
    <x v="2"/>
    <n v="2"/>
    <n v="0"/>
    <n v="0"/>
    <n v="0"/>
    <s v="Yes"/>
    <x v="2"/>
    <x v="3"/>
    <x v="0"/>
    <n v="1"/>
  </r>
  <r>
    <n v="1204"/>
    <n v="31"/>
    <x v="0"/>
    <x v="1"/>
    <s v="Research Scientist"/>
    <s v="Medical"/>
    <s v="Single"/>
    <s v="Travel_Frequently"/>
    <n v="25"/>
    <n v="8702"/>
    <x v="0"/>
    <x v="1"/>
    <n v="4"/>
    <n v="0"/>
    <n v="0"/>
    <n v="8"/>
    <s v="No"/>
    <x v="2"/>
    <x v="0"/>
    <x v="0"/>
    <n v="0"/>
  </r>
  <r>
    <n v="1431"/>
    <n v="43"/>
    <x v="1"/>
    <x v="1"/>
    <s v="Research Scientist"/>
    <s v="Human Resources"/>
    <s v="Divorced"/>
    <s v="Travel_Frequently"/>
    <n v="4"/>
    <n v="9625"/>
    <x v="1"/>
    <x v="3"/>
    <n v="3"/>
    <n v="11"/>
    <n v="1"/>
    <n v="14"/>
    <s v="No"/>
    <x v="1"/>
    <x v="2"/>
    <x v="0"/>
    <n v="0"/>
  </r>
  <r>
    <n v="1725"/>
    <n v="27"/>
    <x v="1"/>
    <x v="2"/>
    <s v="IT Manager"/>
    <s v="Business"/>
    <s v="Single"/>
    <s v="Travel_Frequently"/>
    <n v="5"/>
    <n v="11641"/>
    <x v="0"/>
    <x v="2"/>
    <n v="2"/>
    <n v="2"/>
    <n v="0"/>
    <n v="2"/>
    <s v="No"/>
    <x v="3"/>
    <x v="0"/>
    <x v="0"/>
    <n v="0"/>
  </r>
  <r>
    <n v="1811"/>
    <n v="23"/>
    <x v="0"/>
    <x v="0"/>
    <s v="Sales Manager"/>
    <s v="Other"/>
    <s v="Single"/>
    <s v="Non-Travel"/>
    <n v="21"/>
    <n v="8769"/>
    <x v="0"/>
    <x v="3"/>
    <n v="4"/>
    <n v="3"/>
    <n v="3"/>
    <n v="3"/>
    <s v="No"/>
    <x v="3"/>
    <x v="3"/>
    <x v="0"/>
    <n v="0"/>
  </r>
  <r>
    <n v="1284"/>
    <n v="30"/>
    <x v="1"/>
    <x v="2"/>
    <s v="Software Engineer"/>
    <s v="Technical Degree"/>
    <s v="Single"/>
    <s v="Travel_Rarely"/>
    <n v="18"/>
    <n v="9314"/>
    <x v="0"/>
    <x v="3"/>
    <n v="1"/>
    <n v="4"/>
    <n v="1"/>
    <n v="8"/>
    <s v="No"/>
    <x v="3"/>
    <x v="0"/>
    <x v="0"/>
    <n v="0"/>
  </r>
  <r>
    <n v="1598"/>
    <n v="27"/>
    <x v="1"/>
    <x v="2"/>
    <s v="Data Analyst"/>
    <s v="Medical"/>
    <s v="Divorced"/>
    <s v="Travel_Frequently"/>
    <n v="14"/>
    <n v="4644"/>
    <x v="1"/>
    <x v="3"/>
    <n v="4"/>
    <n v="3"/>
    <n v="3"/>
    <n v="3"/>
    <s v="No"/>
    <x v="3"/>
    <x v="0"/>
    <x v="3"/>
    <n v="0"/>
  </r>
  <r>
    <n v="1714"/>
    <n v="34"/>
    <x v="0"/>
    <x v="1"/>
    <s v="Healthcare Representative"/>
    <s v="Business"/>
    <s v="Single"/>
    <s v="Non-Travel"/>
    <n v="3"/>
    <n v="9421"/>
    <x v="0"/>
    <x v="3"/>
    <n v="2"/>
    <n v="11"/>
    <n v="1"/>
    <n v="14"/>
    <s v="No"/>
    <x v="1"/>
    <x v="0"/>
    <x v="0"/>
    <n v="0"/>
  </r>
  <r>
    <n v="1466"/>
    <n v="28"/>
    <x v="1"/>
    <x v="0"/>
    <s v="Sales Executive"/>
    <s v="Marketing"/>
    <s v="Married"/>
    <s v="Non-Travel"/>
    <n v="12"/>
    <n v="5171"/>
    <x v="1"/>
    <x v="0"/>
    <n v="4"/>
    <n v="5"/>
    <n v="4"/>
    <n v="6"/>
    <s v="No"/>
    <x v="0"/>
    <x v="0"/>
    <x v="3"/>
    <n v="0"/>
  </r>
  <r>
    <n v="1507"/>
    <n v="25"/>
    <x v="0"/>
    <x v="2"/>
    <s v="Software Engineer"/>
    <s v="Human Resources"/>
    <s v="Married"/>
    <s v="Travel_Rarely"/>
    <n v="29"/>
    <n v="7582"/>
    <x v="1"/>
    <x v="2"/>
    <n v="1"/>
    <n v="0"/>
    <n v="0"/>
    <n v="0"/>
    <s v="Yes"/>
    <x v="2"/>
    <x v="3"/>
    <x v="0"/>
    <n v="1"/>
  </r>
  <r>
    <n v="1720"/>
    <n v="34"/>
    <x v="0"/>
    <x v="1"/>
    <s v="Research Director"/>
    <s v="Marketing"/>
    <s v="Single"/>
    <s v="Non-Travel"/>
    <n v="29"/>
    <n v="10159"/>
    <x v="0"/>
    <x v="1"/>
    <n v="2"/>
    <n v="6"/>
    <n v="3"/>
    <n v="14"/>
    <s v="No"/>
    <x v="0"/>
    <x v="0"/>
    <x v="0"/>
    <n v="0"/>
  </r>
  <r>
    <n v="1912"/>
    <n v="54"/>
    <x v="0"/>
    <x v="2"/>
    <s v="Software Engineer"/>
    <s v="Medical"/>
    <s v="Divorced"/>
    <s v="Travel_Frequently"/>
    <n v="20"/>
    <n v="10839"/>
    <x v="0"/>
    <x v="0"/>
    <n v="1"/>
    <n v="25"/>
    <n v="16"/>
    <n v="28"/>
    <s v="No"/>
    <x v="1"/>
    <x v="1"/>
    <x v="0"/>
    <n v="0"/>
  </r>
  <r>
    <n v="1952"/>
    <n v="42"/>
    <x v="0"/>
    <x v="2"/>
    <s v="Software Engineer"/>
    <s v="Medical"/>
    <s v="Divorced"/>
    <s v="Non-Travel"/>
    <n v="3"/>
    <n v="7238"/>
    <x v="0"/>
    <x v="1"/>
    <n v="4"/>
    <n v="15"/>
    <n v="9"/>
    <n v="16"/>
    <s v="No"/>
    <x v="1"/>
    <x v="2"/>
    <x v="2"/>
    <n v="0"/>
  </r>
  <r>
    <n v="1004"/>
    <n v="34"/>
    <x v="0"/>
    <x v="2"/>
    <s v="Data Analyst"/>
    <s v="Medical"/>
    <s v="Single"/>
    <s v="Travel_Frequently"/>
    <n v="12"/>
    <n v="4237"/>
    <x v="0"/>
    <x v="0"/>
    <n v="4"/>
    <n v="3"/>
    <n v="0"/>
    <n v="12"/>
    <s v="No"/>
    <x v="3"/>
    <x v="0"/>
    <x v="3"/>
    <n v="0"/>
  </r>
  <r>
    <n v="1822"/>
    <n v="58"/>
    <x v="1"/>
    <x v="0"/>
    <s v="Sales Representative"/>
    <s v="Marketing"/>
    <s v="Divorced"/>
    <s v="Non-Travel"/>
    <n v="9"/>
    <n v="12395"/>
    <x v="0"/>
    <x v="1"/>
    <n v="4"/>
    <n v="9"/>
    <n v="0"/>
    <n v="30"/>
    <s v="No"/>
    <x v="0"/>
    <x v="1"/>
    <x v="0"/>
    <n v="0"/>
  </r>
  <r>
    <n v="1564"/>
    <n v="36"/>
    <x v="0"/>
    <x v="0"/>
    <s v="Sales Representative"/>
    <s v="Medical"/>
    <s v="Married"/>
    <s v="Travel_Rarely"/>
    <n v="15"/>
    <n v="6585"/>
    <x v="0"/>
    <x v="0"/>
    <n v="2"/>
    <n v="1"/>
    <n v="1"/>
    <n v="9"/>
    <s v="No"/>
    <x v="2"/>
    <x v="2"/>
    <x v="2"/>
    <n v="0"/>
  </r>
  <r>
    <n v="1386"/>
    <n v="50"/>
    <x v="0"/>
    <x v="1"/>
    <s v="Research Scientist"/>
    <s v="Medical"/>
    <s v="Divorced"/>
    <s v="Travel_Frequently"/>
    <n v="23"/>
    <n v="12040"/>
    <x v="0"/>
    <x v="3"/>
    <n v="1"/>
    <n v="5"/>
    <n v="2"/>
    <n v="30"/>
    <s v="No"/>
    <x v="0"/>
    <x v="1"/>
    <x v="0"/>
    <n v="0"/>
  </r>
  <r>
    <n v="1128"/>
    <n v="45"/>
    <x v="0"/>
    <x v="0"/>
    <s v="Sales Manager"/>
    <s v="Technical Degree"/>
    <s v="Married"/>
    <s v="Non-Travel"/>
    <n v="17"/>
    <n v="12119"/>
    <x v="0"/>
    <x v="2"/>
    <n v="2"/>
    <n v="4"/>
    <n v="2"/>
    <n v="19"/>
    <s v="No"/>
    <x v="3"/>
    <x v="2"/>
    <x v="0"/>
    <n v="0"/>
  </r>
  <r>
    <n v="1259"/>
    <n v="42"/>
    <x v="0"/>
    <x v="0"/>
    <s v="Sales Representative"/>
    <s v="Medical"/>
    <s v="Single"/>
    <s v="Travel_Frequently"/>
    <n v="3"/>
    <n v="5203"/>
    <x v="0"/>
    <x v="1"/>
    <n v="4"/>
    <n v="2"/>
    <n v="1"/>
    <n v="10"/>
    <s v="No"/>
    <x v="3"/>
    <x v="2"/>
    <x v="3"/>
    <n v="0"/>
  </r>
  <r>
    <n v="1074"/>
    <n v="46"/>
    <x v="1"/>
    <x v="2"/>
    <s v="Software Engineer"/>
    <s v="Business"/>
    <s v="Divorced"/>
    <s v="Travel_Rarely"/>
    <n v="8"/>
    <n v="6787"/>
    <x v="0"/>
    <x v="0"/>
    <n v="2"/>
    <n v="13"/>
    <n v="4"/>
    <n v="16"/>
    <s v="No"/>
    <x v="1"/>
    <x v="1"/>
    <x v="2"/>
    <n v="0"/>
  </r>
  <r>
    <n v="1857"/>
    <n v="54"/>
    <x v="1"/>
    <x v="0"/>
    <s v="Sales Manager"/>
    <s v="Human Resources"/>
    <s v="Single"/>
    <s v="Non-Travel"/>
    <n v="6"/>
    <n v="12153"/>
    <x v="0"/>
    <x v="3"/>
    <n v="3"/>
    <n v="1"/>
    <n v="1"/>
    <n v="34"/>
    <s v="No"/>
    <x v="2"/>
    <x v="1"/>
    <x v="0"/>
    <n v="0"/>
  </r>
  <r>
    <n v="1261"/>
    <n v="23"/>
    <x v="1"/>
    <x v="4"/>
    <s v="Finance Manager"/>
    <s v="Business"/>
    <s v="Divorced"/>
    <s v="Non-Travel"/>
    <n v="11"/>
    <n v="10178"/>
    <x v="0"/>
    <x v="1"/>
    <n v="4"/>
    <n v="3"/>
    <n v="3"/>
    <n v="3"/>
    <s v="No"/>
    <x v="3"/>
    <x v="3"/>
    <x v="0"/>
    <n v="0"/>
  </r>
  <r>
    <n v="1828"/>
    <n v="22"/>
    <x v="0"/>
    <x v="0"/>
    <s v="Sales Executive"/>
    <s v="Human Resources"/>
    <s v="Married"/>
    <s v="Non-Travel"/>
    <n v="10"/>
    <n v="6652"/>
    <x v="0"/>
    <x v="2"/>
    <n v="2"/>
    <n v="0"/>
    <n v="0"/>
    <n v="0"/>
    <s v="Yes"/>
    <x v="2"/>
    <x v="3"/>
    <x v="2"/>
    <n v="1"/>
  </r>
  <r>
    <n v="1818"/>
    <n v="22"/>
    <x v="1"/>
    <x v="1"/>
    <s v="Laboratory Technician"/>
    <s v="Life Sciences"/>
    <s v="Married"/>
    <s v="Travel_Frequently"/>
    <n v="22"/>
    <n v="5382"/>
    <x v="0"/>
    <x v="2"/>
    <n v="3"/>
    <n v="0"/>
    <n v="0"/>
    <n v="2"/>
    <s v="No"/>
    <x v="2"/>
    <x v="3"/>
    <x v="3"/>
    <n v="0"/>
  </r>
  <r>
    <n v="1551"/>
    <n v="38"/>
    <x v="1"/>
    <x v="0"/>
    <s v="Sales Executive"/>
    <s v="Technical Degree"/>
    <s v="Single"/>
    <s v="Travel_Rarely"/>
    <n v="14"/>
    <n v="6931"/>
    <x v="0"/>
    <x v="2"/>
    <n v="4"/>
    <n v="13"/>
    <n v="3"/>
    <n v="16"/>
    <s v="No"/>
    <x v="1"/>
    <x v="2"/>
    <x v="2"/>
    <n v="0"/>
  </r>
  <r>
    <n v="1471"/>
    <n v="24"/>
    <x v="0"/>
    <x v="1"/>
    <s v="Research Director"/>
    <s v="Technical Degree"/>
    <s v="Married"/>
    <s v="Travel_Frequently"/>
    <n v="13"/>
    <n v="8133"/>
    <x v="1"/>
    <x v="2"/>
    <n v="3"/>
    <n v="0"/>
    <n v="0"/>
    <n v="0"/>
    <s v="Yes"/>
    <x v="2"/>
    <x v="3"/>
    <x v="0"/>
    <n v="1"/>
  </r>
  <r>
    <n v="1582"/>
    <n v="39"/>
    <x v="0"/>
    <x v="4"/>
    <s v="Accountant"/>
    <s v="Business"/>
    <s v="Married"/>
    <s v="Non-Travel"/>
    <n v="8"/>
    <n v="7991"/>
    <x v="0"/>
    <x v="4"/>
    <n v="2"/>
    <n v="0"/>
    <n v="0"/>
    <n v="8"/>
    <s v="Yes"/>
    <x v="2"/>
    <x v="2"/>
    <x v="0"/>
    <n v="1"/>
  </r>
  <r>
    <n v="1783"/>
    <n v="22"/>
    <x v="0"/>
    <x v="2"/>
    <s v="IT Support"/>
    <s v="Life Sciences"/>
    <s v="Divorced"/>
    <s v="Travel_Rarely"/>
    <n v="21"/>
    <n v="7420"/>
    <x v="0"/>
    <x v="3"/>
    <n v="1"/>
    <n v="0"/>
    <n v="0"/>
    <n v="0"/>
    <s v="Yes"/>
    <x v="2"/>
    <x v="3"/>
    <x v="2"/>
    <n v="1"/>
  </r>
  <r>
    <n v="1496"/>
    <n v="45"/>
    <x v="1"/>
    <x v="2"/>
    <s v="Data Analyst"/>
    <s v="Marketing"/>
    <s v="Divorced"/>
    <s v="Travel_Rarely"/>
    <n v="23"/>
    <n v="10558"/>
    <x v="0"/>
    <x v="1"/>
    <n v="1"/>
    <n v="1"/>
    <n v="1"/>
    <n v="12"/>
    <s v="No"/>
    <x v="2"/>
    <x v="2"/>
    <x v="0"/>
    <n v="0"/>
  </r>
  <r>
    <n v="1402"/>
    <n v="50"/>
    <x v="0"/>
    <x v="1"/>
    <s v="Healthcare Representative"/>
    <s v="Business"/>
    <s v="Single"/>
    <s v="Travel_Frequently"/>
    <n v="17"/>
    <n v="11816"/>
    <x v="0"/>
    <x v="2"/>
    <n v="4"/>
    <n v="13"/>
    <n v="0"/>
    <n v="25"/>
    <s v="No"/>
    <x v="1"/>
    <x v="1"/>
    <x v="0"/>
    <n v="0"/>
  </r>
  <r>
    <n v="1252"/>
    <n v="54"/>
    <x v="1"/>
    <x v="1"/>
    <s v="Research Director"/>
    <s v="Medical"/>
    <s v="Married"/>
    <s v="Travel_Frequently"/>
    <n v="13"/>
    <n v="12286"/>
    <x v="0"/>
    <x v="1"/>
    <n v="1"/>
    <n v="1"/>
    <n v="0"/>
    <n v="25"/>
    <s v="Yes"/>
    <x v="2"/>
    <x v="1"/>
    <x v="0"/>
    <n v="1"/>
  </r>
  <r>
    <n v="1384"/>
    <n v="48"/>
    <x v="1"/>
    <x v="4"/>
    <s v="Finance Manager"/>
    <s v="Marketing"/>
    <s v="Single"/>
    <s v="Travel_Rarely"/>
    <n v="26"/>
    <n v="12191"/>
    <x v="1"/>
    <x v="2"/>
    <n v="2"/>
    <n v="6"/>
    <n v="5"/>
    <n v="20"/>
    <s v="No"/>
    <x v="0"/>
    <x v="1"/>
    <x v="0"/>
    <n v="0"/>
  </r>
  <r>
    <n v="1664"/>
    <n v="24"/>
    <x v="1"/>
    <x v="1"/>
    <s v="Healthcare Representative"/>
    <s v="Marketing"/>
    <s v="Married"/>
    <s v="Travel_Rarely"/>
    <n v="13"/>
    <n v="7284"/>
    <x v="1"/>
    <x v="0"/>
    <n v="2"/>
    <n v="2"/>
    <n v="0"/>
    <n v="4"/>
    <s v="No"/>
    <x v="3"/>
    <x v="3"/>
    <x v="2"/>
    <n v="0"/>
  </r>
  <r>
    <n v="1188"/>
    <n v="43"/>
    <x v="1"/>
    <x v="1"/>
    <s v="Research Director"/>
    <s v="Life Sciences"/>
    <s v="Married"/>
    <s v="Non-Travel"/>
    <n v="26"/>
    <n v="11894"/>
    <x v="0"/>
    <x v="2"/>
    <n v="3"/>
    <n v="9"/>
    <n v="0"/>
    <n v="13"/>
    <s v="No"/>
    <x v="0"/>
    <x v="2"/>
    <x v="0"/>
    <n v="0"/>
  </r>
  <r>
    <n v="1829"/>
    <n v="31"/>
    <x v="1"/>
    <x v="0"/>
    <s v="Sales Representative"/>
    <s v="Business"/>
    <s v="Single"/>
    <s v="Travel_Rarely"/>
    <n v="13"/>
    <n v="8815"/>
    <x v="0"/>
    <x v="0"/>
    <n v="1"/>
    <n v="1"/>
    <n v="1"/>
    <n v="10"/>
    <s v="No"/>
    <x v="2"/>
    <x v="0"/>
    <x v="0"/>
    <n v="0"/>
  </r>
  <r>
    <n v="1921"/>
    <n v="21"/>
    <x v="1"/>
    <x v="0"/>
    <s v="Sales Representative"/>
    <s v="Technical Degree"/>
    <s v="Single"/>
    <s v="Non-Travel"/>
    <n v="22"/>
    <n v="2926"/>
    <x v="1"/>
    <x v="0"/>
    <n v="3"/>
    <n v="0"/>
    <n v="0"/>
    <n v="0"/>
    <s v="Yes"/>
    <x v="2"/>
    <x v="3"/>
    <x v="1"/>
    <n v="1"/>
  </r>
  <r>
    <n v="1764"/>
    <n v="42"/>
    <x v="1"/>
    <x v="0"/>
    <s v="Sales Executive"/>
    <s v="Business"/>
    <s v="Married"/>
    <s v="Non-Travel"/>
    <n v="18"/>
    <n v="6974"/>
    <x v="0"/>
    <x v="1"/>
    <n v="3"/>
    <n v="3"/>
    <n v="3"/>
    <n v="8"/>
    <s v="No"/>
    <x v="3"/>
    <x v="2"/>
    <x v="2"/>
    <n v="0"/>
  </r>
  <r>
    <n v="1211"/>
    <n v="52"/>
    <x v="0"/>
    <x v="4"/>
    <s v="Accountant"/>
    <s v="Life Sciences"/>
    <s v="Single"/>
    <s v="Non-Travel"/>
    <n v="4"/>
    <n v="12017"/>
    <x v="1"/>
    <x v="2"/>
    <n v="2"/>
    <n v="5"/>
    <n v="0"/>
    <n v="32"/>
    <s v="No"/>
    <x v="0"/>
    <x v="1"/>
    <x v="0"/>
    <n v="0"/>
  </r>
  <r>
    <n v="1890"/>
    <n v="52"/>
    <x v="0"/>
    <x v="0"/>
    <s v="Sales Representative"/>
    <s v="Other"/>
    <s v="Divorced"/>
    <s v="Travel_Rarely"/>
    <n v="22"/>
    <n v="10375"/>
    <x v="0"/>
    <x v="2"/>
    <n v="4"/>
    <n v="5"/>
    <n v="2"/>
    <n v="32"/>
    <s v="No"/>
    <x v="0"/>
    <x v="1"/>
    <x v="0"/>
    <n v="0"/>
  </r>
  <r>
    <n v="1654"/>
    <n v="28"/>
    <x v="0"/>
    <x v="1"/>
    <s v="Research Director"/>
    <s v="Medical"/>
    <s v="Single"/>
    <s v="Travel_Rarely"/>
    <n v="8"/>
    <n v="10148"/>
    <x v="0"/>
    <x v="1"/>
    <n v="1"/>
    <n v="0"/>
    <n v="0"/>
    <n v="0"/>
    <s v="No"/>
    <x v="2"/>
    <x v="0"/>
    <x v="0"/>
    <n v="0"/>
  </r>
  <r>
    <n v="1299"/>
    <n v="43"/>
    <x v="0"/>
    <x v="3"/>
    <s v="HR Manager"/>
    <s v="Other"/>
    <s v="Divorced"/>
    <s v="Travel_Frequently"/>
    <n v="24"/>
    <n v="10907"/>
    <x v="0"/>
    <x v="2"/>
    <n v="3"/>
    <n v="13"/>
    <n v="3"/>
    <n v="23"/>
    <s v="No"/>
    <x v="1"/>
    <x v="2"/>
    <x v="0"/>
    <n v="0"/>
  </r>
  <r>
    <n v="1741"/>
    <n v="42"/>
    <x v="0"/>
    <x v="0"/>
    <s v="Sales Executive"/>
    <s v="Technical Degree"/>
    <s v="Married"/>
    <s v="Travel_Rarely"/>
    <n v="12"/>
    <n v="6628"/>
    <x v="0"/>
    <x v="1"/>
    <n v="2"/>
    <n v="3"/>
    <n v="2"/>
    <n v="8"/>
    <s v="No"/>
    <x v="3"/>
    <x v="2"/>
    <x v="2"/>
    <n v="0"/>
  </r>
  <r>
    <n v="1121"/>
    <n v="25"/>
    <x v="1"/>
    <x v="0"/>
    <s v="Sales Executive"/>
    <s v="Human Resources"/>
    <s v="Married"/>
    <s v="Travel_Rarely"/>
    <n v="21"/>
    <n v="6665"/>
    <x v="0"/>
    <x v="2"/>
    <n v="1"/>
    <n v="4"/>
    <n v="2"/>
    <n v="5"/>
    <s v="No"/>
    <x v="3"/>
    <x v="3"/>
    <x v="2"/>
    <n v="0"/>
  </r>
  <r>
    <n v="1178"/>
    <n v="47"/>
    <x v="0"/>
    <x v="0"/>
    <s v="Sales Manager"/>
    <s v="Human Resources"/>
    <s v="Single"/>
    <s v="Travel_Frequently"/>
    <n v="7"/>
    <n v="12976"/>
    <x v="0"/>
    <x v="2"/>
    <n v="1"/>
    <n v="6"/>
    <n v="3"/>
    <n v="16"/>
    <s v="No"/>
    <x v="0"/>
    <x v="1"/>
    <x v="0"/>
    <n v="0"/>
  </r>
  <r>
    <n v="1533"/>
    <n v="45"/>
    <x v="0"/>
    <x v="2"/>
    <s v="IT Support"/>
    <s v="Marketing"/>
    <s v="Married"/>
    <s v="Non-Travel"/>
    <n v="28"/>
    <n v="8117"/>
    <x v="0"/>
    <x v="2"/>
    <n v="2"/>
    <n v="0"/>
    <n v="0"/>
    <n v="16"/>
    <s v="No"/>
    <x v="2"/>
    <x v="2"/>
    <x v="0"/>
    <n v="0"/>
  </r>
  <r>
    <n v="1596"/>
    <n v="32"/>
    <x v="0"/>
    <x v="4"/>
    <s v="Financial Analyst"/>
    <s v="Life Sciences"/>
    <s v="Married"/>
    <s v="Non-Travel"/>
    <n v="14"/>
    <n v="4018"/>
    <x v="0"/>
    <x v="0"/>
    <n v="1"/>
    <n v="5"/>
    <n v="4"/>
    <n v="9"/>
    <s v="No"/>
    <x v="0"/>
    <x v="0"/>
    <x v="3"/>
    <n v="0"/>
  </r>
  <r>
    <n v="1474"/>
    <n v="60"/>
    <x v="0"/>
    <x v="1"/>
    <s v="Research Scientist"/>
    <s v="Life Sciences"/>
    <s v="Married"/>
    <s v="Travel_Rarely"/>
    <n v="5"/>
    <n v="13642"/>
    <x v="1"/>
    <x v="3"/>
    <n v="4"/>
    <n v="9"/>
    <n v="2"/>
    <n v="37"/>
    <s v="Yes"/>
    <x v="0"/>
    <x v="1"/>
    <x v="0"/>
    <n v="1"/>
  </r>
  <r>
    <n v="1210"/>
    <n v="48"/>
    <x v="1"/>
    <x v="4"/>
    <s v="Financial Analyst"/>
    <s v="Business"/>
    <s v="Divorced"/>
    <s v="Non-Travel"/>
    <n v="28"/>
    <n v="10885"/>
    <x v="1"/>
    <x v="0"/>
    <n v="1"/>
    <n v="3"/>
    <n v="0"/>
    <n v="22"/>
    <s v="No"/>
    <x v="3"/>
    <x v="1"/>
    <x v="0"/>
    <n v="0"/>
  </r>
  <r>
    <n v="1867"/>
    <n v="59"/>
    <x v="1"/>
    <x v="2"/>
    <s v="Software Engineer"/>
    <s v="Business"/>
    <s v="Divorced"/>
    <s v="Travel_Rarely"/>
    <n v="24"/>
    <n v="10548"/>
    <x v="0"/>
    <x v="3"/>
    <n v="3"/>
    <n v="3"/>
    <n v="0"/>
    <n v="25"/>
    <s v="No"/>
    <x v="3"/>
    <x v="1"/>
    <x v="0"/>
    <n v="0"/>
  </r>
  <r>
    <n v="1903"/>
    <n v="47"/>
    <x v="1"/>
    <x v="4"/>
    <s v="Finance Manager"/>
    <s v="Human Resources"/>
    <s v="Married"/>
    <s v="Travel_Rarely"/>
    <n v="14"/>
    <n v="13081"/>
    <x v="0"/>
    <x v="0"/>
    <n v="1"/>
    <n v="18"/>
    <n v="5"/>
    <n v="22"/>
    <s v="No"/>
    <x v="1"/>
    <x v="1"/>
    <x v="0"/>
    <n v="0"/>
  </r>
  <r>
    <n v="1556"/>
    <n v="49"/>
    <x v="1"/>
    <x v="1"/>
    <s v="Research Scientist"/>
    <s v="Human Resources"/>
    <s v="Married"/>
    <s v="Travel_Frequently"/>
    <n v="7"/>
    <n v="8659"/>
    <x v="0"/>
    <x v="3"/>
    <n v="2"/>
    <n v="15"/>
    <n v="7"/>
    <n v="29"/>
    <s v="No"/>
    <x v="1"/>
    <x v="1"/>
    <x v="0"/>
    <n v="0"/>
  </r>
  <r>
    <n v="1730"/>
    <n v="29"/>
    <x v="1"/>
    <x v="4"/>
    <s v="Finance Manager"/>
    <s v="Medical"/>
    <s v="Single"/>
    <s v="Travel_Frequently"/>
    <n v="2"/>
    <n v="10385"/>
    <x v="0"/>
    <x v="2"/>
    <n v="1"/>
    <n v="2"/>
    <n v="2"/>
    <n v="9"/>
    <s v="No"/>
    <x v="3"/>
    <x v="0"/>
    <x v="0"/>
    <n v="0"/>
  </r>
  <r>
    <n v="1876"/>
    <n v="28"/>
    <x v="0"/>
    <x v="1"/>
    <s v="Research Scientist"/>
    <s v="Marketing"/>
    <s v="Married"/>
    <s v="Non-Travel"/>
    <n v="7"/>
    <n v="4732"/>
    <x v="0"/>
    <x v="0"/>
    <n v="2"/>
    <n v="0"/>
    <n v="0"/>
    <n v="0"/>
    <s v="No"/>
    <x v="2"/>
    <x v="0"/>
    <x v="3"/>
    <n v="0"/>
  </r>
  <r>
    <n v="1703"/>
    <n v="51"/>
    <x v="1"/>
    <x v="3"/>
    <s v="HR Manager"/>
    <s v="Other"/>
    <s v="Divorced"/>
    <s v="Travel_Rarely"/>
    <n v="4"/>
    <n v="12324"/>
    <x v="0"/>
    <x v="3"/>
    <n v="3"/>
    <n v="6"/>
    <n v="2"/>
    <n v="15"/>
    <s v="No"/>
    <x v="0"/>
    <x v="1"/>
    <x v="0"/>
    <n v="0"/>
  </r>
  <r>
    <n v="1704"/>
    <n v="51"/>
    <x v="0"/>
    <x v="0"/>
    <s v="Sales Executive"/>
    <s v="Human Resources"/>
    <s v="Single"/>
    <s v="Travel_Rarely"/>
    <n v="19"/>
    <n v="9777"/>
    <x v="0"/>
    <x v="1"/>
    <n v="4"/>
    <n v="19"/>
    <n v="8"/>
    <n v="22"/>
    <s v="No"/>
    <x v="1"/>
    <x v="1"/>
    <x v="0"/>
    <n v="0"/>
  </r>
  <r>
    <n v="1195"/>
    <n v="25"/>
    <x v="0"/>
    <x v="0"/>
    <s v="Sales Manager"/>
    <s v="Other"/>
    <s v="Single"/>
    <s v="Travel_Rarely"/>
    <n v="10"/>
    <n v="10777"/>
    <x v="0"/>
    <x v="3"/>
    <n v="2"/>
    <n v="1"/>
    <n v="0"/>
    <n v="1"/>
    <s v="No"/>
    <x v="2"/>
    <x v="3"/>
    <x v="0"/>
    <n v="0"/>
  </r>
  <r>
    <n v="1303"/>
    <n v="27"/>
    <x v="1"/>
    <x v="0"/>
    <s v="Sales Manager"/>
    <s v="Human Resources"/>
    <s v="Divorced"/>
    <s v="Travel_Frequently"/>
    <n v="26"/>
    <n v="7537"/>
    <x v="0"/>
    <x v="3"/>
    <n v="4"/>
    <n v="2"/>
    <n v="0"/>
    <n v="2"/>
    <s v="No"/>
    <x v="3"/>
    <x v="0"/>
    <x v="0"/>
    <n v="0"/>
  </r>
  <r>
    <n v="1807"/>
    <n v="40"/>
    <x v="0"/>
    <x v="1"/>
    <s v="Healthcare Representative"/>
    <s v="Technical Degree"/>
    <s v="Single"/>
    <s v="Travel_Frequently"/>
    <n v="27"/>
    <n v="10177"/>
    <x v="0"/>
    <x v="2"/>
    <n v="4"/>
    <n v="3"/>
    <n v="3"/>
    <n v="13"/>
    <s v="No"/>
    <x v="3"/>
    <x v="2"/>
    <x v="0"/>
    <n v="0"/>
  </r>
  <r>
    <n v="1143"/>
    <n v="24"/>
    <x v="1"/>
    <x v="1"/>
    <s v="Research Director"/>
    <s v="Human Resources"/>
    <s v="Single"/>
    <s v="Travel_Frequently"/>
    <n v="17"/>
    <n v="9120"/>
    <x v="0"/>
    <x v="3"/>
    <n v="2"/>
    <n v="2"/>
    <n v="2"/>
    <n v="2"/>
    <s v="No"/>
    <x v="3"/>
    <x v="3"/>
    <x v="0"/>
    <n v="0"/>
  </r>
  <r>
    <n v="1628"/>
    <n v="24"/>
    <x v="0"/>
    <x v="4"/>
    <s v="Financial Analyst"/>
    <s v="Other"/>
    <s v="Married"/>
    <s v="Non-Travel"/>
    <n v="12"/>
    <n v="7610"/>
    <x v="0"/>
    <x v="1"/>
    <n v="3"/>
    <n v="0"/>
    <n v="0"/>
    <n v="0"/>
    <s v="No"/>
    <x v="2"/>
    <x v="3"/>
    <x v="0"/>
    <n v="0"/>
  </r>
  <r>
    <n v="1193"/>
    <n v="28"/>
    <x v="1"/>
    <x v="1"/>
    <s v="Research Director"/>
    <s v="Life Sciences"/>
    <s v="Married"/>
    <s v="Travel_Rarely"/>
    <n v="1"/>
    <n v="10823"/>
    <x v="0"/>
    <x v="3"/>
    <n v="1"/>
    <n v="0"/>
    <n v="0"/>
    <n v="0"/>
    <s v="No"/>
    <x v="2"/>
    <x v="0"/>
    <x v="0"/>
    <n v="0"/>
  </r>
  <r>
    <n v="1675"/>
    <n v="45"/>
    <x v="0"/>
    <x v="1"/>
    <s v="Research Director"/>
    <s v="Technical Degree"/>
    <s v="Single"/>
    <s v="Travel_Rarely"/>
    <n v="26"/>
    <n v="8604"/>
    <x v="1"/>
    <x v="1"/>
    <n v="2"/>
    <n v="3"/>
    <n v="2"/>
    <n v="18"/>
    <s v="No"/>
    <x v="3"/>
    <x v="2"/>
    <x v="0"/>
    <n v="0"/>
  </r>
  <r>
    <n v="1686"/>
    <n v="30"/>
    <x v="1"/>
    <x v="1"/>
    <s v="Research Director"/>
    <s v="Business"/>
    <s v="Divorced"/>
    <s v="Travel_Frequently"/>
    <n v="19"/>
    <n v="13887"/>
    <x v="0"/>
    <x v="2"/>
    <n v="3"/>
    <n v="7"/>
    <n v="7"/>
    <n v="9"/>
    <s v="No"/>
    <x v="0"/>
    <x v="0"/>
    <x v="0"/>
    <n v="0"/>
  </r>
  <r>
    <n v="1435"/>
    <n v="38"/>
    <x v="0"/>
    <x v="1"/>
    <s v="Research Scientist"/>
    <s v="Technical Degree"/>
    <s v="Divorced"/>
    <s v="Travel_Frequently"/>
    <n v="26"/>
    <n v="8394"/>
    <x v="0"/>
    <x v="2"/>
    <n v="3"/>
    <n v="12"/>
    <n v="3"/>
    <n v="14"/>
    <s v="No"/>
    <x v="1"/>
    <x v="2"/>
    <x v="0"/>
    <n v="0"/>
  </r>
  <r>
    <n v="1613"/>
    <n v="40"/>
    <x v="0"/>
    <x v="1"/>
    <s v="Healthcare Representative"/>
    <s v="Other"/>
    <s v="Divorced"/>
    <s v="Non-Travel"/>
    <n v="22"/>
    <n v="11843"/>
    <x v="1"/>
    <x v="3"/>
    <n v="3"/>
    <n v="7"/>
    <n v="7"/>
    <n v="20"/>
    <s v="No"/>
    <x v="0"/>
    <x v="2"/>
    <x v="0"/>
    <n v="0"/>
  </r>
  <r>
    <n v="1271"/>
    <n v="23"/>
    <x v="1"/>
    <x v="2"/>
    <s v="Software Engineer"/>
    <s v="Technical Degree"/>
    <s v="Single"/>
    <s v="Travel_Frequently"/>
    <n v="28"/>
    <n v="5009"/>
    <x v="1"/>
    <x v="0"/>
    <n v="4"/>
    <n v="0"/>
    <n v="0"/>
    <n v="0"/>
    <s v="No"/>
    <x v="2"/>
    <x v="3"/>
    <x v="3"/>
    <n v="0"/>
  </r>
  <r>
    <n v="1989"/>
    <n v="54"/>
    <x v="0"/>
    <x v="2"/>
    <s v="IT Manager"/>
    <s v="Other"/>
    <s v="Divorced"/>
    <s v="Travel_Frequently"/>
    <n v="21"/>
    <n v="14974"/>
    <x v="0"/>
    <x v="3"/>
    <n v="3"/>
    <n v="2"/>
    <n v="2"/>
    <n v="19"/>
    <s v="No"/>
    <x v="3"/>
    <x v="1"/>
    <x v="0"/>
    <n v="0"/>
  </r>
  <r>
    <n v="1422"/>
    <n v="31"/>
    <x v="1"/>
    <x v="0"/>
    <s v="Sales Manager"/>
    <s v="Medical"/>
    <s v="Single"/>
    <s v="Non-Travel"/>
    <n v="24"/>
    <n v="10244"/>
    <x v="0"/>
    <x v="2"/>
    <n v="3"/>
    <n v="1"/>
    <n v="0"/>
    <n v="7"/>
    <s v="No"/>
    <x v="2"/>
    <x v="0"/>
    <x v="0"/>
    <n v="0"/>
  </r>
  <r>
    <n v="1693"/>
    <n v="46"/>
    <x v="0"/>
    <x v="4"/>
    <s v="Accountant"/>
    <s v="Human Resources"/>
    <s v="Married"/>
    <s v="Travel_Rarely"/>
    <n v="17"/>
    <n v="9479"/>
    <x v="0"/>
    <x v="1"/>
    <n v="3"/>
    <n v="25"/>
    <n v="23"/>
    <n v="26"/>
    <s v="No"/>
    <x v="1"/>
    <x v="1"/>
    <x v="0"/>
    <n v="0"/>
  </r>
  <r>
    <n v="1531"/>
    <n v="30"/>
    <x v="1"/>
    <x v="0"/>
    <s v="Sales Executive"/>
    <s v="Business"/>
    <s v="Divorced"/>
    <s v="Travel_Frequently"/>
    <n v="18"/>
    <n v="4161"/>
    <x v="0"/>
    <x v="1"/>
    <n v="2"/>
    <n v="2"/>
    <n v="2"/>
    <n v="4"/>
    <s v="No"/>
    <x v="3"/>
    <x v="0"/>
    <x v="3"/>
    <n v="0"/>
  </r>
  <r>
    <n v="1344"/>
    <n v="20"/>
    <x v="0"/>
    <x v="0"/>
    <s v="Sales Representative"/>
    <s v="Technical Degree"/>
    <s v="Single"/>
    <s v="Non-Travel"/>
    <n v="17"/>
    <n v="6142"/>
    <x v="0"/>
    <x v="1"/>
    <n v="3"/>
    <n v="0"/>
    <n v="0"/>
    <n v="0"/>
    <s v="No"/>
    <x v="2"/>
    <x v="3"/>
    <x v="2"/>
    <n v="0"/>
  </r>
  <r>
    <n v="1197"/>
    <n v="24"/>
    <x v="1"/>
    <x v="0"/>
    <s v="Sales Representative"/>
    <s v="Other"/>
    <s v="Married"/>
    <s v="Travel_Rarely"/>
    <n v="21"/>
    <n v="5434"/>
    <x v="0"/>
    <x v="1"/>
    <n v="4"/>
    <n v="1"/>
    <n v="0"/>
    <n v="1"/>
    <s v="No"/>
    <x v="2"/>
    <x v="3"/>
    <x v="3"/>
    <n v="0"/>
  </r>
  <r>
    <n v="1314"/>
    <n v="20"/>
    <x v="1"/>
    <x v="1"/>
    <s v="Research Director"/>
    <s v="Medical"/>
    <s v="Single"/>
    <s v="Travel_Rarely"/>
    <n v="9"/>
    <n v="9171"/>
    <x v="0"/>
    <x v="0"/>
    <n v="3"/>
    <n v="0"/>
    <n v="0"/>
    <n v="0"/>
    <s v="Yes"/>
    <x v="2"/>
    <x v="3"/>
    <x v="0"/>
    <n v="1"/>
  </r>
  <r>
    <n v="1357"/>
    <n v="44"/>
    <x v="1"/>
    <x v="0"/>
    <s v="Sales Manager"/>
    <s v="Technical Degree"/>
    <s v="Married"/>
    <s v="Travel_Rarely"/>
    <n v="14"/>
    <n v="10586"/>
    <x v="0"/>
    <x v="2"/>
    <n v="2"/>
    <n v="10"/>
    <n v="10"/>
    <n v="12"/>
    <s v="No"/>
    <x v="1"/>
    <x v="2"/>
    <x v="0"/>
    <n v="0"/>
  </r>
  <r>
    <n v="1196"/>
    <n v="51"/>
    <x v="0"/>
    <x v="1"/>
    <s v="Laboratory Technician"/>
    <s v="Medical"/>
    <s v="Divorced"/>
    <s v="Travel_Frequently"/>
    <n v="27"/>
    <n v="9690"/>
    <x v="0"/>
    <x v="0"/>
    <n v="2"/>
    <n v="0"/>
    <n v="0"/>
    <n v="25"/>
    <s v="No"/>
    <x v="2"/>
    <x v="1"/>
    <x v="0"/>
    <n v="0"/>
  </r>
  <r>
    <n v="1884"/>
    <n v="58"/>
    <x v="0"/>
    <x v="0"/>
    <s v="Sales Representative"/>
    <s v="Marketing"/>
    <s v="Married"/>
    <s v="Travel_Rarely"/>
    <n v="3"/>
    <n v="10298"/>
    <x v="0"/>
    <x v="3"/>
    <n v="1"/>
    <n v="3"/>
    <n v="0"/>
    <n v="33"/>
    <s v="Yes"/>
    <x v="3"/>
    <x v="1"/>
    <x v="0"/>
    <n v="1"/>
  </r>
  <r>
    <n v="1246"/>
    <n v="49"/>
    <x v="1"/>
    <x v="0"/>
    <s v="Sales Representative"/>
    <s v="Technical Degree"/>
    <s v="Married"/>
    <s v="Travel_Rarely"/>
    <n v="28"/>
    <n v="8969"/>
    <x v="0"/>
    <x v="2"/>
    <n v="2"/>
    <n v="20"/>
    <n v="18"/>
    <n v="28"/>
    <s v="No"/>
    <x v="1"/>
    <x v="1"/>
    <x v="0"/>
    <n v="0"/>
  </r>
  <r>
    <n v="1332"/>
    <n v="39"/>
    <x v="1"/>
    <x v="0"/>
    <s v="Sales Manager"/>
    <s v="Business"/>
    <s v="Married"/>
    <s v="Non-Travel"/>
    <n v="26"/>
    <n v="14716"/>
    <x v="1"/>
    <x v="2"/>
    <n v="3"/>
    <n v="6"/>
    <n v="0"/>
    <n v="18"/>
    <s v="No"/>
    <x v="0"/>
    <x v="2"/>
    <x v="0"/>
    <n v="0"/>
  </r>
  <r>
    <n v="1321"/>
    <n v="46"/>
    <x v="0"/>
    <x v="1"/>
    <s v="Healthcare Representative"/>
    <s v="Marketing"/>
    <s v="Divorced"/>
    <s v="Non-Travel"/>
    <n v="4"/>
    <n v="12664"/>
    <x v="1"/>
    <x v="1"/>
    <n v="2"/>
    <n v="4"/>
    <n v="1"/>
    <n v="26"/>
    <s v="Yes"/>
    <x v="3"/>
    <x v="1"/>
    <x v="0"/>
    <n v="1"/>
  </r>
  <r>
    <n v="1234"/>
    <n v="36"/>
    <x v="1"/>
    <x v="4"/>
    <s v="Accountant"/>
    <s v="Marketing"/>
    <s v="Single"/>
    <s v="Travel_Rarely"/>
    <n v="20"/>
    <n v="8242"/>
    <x v="1"/>
    <x v="0"/>
    <n v="4"/>
    <n v="7"/>
    <n v="0"/>
    <n v="7"/>
    <s v="No"/>
    <x v="0"/>
    <x v="2"/>
    <x v="0"/>
    <n v="0"/>
  </r>
  <r>
    <n v="1886"/>
    <n v="26"/>
    <x v="1"/>
    <x v="4"/>
    <s v="Finance Manager"/>
    <s v="Life Sciences"/>
    <s v="Divorced"/>
    <s v="Non-Travel"/>
    <n v="26"/>
    <n v="9723"/>
    <x v="0"/>
    <x v="3"/>
    <n v="2"/>
    <n v="0"/>
    <n v="0"/>
    <n v="0"/>
    <s v="No"/>
    <x v="2"/>
    <x v="0"/>
    <x v="0"/>
    <n v="0"/>
  </r>
  <r>
    <n v="1609"/>
    <n v="25"/>
    <x v="1"/>
    <x v="0"/>
    <s v="Sales Manager"/>
    <s v="Human Resources"/>
    <s v="Married"/>
    <s v="Travel_Frequently"/>
    <n v="8"/>
    <n v="12327"/>
    <x v="0"/>
    <x v="0"/>
    <n v="4"/>
    <n v="0"/>
    <n v="0"/>
    <n v="5"/>
    <s v="No"/>
    <x v="2"/>
    <x v="3"/>
    <x v="0"/>
    <n v="0"/>
  </r>
  <r>
    <n v="1296"/>
    <n v="25"/>
    <x v="1"/>
    <x v="3"/>
    <s v="HR Manager"/>
    <s v="Other"/>
    <s v="Single"/>
    <s v="Travel_Frequently"/>
    <n v="26"/>
    <n v="10530"/>
    <x v="0"/>
    <x v="3"/>
    <n v="4"/>
    <n v="1"/>
    <n v="1"/>
    <n v="2"/>
    <s v="No"/>
    <x v="2"/>
    <x v="3"/>
    <x v="0"/>
    <n v="0"/>
  </r>
  <r>
    <n v="1278"/>
    <n v="51"/>
    <x v="1"/>
    <x v="1"/>
    <s v="Healthcare Representative"/>
    <s v="Business"/>
    <s v="Divorced"/>
    <s v="Non-Travel"/>
    <n v="25"/>
    <n v="11994"/>
    <x v="0"/>
    <x v="1"/>
    <n v="2"/>
    <n v="6"/>
    <n v="2"/>
    <n v="31"/>
    <s v="No"/>
    <x v="0"/>
    <x v="1"/>
    <x v="0"/>
    <n v="0"/>
  </r>
  <r>
    <n v="1275"/>
    <n v="51"/>
    <x v="0"/>
    <x v="3"/>
    <s v="HR Manager"/>
    <s v="Marketing"/>
    <s v="Divorced"/>
    <s v="Travel_Frequently"/>
    <n v="26"/>
    <n v="11625"/>
    <x v="0"/>
    <x v="3"/>
    <n v="2"/>
    <n v="2"/>
    <n v="2"/>
    <n v="28"/>
    <s v="No"/>
    <x v="3"/>
    <x v="1"/>
    <x v="0"/>
    <n v="0"/>
  </r>
  <r>
    <n v="1645"/>
    <n v="60"/>
    <x v="1"/>
    <x v="1"/>
    <s v="Research Director"/>
    <s v="Medical"/>
    <s v="Divorced"/>
    <s v="Travel_Rarely"/>
    <n v="9"/>
    <n v="15996"/>
    <x v="0"/>
    <x v="2"/>
    <n v="1"/>
    <n v="13"/>
    <n v="7"/>
    <n v="39"/>
    <s v="No"/>
    <x v="1"/>
    <x v="1"/>
    <x v="0"/>
    <n v="0"/>
  </r>
  <r>
    <n v="1258"/>
    <n v="46"/>
    <x v="1"/>
    <x v="2"/>
    <s v="IT Manager"/>
    <s v="Technical Degree"/>
    <s v="Divorced"/>
    <s v="Travel_Rarely"/>
    <n v="19"/>
    <n v="10468"/>
    <x v="0"/>
    <x v="3"/>
    <n v="1"/>
    <n v="3"/>
    <n v="1"/>
    <n v="16"/>
    <s v="No"/>
    <x v="3"/>
    <x v="1"/>
    <x v="0"/>
    <n v="0"/>
  </r>
  <r>
    <n v="1065"/>
    <n v="56"/>
    <x v="0"/>
    <x v="0"/>
    <s v="Sales Representative"/>
    <s v="Human Resources"/>
    <s v="Married"/>
    <s v="Travel_Rarely"/>
    <n v="5"/>
    <n v="9797"/>
    <x v="0"/>
    <x v="3"/>
    <n v="4"/>
    <n v="5"/>
    <n v="0"/>
    <n v="30"/>
    <s v="No"/>
    <x v="0"/>
    <x v="1"/>
    <x v="0"/>
    <n v="0"/>
  </r>
  <r>
    <n v="1647"/>
    <n v="26"/>
    <x v="1"/>
    <x v="1"/>
    <s v="Research Scientist"/>
    <s v="Technical Degree"/>
    <s v="Divorced"/>
    <s v="Travel_Frequently"/>
    <n v="12"/>
    <n v="3747"/>
    <x v="0"/>
    <x v="0"/>
    <n v="3"/>
    <n v="0"/>
    <n v="0"/>
    <n v="0"/>
    <s v="No"/>
    <x v="2"/>
    <x v="0"/>
    <x v="3"/>
    <n v="0"/>
  </r>
  <r>
    <n v="1632"/>
    <n v="58"/>
    <x v="0"/>
    <x v="2"/>
    <s v="Software Engineer"/>
    <s v="Other"/>
    <s v="Single"/>
    <s v="Travel_Rarely"/>
    <n v="17"/>
    <n v="12081"/>
    <x v="0"/>
    <x v="0"/>
    <n v="3"/>
    <n v="14"/>
    <n v="5"/>
    <n v="29"/>
    <s v="No"/>
    <x v="1"/>
    <x v="1"/>
    <x v="0"/>
    <n v="0"/>
  </r>
  <r>
    <n v="1530"/>
    <n v="48"/>
    <x v="0"/>
    <x v="3"/>
    <s v="HR Manager"/>
    <s v="Human Resources"/>
    <s v="Married"/>
    <s v="Travel_Frequently"/>
    <n v="11"/>
    <n v="15158"/>
    <x v="0"/>
    <x v="2"/>
    <n v="2"/>
    <n v="2"/>
    <n v="2"/>
    <n v="28"/>
    <s v="No"/>
    <x v="3"/>
    <x v="1"/>
    <x v="0"/>
    <n v="0"/>
  </r>
  <r>
    <n v="1546"/>
    <n v="32"/>
    <x v="0"/>
    <x v="2"/>
    <s v="IT Support"/>
    <s v="Medical"/>
    <s v="Married"/>
    <s v="Travel_Rarely"/>
    <n v="21"/>
    <n v="7292"/>
    <x v="0"/>
    <x v="1"/>
    <n v="4"/>
    <n v="8"/>
    <n v="4"/>
    <n v="8"/>
    <s v="Yes"/>
    <x v="0"/>
    <x v="0"/>
    <x v="2"/>
    <n v="1"/>
  </r>
  <r>
    <n v="1351"/>
    <n v="30"/>
    <x v="0"/>
    <x v="0"/>
    <s v="Sales Representative"/>
    <s v="Human Resources"/>
    <s v="Single"/>
    <s v="Non-Travel"/>
    <n v="12"/>
    <n v="6849"/>
    <x v="1"/>
    <x v="1"/>
    <n v="2"/>
    <n v="7"/>
    <n v="2"/>
    <n v="10"/>
    <s v="Yes"/>
    <x v="0"/>
    <x v="0"/>
    <x v="2"/>
    <n v="1"/>
  </r>
  <r>
    <n v="1502"/>
    <n v="53"/>
    <x v="1"/>
    <x v="4"/>
    <s v="Financial Analyst"/>
    <s v="Technical Degree"/>
    <s v="Married"/>
    <s v="Travel_Rarely"/>
    <n v="15"/>
    <n v="10836"/>
    <x v="0"/>
    <x v="1"/>
    <n v="4"/>
    <n v="17"/>
    <n v="2"/>
    <n v="23"/>
    <s v="No"/>
    <x v="1"/>
    <x v="1"/>
    <x v="0"/>
    <n v="0"/>
  </r>
  <r>
    <n v="1709"/>
    <n v="22"/>
    <x v="0"/>
    <x v="0"/>
    <s v="Sales Representative"/>
    <s v="Human Resources"/>
    <s v="Married"/>
    <s v="Travel_Rarely"/>
    <n v="27"/>
    <n v="3653"/>
    <x v="0"/>
    <x v="1"/>
    <n v="1"/>
    <n v="0"/>
    <n v="0"/>
    <n v="2"/>
    <s v="No"/>
    <x v="2"/>
    <x v="3"/>
    <x v="3"/>
    <n v="0"/>
  </r>
  <r>
    <n v="1094"/>
    <n v="24"/>
    <x v="1"/>
    <x v="1"/>
    <s v="Research Director"/>
    <s v="Business"/>
    <s v="Married"/>
    <s v="Travel_Frequently"/>
    <n v="26"/>
    <n v="6059"/>
    <x v="0"/>
    <x v="2"/>
    <n v="4"/>
    <n v="0"/>
    <n v="0"/>
    <n v="0"/>
    <s v="No"/>
    <x v="2"/>
    <x v="3"/>
    <x v="2"/>
    <n v="0"/>
  </r>
  <r>
    <n v="1346"/>
    <n v="31"/>
    <x v="1"/>
    <x v="1"/>
    <s v="Healthcare Representative"/>
    <s v="Other"/>
    <s v="Single"/>
    <s v="Travel_Rarely"/>
    <n v="19"/>
    <n v="5820"/>
    <x v="0"/>
    <x v="0"/>
    <n v="1"/>
    <n v="0"/>
    <n v="0"/>
    <n v="0"/>
    <s v="No"/>
    <x v="2"/>
    <x v="0"/>
    <x v="2"/>
    <n v="0"/>
  </r>
  <r>
    <n v="1481"/>
    <n v="39"/>
    <x v="0"/>
    <x v="4"/>
    <s v="Financial Analyst"/>
    <s v="Marketing"/>
    <s v="Married"/>
    <s v="Travel_Frequently"/>
    <n v="3"/>
    <n v="11812"/>
    <x v="1"/>
    <x v="2"/>
    <n v="1"/>
    <n v="14"/>
    <n v="10"/>
    <n v="17"/>
    <s v="No"/>
    <x v="1"/>
    <x v="2"/>
    <x v="0"/>
    <n v="0"/>
  </r>
  <r>
    <n v="1919"/>
    <n v="43"/>
    <x v="1"/>
    <x v="4"/>
    <s v="Financial Analyst"/>
    <s v="Technical Degree"/>
    <s v="Married"/>
    <s v="Non-Travel"/>
    <n v="26"/>
    <n v="9366"/>
    <x v="0"/>
    <x v="0"/>
    <n v="4"/>
    <n v="16"/>
    <n v="0"/>
    <n v="19"/>
    <s v="No"/>
    <x v="1"/>
    <x v="2"/>
    <x v="0"/>
    <n v="0"/>
  </r>
  <r>
    <n v="1588"/>
    <n v="23"/>
    <x v="1"/>
    <x v="2"/>
    <s v="Data Analyst"/>
    <s v="Technical Degree"/>
    <s v="Married"/>
    <s v="Travel_Frequently"/>
    <n v="8"/>
    <n v="7711"/>
    <x v="0"/>
    <x v="2"/>
    <n v="2"/>
    <n v="0"/>
    <n v="0"/>
    <n v="2"/>
    <s v="No"/>
    <x v="2"/>
    <x v="3"/>
    <x v="0"/>
    <n v="0"/>
  </r>
  <r>
    <n v="1677"/>
    <n v="48"/>
    <x v="0"/>
    <x v="1"/>
    <s v="Research Director"/>
    <s v="Life Sciences"/>
    <s v="Divorced"/>
    <s v="Travel_Frequently"/>
    <n v="20"/>
    <n v="12357"/>
    <x v="1"/>
    <x v="1"/>
    <n v="4"/>
    <n v="11"/>
    <n v="9"/>
    <n v="25"/>
    <s v="No"/>
    <x v="1"/>
    <x v="1"/>
    <x v="0"/>
    <n v="0"/>
  </r>
  <r>
    <n v="1843"/>
    <n v="46"/>
    <x v="1"/>
    <x v="1"/>
    <s v="Laboratory Technician"/>
    <s v="Marketing"/>
    <s v="Married"/>
    <s v="Travel_Rarely"/>
    <n v="13"/>
    <n v="9437"/>
    <x v="1"/>
    <x v="0"/>
    <n v="4"/>
    <n v="24"/>
    <n v="11"/>
    <n v="25"/>
    <s v="No"/>
    <x v="1"/>
    <x v="1"/>
    <x v="0"/>
    <n v="0"/>
  </r>
  <r>
    <n v="1815"/>
    <n v="41"/>
    <x v="1"/>
    <x v="1"/>
    <s v="Research Scientist"/>
    <s v="Technical Degree"/>
    <s v="Divorced"/>
    <s v="Non-Travel"/>
    <n v="3"/>
    <n v="7420"/>
    <x v="1"/>
    <x v="1"/>
    <n v="1"/>
    <n v="1"/>
    <n v="1"/>
    <n v="7"/>
    <s v="Yes"/>
    <x v="2"/>
    <x v="2"/>
    <x v="2"/>
    <n v="1"/>
  </r>
  <r>
    <n v="1699"/>
    <n v="27"/>
    <x v="1"/>
    <x v="0"/>
    <s v="Sales Manager"/>
    <s v="Marketing"/>
    <s v="Single"/>
    <s v="Travel_Rarely"/>
    <n v="7"/>
    <n v="10490"/>
    <x v="0"/>
    <x v="2"/>
    <n v="3"/>
    <n v="1"/>
    <n v="0"/>
    <n v="6"/>
    <s v="No"/>
    <x v="2"/>
    <x v="0"/>
    <x v="0"/>
    <n v="0"/>
  </r>
  <r>
    <n v="1945"/>
    <n v="43"/>
    <x v="0"/>
    <x v="1"/>
    <s v="Research Scientist"/>
    <s v="Life Sciences"/>
    <s v="Single"/>
    <s v="Travel_Rarely"/>
    <n v="26"/>
    <n v="7447"/>
    <x v="0"/>
    <x v="3"/>
    <n v="3"/>
    <n v="14"/>
    <n v="7"/>
    <n v="15"/>
    <s v="No"/>
    <x v="1"/>
    <x v="2"/>
    <x v="2"/>
    <n v="0"/>
  </r>
  <r>
    <n v="1712"/>
    <n v="23"/>
    <x v="1"/>
    <x v="4"/>
    <s v="Finance Manager"/>
    <s v="Other"/>
    <s v="Married"/>
    <s v="Travel_Rarely"/>
    <n v="11"/>
    <n v="11849"/>
    <x v="1"/>
    <x v="1"/>
    <n v="3"/>
    <n v="0"/>
    <n v="0"/>
    <n v="0"/>
    <s v="No"/>
    <x v="2"/>
    <x v="3"/>
    <x v="0"/>
    <n v="0"/>
  </r>
  <r>
    <n v="1604"/>
    <n v="40"/>
    <x v="1"/>
    <x v="1"/>
    <s v="Research Director"/>
    <s v="Human Resources"/>
    <s v="Married"/>
    <s v="Travel_Frequently"/>
    <n v="1"/>
    <n v="9658"/>
    <x v="0"/>
    <x v="0"/>
    <n v="3"/>
    <n v="12"/>
    <n v="6"/>
    <n v="20"/>
    <s v="No"/>
    <x v="1"/>
    <x v="2"/>
    <x v="0"/>
    <n v="0"/>
  </r>
  <r>
    <n v="1705"/>
    <n v="52"/>
    <x v="0"/>
    <x v="0"/>
    <s v="Sales Executive"/>
    <s v="Other"/>
    <s v="Single"/>
    <s v="Travel_Rarely"/>
    <n v="26"/>
    <n v="11497"/>
    <x v="1"/>
    <x v="2"/>
    <n v="1"/>
    <n v="19"/>
    <n v="16"/>
    <n v="27"/>
    <s v="No"/>
    <x v="1"/>
    <x v="1"/>
    <x v="0"/>
    <n v="0"/>
  </r>
  <r>
    <n v="1776"/>
    <n v="31"/>
    <x v="1"/>
    <x v="2"/>
    <s v="Software Engineer"/>
    <s v="Marketing"/>
    <s v="Single"/>
    <s v="Travel_Frequently"/>
    <n v="15"/>
    <n v="5157"/>
    <x v="0"/>
    <x v="4"/>
    <n v="3"/>
    <n v="4"/>
    <n v="0"/>
    <n v="5"/>
    <s v="No"/>
    <x v="3"/>
    <x v="0"/>
    <x v="3"/>
    <n v="0"/>
  </r>
  <r>
    <n v="1396"/>
    <n v="49"/>
    <x v="0"/>
    <x v="2"/>
    <s v="IT Support"/>
    <s v="Other"/>
    <s v="Single"/>
    <s v="Travel_Rarely"/>
    <n v="29"/>
    <n v="9158"/>
    <x v="0"/>
    <x v="1"/>
    <n v="3"/>
    <n v="2"/>
    <n v="0"/>
    <n v="18"/>
    <s v="No"/>
    <x v="3"/>
    <x v="1"/>
    <x v="0"/>
    <n v="0"/>
  </r>
  <r>
    <n v="1500"/>
    <n v="37"/>
    <x v="0"/>
    <x v="4"/>
    <s v="Accountant"/>
    <s v="Medical"/>
    <s v="Married"/>
    <s v="Travel_Frequently"/>
    <n v="3"/>
    <n v="6773"/>
    <x v="0"/>
    <x v="3"/>
    <n v="4"/>
    <n v="6"/>
    <n v="6"/>
    <n v="8"/>
    <s v="Yes"/>
    <x v="0"/>
    <x v="2"/>
    <x v="2"/>
    <n v="1"/>
  </r>
  <r>
    <n v="1524"/>
    <n v="54"/>
    <x v="1"/>
    <x v="4"/>
    <s v="Finance Manager"/>
    <s v="Other"/>
    <s v="Married"/>
    <s v="Travel_Rarely"/>
    <n v="17"/>
    <n v="14313"/>
    <x v="1"/>
    <x v="2"/>
    <n v="2"/>
    <n v="9"/>
    <n v="4"/>
    <n v="32"/>
    <s v="No"/>
    <x v="0"/>
    <x v="1"/>
    <x v="0"/>
    <n v="0"/>
  </r>
  <r>
    <n v="1482"/>
    <n v="47"/>
    <x v="0"/>
    <x v="1"/>
    <s v="Research Director"/>
    <s v="Human Resources"/>
    <s v="Married"/>
    <s v="Travel_Rarely"/>
    <n v="24"/>
    <n v="12146"/>
    <x v="0"/>
    <x v="1"/>
    <n v="3"/>
    <n v="5"/>
    <n v="5"/>
    <n v="27"/>
    <s v="No"/>
    <x v="0"/>
    <x v="1"/>
    <x v="0"/>
    <n v="0"/>
  </r>
  <r>
    <n v="1316"/>
    <n v="35"/>
    <x v="1"/>
    <x v="2"/>
    <s v="IT Support"/>
    <s v="Life Sciences"/>
    <s v="Divorced"/>
    <s v="Travel_Frequently"/>
    <n v="6"/>
    <n v="5340"/>
    <x v="0"/>
    <x v="3"/>
    <n v="4"/>
    <n v="0"/>
    <n v="0"/>
    <n v="1"/>
    <s v="No"/>
    <x v="2"/>
    <x v="0"/>
    <x v="3"/>
    <n v="0"/>
  </r>
  <r>
    <n v="1335"/>
    <n v="44"/>
    <x v="0"/>
    <x v="0"/>
    <s v="Sales Manager"/>
    <s v="Medical"/>
    <s v="Divorced"/>
    <s v="Travel_Rarely"/>
    <n v="6"/>
    <n v="12525"/>
    <x v="1"/>
    <x v="0"/>
    <n v="4"/>
    <n v="1"/>
    <n v="1"/>
    <n v="18"/>
    <s v="No"/>
    <x v="2"/>
    <x v="2"/>
    <x v="0"/>
    <n v="0"/>
  </r>
  <r>
    <n v="1549"/>
    <n v="36"/>
    <x v="0"/>
    <x v="2"/>
    <s v="IT Support"/>
    <s v="Unknown"/>
    <s v="Divorced"/>
    <s v="Travel_Rarely"/>
    <n v="20"/>
    <n v="9845"/>
    <x v="0"/>
    <x v="3"/>
    <n v="1"/>
    <n v="5"/>
    <n v="0"/>
    <n v="12"/>
    <s v="No"/>
    <x v="0"/>
    <x v="2"/>
    <x v="0"/>
    <n v="0"/>
  </r>
  <r>
    <n v="1922"/>
    <n v="59"/>
    <x v="0"/>
    <x v="1"/>
    <s v="Laboratory Technician"/>
    <s v="Medical"/>
    <s v="Single"/>
    <s v="Non-Travel"/>
    <n v="3"/>
    <n v="11030"/>
    <x v="0"/>
    <x v="2"/>
    <n v="1"/>
    <n v="21"/>
    <n v="17"/>
    <n v="39"/>
    <s v="No"/>
    <x v="1"/>
    <x v="1"/>
    <x v="0"/>
    <n v="0"/>
  </r>
  <r>
    <n v="1350"/>
    <n v="35"/>
    <x v="1"/>
    <x v="3"/>
    <s v="HR Specialist"/>
    <s v="Medical"/>
    <s v="Divorced"/>
    <s v="Travel_Frequently"/>
    <n v="12"/>
    <n v="8554"/>
    <x v="0"/>
    <x v="1"/>
    <n v="4"/>
    <n v="10"/>
    <n v="10"/>
    <n v="15"/>
    <s v="Yes"/>
    <x v="1"/>
    <x v="0"/>
    <x v="0"/>
    <n v="1"/>
  </r>
  <r>
    <n v="1666"/>
    <n v="53"/>
    <x v="1"/>
    <x v="1"/>
    <s v="Healthcare Representative"/>
    <s v="Technical Degree"/>
    <s v="Married"/>
    <s v="Non-Travel"/>
    <n v="28"/>
    <n v="8548"/>
    <x v="1"/>
    <x v="0"/>
    <n v="1"/>
    <n v="7"/>
    <n v="1"/>
    <n v="22"/>
    <s v="Yes"/>
    <x v="0"/>
    <x v="1"/>
    <x v="0"/>
    <n v="1"/>
  </r>
  <r>
    <n v="1476"/>
    <n v="21"/>
    <x v="1"/>
    <x v="4"/>
    <s v="Accountant"/>
    <s v="Other"/>
    <s v="Divorced"/>
    <s v="Non-Travel"/>
    <n v="29"/>
    <n v="7095"/>
    <x v="0"/>
    <x v="2"/>
    <n v="3"/>
    <n v="1"/>
    <n v="1"/>
    <n v="1"/>
    <s v="Yes"/>
    <x v="2"/>
    <x v="3"/>
    <x v="2"/>
    <n v="1"/>
  </r>
  <r>
    <n v="1288"/>
    <n v="54"/>
    <x v="1"/>
    <x v="2"/>
    <s v="Software Engineer"/>
    <s v="Technical Degree"/>
    <s v="Single"/>
    <s v="Non-Travel"/>
    <n v="19"/>
    <n v="14009"/>
    <x v="0"/>
    <x v="1"/>
    <n v="1"/>
    <n v="20"/>
    <n v="2"/>
    <n v="32"/>
    <s v="No"/>
    <x v="1"/>
    <x v="1"/>
    <x v="0"/>
    <n v="0"/>
  </r>
  <r>
    <n v="1403"/>
    <n v="59"/>
    <x v="0"/>
    <x v="3"/>
    <s v="HR Manager"/>
    <s v="Human Resources"/>
    <s v="Divorced"/>
    <s v="Non-Travel"/>
    <n v="13"/>
    <n v="13956"/>
    <x v="0"/>
    <x v="1"/>
    <n v="3"/>
    <n v="10"/>
    <n v="4"/>
    <n v="39"/>
    <s v="No"/>
    <x v="1"/>
    <x v="1"/>
    <x v="0"/>
    <n v="0"/>
  </r>
  <r>
    <n v="1285"/>
    <n v="26"/>
    <x v="1"/>
    <x v="2"/>
    <s v="IT Support"/>
    <s v="Medical"/>
    <s v="Married"/>
    <s v="Travel_Rarely"/>
    <n v="3"/>
    <n v="8565"/>
    <x v="0"/>
    <x v="3"/>
    <n v="1"/>
    <n v="2"/>
    <n v="1"/>
    <n v="4"/>
    <s v="No"/>
    <x v="3"/>
    <x v="0"/>
    <x v="0"/>
    <n v="0"/>
  </r>
  <r>
    <n v="1379"/>
    <n v="52"/>
    <x v="1"/>
    <x v="4"/>
    <s v="Accountant"/>
    <s v="Medical"/>
    <s v="Single"/>
    <s v="Non-Travel"/>
    <n v="17"/>
    <n v="11910"/>
    <x v="0"/>
    <x v="0"/>
    <n v="4"/>
    <n v="16"/>
    <n v="4"/>
    <n v="32"/>
    <s v="No"/>
    <x v="1"/>
    <x v="1"/>
    <x v="0"/>
    <n v="0"/>
  </r>
  <r>
    <n v="1944"/>
    <n v="26"/>
    <x v="1"/>
    <x v="3"/>
    <s v="HR Specialist"/>
    <s v="Human Resources"/>
    <s v="Single"/>
    <s v="Non-Travel"/>
    <n v="29"/>
    <n v="4583"/>
    <x v="0"/>
    <x v="0"/>
    <n v="1"/>
    <n v="0"/>
    <n v="0"/>
    <n v="2"/>
    <s v="No"/>
    <x v="2"/>
    <x v="0"/>
    <x v="3"/>
    <n v="0"/>
  </r>
  <r>
    <n v="1657"/>
    <n v="31"/>
    <x v="1"/>
    <x v="0"/>
    <s v="Sales Executive"/>
    <s v="Business"/>
    <s v="Divorced"/>
    <s v="Travel_Frequently"/>
    <n v="21"/>
    <n v="5054"/>
    <x v="1"/>
    <x v="1"/>
    <n v="4"/>
    <n v="3"/>
    <n v="0"/>
    <n v="10"/>
    <s v="No"/>
    <x v="3"/>
    <x v="0"/>
    <x v="3"/>
    <n v="0"/>
  </r>
  <r>
    <n v="1839"/>
    <n v="57"/>
    <x v="0"/>
    <x v="3"/>
    <s v="HR Manager"/>
    <s v="Life Sciences"/>
    <s v="Married"/>
    <s v="Travel_Frequently"/>
    <n v="12"/>
    <n v="14059"/>
    <x v="0"/>
    <x v="1"/>
    <n v="3"/>
    <n v="17"/>
    <n v="12"/>
    <n v="27"/>
    <s v="No"/>
    <x v="1"/>
    <x v="1"/>
    <x v="0"/>
    <n v="0"/>
  </r>
  <r>
    <n v="1896"/>
    <n v="45"/>
    <x v="1"/>
    <x v="2"/>
    <s v="IT Manager"/>
    <s v="Technical Degree"/>
    <s v="Divorced"/>
    <s v="Non-Travel"/>
    <n v="4"/>
    <n v="12084"/>
    <x v="0"/>
    <x v="0"/>
    <n v="2"/>
    <n v="11"/>
    <n v="1"/>
    <n v="17"/>
    <s v="No"/>
    <x v="1"/>
    <x v="2"/>
    <x v="0"/>
    <n v="0"/>
  </r>
  <r>
    <n v="1796"/>
    <n v="45"/>
    <x v="0"/>
    <x v="4"/>
    <s v="Finance Manager"/>
    <s v="Marketing"/>
    <s v="Divorced"/>
    <s v="Non-Travel"/>
    <n v="8"/>
    <n v="13186"/>
    <x v="0"/>
    <x v="3"/>
    <n v="1"/>
    <n v="22"/>
    <n v="3"/>
    <n v="25"/>
    <s v="No"/>
    <x v="1"/>
    <x v="2"/>
    <x v="0"/>
    <n v="0"/>
  </r>
  <r>
    <n v="1722"/>
    <n v="31"/>
    <x v="0"/>
    <x v="2"/>
    <s v="Software Engineer"/>
    <s v="Life Sciences"/>
    <s v="Divorced"/>
    <s v="Non-Travel"/>
    <n v="9"/>
    <n v="8161"/>
    <x v="1"/>
    <x v="2"/>
    <n v="3"/>
    <n v="0"/>
    <n v="0"/>
    <n v="4"/>
    <s v="No"/>
    <x v="2"/>
    <x v="0"/>
    <x v="0"/>
    <n v="0"/>
  </r>
  <r>
    <n v="1087"/>
    <n v="42"/>
    <x v="0"/>
    <x v="2"/>
    <s v="Data Analyst"/>
    <s v="Life Sciences"/>
    <s v="Married"/>
    <s v="Non-Travel"/>
    <n v="20"/>
    <n v="9107"/>
    <x v="1"/>
    <x v="0"/>
    <n v="1"/>
    <n v="10"/>
    <n v="9"/>
    <n v="14"/>
    <s v="Yes"/>
    <x v="1"/>
    <x v="2"/>
    <x v="0"/>
    <n v="1"/>
  </r>
  <r>
    <n v="1576"/>
    <n v="45"/>
    <x v="1"/>
    <x v="1"/>
    <s v="Research Director"/>
    <s v="Technical Degree"/>
    <s v="Single"/>
    <s v="Travel_Rarely"/>
    <n v="22"/>
    <n v="9956"/>
    <x v="0"/>
    <x v="3"/>
    <n v="4"/>
    <n v="2"/>
    <n v="1"/>
    <n v="14"/>
    <s v="No"/>
    <x v="3"/>
    <x v="2"/>
    <x v="0"/>
    <n v="0"/>
  </r>
  <r>
    <n v="1068"/>
    <n v="51"/>
    <x v="0"/>
    <x v="4"/>
    <s v="Finance Manager"/>
    <s v="Other"/>
    <s v="Divorced"/>
    <s v="Travel_Frequently"/>
    <n v="22"/>
    <n v="12356"/>
    <x v="0"/>
    <x v="3"/>
    <n v="2"/>
    <n v="24"/>
    <n v="7"/>
    <n v="31"/>
    <s v="No"/>
    <x v="1"/>
    <x v="1"/>
    <x v="0"/>
    <n v="0"/>
  </r>
  <r>
    <n v="1428"/>
    <n v="46"/>
    <x v="1"/>
    <x v="0"/>
    <s v="Sales Executive"/>
    <s v="Other"/>
    <s v="Divorced"/>
    <s v="Travel_Frequently"/>
    <n v="6"/>
    <n v="9288"/>
    <x v="0"/>
    <x v="1"/>
    <n v="4"/>
    <n v="9"/>
    <n v="3"/>
    <n v="24"/>
    <s v="No"/>
    <x v="0"/>
    <x v="1"/>
    <x v="0"/>
    <n v="0"/>
  </r>
  <r>
    <n v="1032"/>
    <n v="35"/>
    <x v="0"/>
    <x v="0"/>
    <s v="Sales Executive"/>
    <s v="Human Resources"/>
    <s v="Single"/>
    <s v="Non-Travel"/>
    <n v="8"/>
    <n v="7706"/>
    <x v="0"/>
    <x v="3"/>
    <n v="4"/>
    <n v="2"/>
    <n v="1"/>
    <n v="15"/>
    <s v="No"/>
    <x v="3"/>
    <x v="0"/>
    <x v="0"/>
    <n v="0"/>
  </r>
  <r>
    <n v="1615"/>
    <n v="34"/>
    <x v="0"/>
    <x v="2"/>
    <s v="Software Engineer"/>
    <s v="Marketing"/>
    <s v="Divorced"/>
    <s v="Travel_Rarely"/>
    <n v="18"/>
    <n v="7282"/>
    <x v="0"/>
    <x v="0"/>
    <n v="2"/>
    <n v="2"/>
    <n v="1"/>
    <n v="9"/>
    <s v="No"/>
    <x v="3"/>
    <x v="0"/>
    <x v="2"/>
    <n v="0"/>
  </r>
  <r>
    <n v="1444"/>
    <n v="50"/>
    <x v="0"/>
    <x v="0"/>
    <s v="Sales Representative"/>
    <s v="Technical Degree"/>
    <s v="Married"/>
    <s v="Travel_Frequently"/>
    <n v="9"/>
    <n v="10475"/>
    <x v="0"/>
    <x v="1"/>
    <n v="1"/>
    <n v="10"/>
    <n v="1"/>
    <n v="30"/>
    <s v="No"/>
    <x v="1"/>
    <x v="1"/>
    <x v="0"/>
    <n v="0"/>
  </r>
  <r>
    <n v="1077"/>
    <n v="36"/>
    <x v="1"/>
    <x v="4"/>
    <s v="Finance Manager"/>
    <s v="Business"/>
    <s v="Single"/>
    <s v="Travel_Rarely"/>
    <n v="8"/>
    <n v="10915"/>
    <x v="0"/>
    <x v="1"/>
    <n v="3"/>
    <n v="0"/>
    <n v="0"/>
    <n v="12"/>
    <s v="No"/>
    <x v="2"/>
    <x v="2"/>
    <x v="0"/>
    <n v="0"/>
  </r>
  <r>
    <n v="1792"/>
    <n v="21"/>
    <x v="0"/>
    <x v="4"/>
    <s v="Financial Analyst"/>
    <s v="Human Resources"/>
    <s v="Divorced"/>
    <s v="Non-Travel"/>
    <n v="10"/>
    <n v="4188"/>
    <x v="1"/>
    <x v="2"/>
    <n v="1"/>
    <n v="0"/>
    <n v="0"/>
    <n v="0"/>
    <s v="Yes"/>
    <x v="2"/>
    <x v="3"/>
    <x v="3"/>
    <n v="1"/>
  </r>
  <r>
    <n v="1510"/>
    <n v="50"/>
    <x v="0"/>
    <x v="4"/>
    <s v="Accountant"/>
    <s v="Medical"/>
    <s v="Married"/>
    <s v="Non-Travel"/>
    <n v="24"/>
    <n v="12610"/>
    <x v="1"/>
    <x v="2"/>
    <n v="1"/>
    <n v="20"/>
    <n v="11"/>
    <n v="30"/>
    <s v="Yes"/>
    <x v="1"/>
    <x v="1"/>
    <x v="0"/>
    <n v="1"/>
  </r>
  <r>
    <n v="1295"/>
    <n v="35"/>
    <x v="1"/>
    <x v="2"/>
    <s v="Data Analyst"/>
    <s v="Marketing"/>
    <s v="Divorced"/>
    <s v="Travel_Frequently"/>
    <n v="6"/>
    <n v="9289"/>
    <x v="1"/>
    <x v="3"/>
    <n v="1"/>
    <n v="5"/>
    <n v="1"/>
    <n v="15"/>
    <s v="No"/>
    <x v="0"/>
    <x v="0"/>
    <x v="0"/>
    <n v="0"/>
  </r>
  <r>
    <n v="1534"/>
    <n v="54"/>
    <x v="1"/>
    <x v="0"/>
    <s v="Sales Executive"/>
    <s v="Medical"/>
    <s v="Single"/>
    <s v="Non-Travel"/>
    <n v="2"/>
    <n v="11459"/>
    <x v="0"/>
    <x v="0"/>
    <n v="4"/>
    <n v="8"/>
    <n v="1"/>
    <n v="31"/>
    <s v="No"/>
    <x v="0"/>
    <x v="1"/>
    <x v="0"/>
    <n v="0"/>
  </r>
  <r>
    <n v="1614"/>
    <n v="52"/>
    <x v="0"/>
    <x v="3"/>
    <s v="HR Manager"/>
    <s v="Other"/>
    <s v="Married"/>
    <s v="Non-Travel"/>
    <n v="13"/>
    <n v="13656"/>
    <x v="0"/>
    <x v="3"/>
    <n v="4"/>
    <n v="22"/>
    <n v="18"/>
    <n v="30"/>
    <s v="Yes"/>
    <x v="1"/>
    <x v="1"/>
    <x v="0"/>
    <n v="1"/>
  </r>
  <r>
    <n v="1248"/>
    <n v="33"/>
    <x v="1"/>
    <x v="0"/>
    <s v="Sales Representative"/>
    <s v="Marketing"/>
    <s v="Married"/>
    <s v="Non-Travel"/>
    <n v="13"/>
    <n v="5971"/>
    <x v="0"/>
    <x v="3"/>
    <n v="4"/>
    <n v="2"/>
    <n v="1"/>
    <n v="9"/>
    <s v="No"/>
    <x v="3"/>
    <x v="0"/>
    <x v="2"/>
    <n v="0"/>
  </r>
  <r>
    <n v="1162"/>
    <n v="53"/>
    <x v="0"/>
    <x v="4"/>
    <s v="Financial Analyst"/>
    <s v="Technical Degree"/>
    <s v="Divorced"/>
    <s v="Travel_Frequently"/>
    <n v="22"/>
    <n v="11167"/>
    <x v="0"/>
    <x v="0"/>
    <n v="1"/>
    <n v="22"/>
    <n v="18"/>
    <n v="32"/>
    <s v="No"/>
    <x v="1"/>
    <x v="1"/>
    <x v="0"/>
    <n v="0"/>
  </r>
  <r>
    <n v="1995"/>
    <n v="43"/>
    <x v="1"/>
    <x v="1"/>
    <s v="Healthcare Representative"/>
    <s v="Human Resources"/>
    <s v="Married"/>
    <s v="Travel_Rarely"/>
    <n v="12"/>
    <n v="10630"/>
    <x v="0"/>
    <x v="2"/>
    <n v="1"/>
    <n v="18"/>
    <n v="15"/>
    <n v="20"/>
    <s v="Yes"/>
    <x v="1"/>
    <x v="2"/>
    <x v="0"/>
    <n v="1"/>
  </r>
  <r>
    <n v="1774"/>
    <n v="47"/>
    <x v="0"/>
    <x v="0"/>
    <s v="Sales Executive"/>
    <s v="Human Resources"/>
    <s v="Married"/>
    <s v="Non-Travel"/>
    <n v="23"/>
    <n v="9826"/>
    <x v="1"/>
    <x v="2"/>
    <n v="3"/>
    <n v="2"/>
    <n v="0"/>
    <n v="25"/>
    <s v="No"/>
    <x v="3"/>
    <x v="1"/>
    <x v="0"/>
    <n v="0"/>
  </r>
  <r>
    <n v="1662"/>
    <n v="43"/>
    <x v="1"/>
    <x v="3"/>
    <s v="HR Specialist"/>
    <s v="Human Resources"/>
    <s v="Divorced"/>
    <s v="Travel_Rarely"/>
    <n v="22"/>
    <n v="7482"/>
    <x v="0"/>
    <x v="2"/>
    <n v="3"/>
    <n v="1"/>
    <n v="0"/>
    <n v="23"/>
    <s v="No"/>
    <x v="2"/>
    <x v="2"/>
    <x v="2"/>
    <n v="0"/>
  </r>
  <r>
    <n v="1872"/>
    <n v="52"/>
    <x v="0"/>
    <x v="2"/>
    <s v="Data Analyst"/>
    <s v="Business"/>
    <s v="Divorced"/>
    <s v="Non-Travel"/>
    <n v="24"/>
    <n v="11530"/>
    <x v="0"/>
    <x v="0"/>
    <n v="3"/>
    <n v="1"/>
    <n v="1"/>
    <n v="23"/>
    <s v="Yes"/>
    <x v="2"/>
    <x v="1"/>
    <x v="0"/>
    <n v="1"/>
  </r>
  <r>
    <n v="1522"/>
    <n v="60"/>
    <x v="0"/>
    <x v="1"/>
    <s v="Research Director"/>
    <s v="Business"/>
    <s v="Married"/>
    <s v="Travel_Rarely"/>
    <n v="17"/>
    <n v="15861"/>
    <x v="0"/>
    <x v="3"/>
    <n v="3"/>
    <n v="25"/>
    <n v="17"/>
    <n v="36"/>
    <s v="No"/>
    <x v="1"/>
    <x v="1"/>
    <x v="0"/>
    <n v="0"/>
  </r>
  <r>
    <n v="1810"/>
    <n v="57"/>
    <x v="1"/>
    <x v="1"/>
    <s v="Research Scientist"/>
    <s v="Business"/>
    <s v="Divorced"/>
    <s v="Travel_Frequently"/>
    <n v="21"/>
    <n v="11938"/>
    <x v="0"/>
    <x v="0"/>
    <n v="1"/>
    <n v="11"/>
    <n v="4"/>
    <n v="32"/>
    <s v="No"/>
    <x v="1"/>
    <x v="1"/>
    <x v="0"/>
    <n v="0"/>
  </r>
  <r>
    <n v="1630"/>
    <n v="55"/>
    <x v="0"/>
    <x v="1"/>
    <s v="Research Director"/>
    <s v="Other"/>
    <s v="Divorced"/>
    <s v="Travel_Frequently"/>
    <n v="24"/>
    <n v="15133"/>
    <x v="0"/>
    <x v="2"/>
    <n v="2"/>
    <n v="1"/>
    <n v="0"/>
    <n v="30"/>
    <s v="No"/>
    <x v="2"/>
    <x v="1"/>
    <x v="0"/>
    <n v="0"/>
  </r>
  <r>
    <n v="1908"/>
    <n v="45"/>
    <x v="0"/>
    <x v="4"/>
    <s v="Finance Manager"/>
    <s v="Human Resources"/>
    <s v="Married"/>
    <s v="Travel_Frequently"/>
    <n v="4"/>
    <n v="12730"/>
    <x v="0"/>
    <x v="2"/>
    <n v="2"/>
    <n v="10"/>
    <n v="8"/>
    <n v="22"/>
    <s v="No"/>
    <x v="1"/>
    <x v="2"/>
    <x v="0"/>
    <n v="0"/>
  </r>
  <r>
    <n v="1894"/>
    <n v="47"/>
    <x v="0"/>
    <x v="0"/>
    <s v="Sales Manager"/>
    <s v="Medical"/>
    <s v="Single"/>
    <s v="Non-Travel"/>
    <n v="5"/>
    <n v="12320"/>
    <x v="0"/>
    <x v="2"/>
    <n v="4"/>
    <n v="12"/>
    <n v="4"/>
    <n v="25"/>
    <s v="No"/>
    <x v="1"/>
    <x v="1"/>
    <x v="0"/>
    <n v="0"/>
  </r>
  <r>
    <n v="1767"/>
    <n v="56"/>
    <x v="0"/>
    <x v="0"/>
    <s v="Sales Representative"/>
    <s v="Medical"/>
    <s v="Married"/>
    <s v="Travel_Frequently"/>
    <n v="20"/>
    <n v="11582"/>
    <x v="1"/>
    <x v="0"/>
    <n v="2"/>
    <n v="13"/>
    <n v="1"/>
    <n v="25"/>
    <s v="No"/>
    <x v="1"/>
    <x v="1"/>
    <x v="0"/>
    <n v="0"/>
  </r>
  <r>
    <n v="1875"/>
    <n v="34"/>
    <x v="1"/>
    <x v="1"/>
    <s v="Research Director"/>
    <s v="Life Sciences"/>
    <s v="Single"/>
    <s v="Non-Travel"/>
    <n v="5"/>
    <n v="8250"/>
    <x v="1"/>
    <x v="0"/>
    <n v="2"/>
    <n v="2"/>
    <n v="1"/>
    <n v="2"/>
    <s v="Yes"/>
    <x v="3"/>
    <x v="0"/>
    <x v="0"/>
    <n v="1"/>
  </r>
  <r>
    <n v="1621"/>
    <n v="37"/>
    <x v="0"/>
    <x v="3"/>
    <s v="HR Manager"/>
    <s v="Business"/>
    <s v="Divorced"/>
    <s v="Travel_Frequently"/>
    <n v="5"/>
    <n v="9874"/>
    <x v="0"/>
    <x v="2"/>
    <n v="4"/>
    <n v="9"/>
    <n v="2"/>
    <n v="12"/>
    <s v="Yes"/>
    <x v="0"/>
    <x v="2"/>
    <x v="0"/>
    <n v="1"/>
  </r>
  <r>
    <n v="1461"/>
    <n v="50"/>
    <x v="1"/>
    <x v="4"/>
    <s v="Accountant"/>
    <s v="Human Resources"/>
    <s v="Single"/>
    <s v="Non-Travel"/>
    <n v="16"/>
    <n v="6350"/>
    <x v="1"/>
    <x v="2"/>
    <n v="1"/>
    <n v="15"/>
    <n v="8"/>
    <n v="19"/>
    <s v="No"/>
    <x v="1"/>
    <x v="1"/>
    <x v="2"/>
    <n v="0"/>
  </r>
  <r>
    <n v="1936"/>
    <n v="23"/>
    <x v="1"/>
    <x v="0"/>
    <s v="Sales Representative"/>
    <s v="Human Resources"/>
    <s v="Single"/>
    <s v="Non-Travel"/>
    <n v="5"/>
    <n v="5530"/>
    <x v="0"/>
    <x v="3"/>
    <n v="3"/>
    <n v="0"/>
    <n v="0"/>
    <n v="0"/>
    <s v="No"/>
    <x v="2"/>
    <x v="3"/>
    <x v="2"/>
    <n v="0"/>
  </r>
  <r>
    <n v="1956"/>
    <n v="31"/>
    <x v="1"/>
    <x v="4"/>
    <s v="Finance Manager"/>
    <s v="Life Sciences"/>
    <s v="Married"/>
    <s v="Non-Travel"/>
    <n v="3"/>
    <n v="9836"/>
    <x v="0"/>
    <x v="2"/>
    <n v="2"/>
    <n v="0"/>
    <n v="0"/>
    <n v="0"/>
    <s v="Yes"/>
    <x v="2"/>
    <x v="0"/>
    <x v="0"/>
    <n v="1"/>
  </r>
  <r>
    <n v="1744"/>
    <n v="40"/>
    <x v="1"/>
    <x v="4"/>
    <s v="Accountant"/>
    <s v="Business"/>
    <s v="Single"/>
    <s v="Travel_Frequently"/>
    <n v="2"/>
    <n v="4837"/>
    <x v="0"/>
    <x v="2"/>
    <n v="4"/>
    <n v="7"/>
    <n v="1"/>
    <n v="16"/>
    <s v="No"/>
    <x v="0"/>
    <x v="2"/>
    <x v="3"/>
    <n v="0"/>
  </r>
  <r>
    <n v="1688"/>
    <n v="48"/>
    <x v="1"/>
    <x v="1"/>
    <s v="Research Scientist"/>
    <s v="Technical Degree"/>
    <s v="Single"/>
    <s v="Travel_Frequently"/>
    <n v="7"/>
    <n v="9676"/>
    <x v="0"/>
    <x v="1"/>
    <n v="2"/>
    <n v="20"/>
    <n v="14"/>
    <n v="28"/>
    <s v="No"/>
    <x v="1"/>
    <x v="1"/>
    <x v="0"/>
    <n v="0"/>
  </r>
  <r>
    <n v="1198"/>
    <n v="60"/>
    <x v="0"/>
    <x v="2"/>
    <s v="Data Analyst"/>
    <s v="Marketing"/>
    <s v="Divorced"/>
    <s v="Travel_Frequently"/>
    <n v="5"/>
    <n v="10878"/>
    <x v="0"/>
    <x v="1"/>
    <n v="2"/>
    <n v="8"/>
    <n v="1"/>
    <n v="29"/>
    <s v="No"/>
    <x v="0"/>
    <x v="1"/>
    <x v="0"/>
    <n v="0"/>
  </r>
  <r>
    <n v="1029"/>
    <n v="43"/>
    <x v="0"/>
    <x v="2"/>
    <s v="Software Engineer"/>
    <s v="Marketing"/>
    <s v="Divorced"/>
    <s v="Travel_Rarely"/>
    <n v="22"/>
    <n v="8788"/>
    <x v="0"/>
    <x v="1"/>
    <n v="3"/>
    <n v="5"/>
    <n v="4"/>
    <n v="7"/>
    <s v="No"/>
    <x v="0"/>
    <x v="2"/>
    <x v="0"/>
    <n v="0"/>
  </r>
  <r>
    <n v="1405"/>
    <n v="36"/>
    <x v="1"/>
    <x v="0"/>
    <s v="Sales Representative"/>
    <s v="Human Resources"/>
    <s v="Divorced"/>
    <s v="Travel_Frequently"/>
    <n v="20"/>
    <n v="7647"/>
    <x v="1"/>
    <x v="1"/>
    <n v="1"/>
    <n v="1"/>
    <n v="0"/>
    <n v="12"/>
    <s v="Yes"/>
    <x v="2"/>
    <x v="2"/>
    <x v="0"/>
    <n v="1"/>
  </r>
  <r>
    <n v="1800"/>
    <n v="27"/>
    <x v="1"/>
    <x v="0"/>
    <s v="Sales Manager"/>
    <s v="Life Sciences"/>
    <s v="Divorced"/>
    <s v="Travel_Frequently"/>
    <n v="26"/>
    <n v="10898"/>
    <x v="1"/>
    <x v="2"/>
    <n v="4"/>
    <n v="0"/>
    <n v="0"/>
    <n v="5"/>
    <s v="No"/>
    <x v="2"/>
    <x v="0"/>
    <x v="0"/>
    <n v="0"/>
  </r>
  <r>
    <n v="1329"/>
    <n v="46"/>
    <x v="1"/>
    <x v="1"/>
    <s v="Research Director"/>
    <s v="Other"/>
    <s v="Married"/>
    <s v="Non-Travel"/>
    <n v="5"/>
    <n v="14664"/>
    <x v="0"/>
    <x v="0"/>
    <n v="1"/>
    <n v="11"/>
    <n v="7"/>
    <n v="18"/>
    <s v="Yes"/>
    <x v="1"/>
    <x v="1"/>
    <x v="0"/>
    <n v="1"/>
  </r>
  <r>
    <n v="1044"/>
    <n v="37"/>
    <x v="0"/>
    <x v="2"/>
    <s v="Data Analyst"/>
    <s v="Life Sciences"/>
    <s v="Married"/>
    <s v="Travel_Rarely"/>
    <n v="11"/>
    <n v="8091"/>
    <x v="0"/>
    <x v="0"/>
    <n v="1"/>
    <n v="14"/>
    <n v="9"/>
    <n v="15"/>
    <s v="No"/>
    <x v="1"/>
    <x v="2"/>
    <x v="0"/>
    <n v="0"/>
  </r>
  <r>
    <n v="1443"/>
    <n v="25"/>
    <x v="0"/>
    <x v="4"/>
    <s v="Finance Manager"/>
    <s v="Technical Degree"/>
    <s v="Divorced"/>
    <s v="Non-Travel"/>
    <n v="14"/>
    <n v="12800"/>
    <x v="0"/>
    <x v="3"/>
    <n v="4"/>
    <n v="3"/>
    <n v="3"/>
    <n v="3"/>
    <s v="Yes"/>
    <x v="3"/>
    <x v="3"/>
    <x v="0"/>
    <n v="1"/>
  </r>
  <r>
    <n v="1771"/>
    <n v="35"/>
    <x v="0"/>
    <x v="1"/>
    <s v="Research Scientist"/>
    <s v="Medical"/>
    <s v="Divorced"/>
    <s v="Travel_Rarely"/>
    <n v="17"/>
    <n v="6792"/>
    <x v="0"/>
    <x v="0"/>
    <n v="1"/>
    <n v="0"/>
    <n v="0"/>
    <n v="0"/>
    <s v="Yes"/>
    <x v="2"/>
    <x v="0"/>
    <x v="2"/>
    <n v="1"/>
  </r>
  <r>
    <n v="1933"/>
    <n v="44"/>
    <x v="0"/>
    <x v="0"/>
    <s v="Sales Executive"/>
    <s v="Business"/>
    <s v="Divorced"/>
    <s v="Travel_Frequently"/>
    <n v="15"/>
    <n v="11515"/>
    <x v="0"/>
    <x v="0"/>
    <n v="4"/>
    <n v="2"/>
    <n v="0"/>
    <n v="23"/>
    <s v="No"/>
    <x v="3"/>
    <x v="2"/>
    <x v="0"/>
    <n v="0"/>
  </r>
  <r>
    <n v="1417"/>
    <n v="37"/>
    <x v="1"/>
    <x v="1"/>
    <s v="Research Scientist"/>
    <s v="Other"/>
    <s v="Divorced"/>
    <s v="Travel_Frequently"/>
    <n v="2"/>
    <n v="9604"/>
    <x v="0"/>
    <x v="2"/>
    <n v="2"/>
    <n v="11"/>
    <n v="8"/>
    <n v="16"/>
    <s v="No"/>
    <x v="1"/>
    <x v="2"/>
    <x v="0"/>
    <n v="0"/>
  </r>
  <r>
    <n v="1269"/>
    <n v="55"/>
    <x v="0"/>
    <x v="4"/>
    <s v="Finance Manager"/>
    <s v="Human Resources"/>
    <s v="Single"/>
    <s v="Travel_Rarely"/>
    <n v="23"/>
    <n v="13746"/>
    <x v="0"/>
    <x v="3"/>
    <n v="2"/>
    <n v="19"/>
    <n v="9"/>
    <n v="28"/>
    <s v="No"/>
    <x v="1"/>
    <x v="1"/>
    <x v="0"/>
    <n v="0"/>
  </r>
  <r>
    <n v="1848"/>
    <n v="58"/>
    <x v="0"/>
    <x v="1"/>
    <s v="Research Scientist"/>
    <s v="Other"/>
    <s v="Divorced"/>
    <s v="Travel_Rarely"/>
    <n v="22"/>
    <n v="10022"/>
    <x v="0"/>
    <x v="1"/>
    <n v="1"/>
    <n v="5"/>
    <n v="1"/>
    <n v="38"/>
    <s v="No"/>
    <x v="0"/>
    <x v="1"/>
    <x v="0"/>
    <n v="0"/>
  </r>
  <r>
    <n v="1231"/>
    <n v="50"/>
    <x v="1"/>
    <x v="1"/>
    <s v="Laboratory Technician"/>
    <s v="Other"/>
    <s v="Single"/>
    <s v="Non-Travel"/>
    <n v="6"/>
    <n v="11257"/>
    <x v="1"/>
    <x v="1"/>
    <n v="4"/>
    <n v="22"/>
    <n v="1"/>
    <n v="24"/>
    <s v="No"/>
    <x v="1"/>
    <x v="1"/>
    <x v="0"/>
    <n v="0"/>
  </r>
  <r>
    <n v="1371"/>
    <n v="24"/>
    <x v="1"/>
    <x v="1"/>
    <s v="Healthcare Representative"/>
    <s v="Medical"/>
    <s v="Divorced"/>
    <s v="Travel_Rarely"/>
    <n v="23"/>
    <n v="2908"/>
    <x v="1"/>
    <x v="0"/>
    <n v="4"/>
    <n v="0"/>
    <n v="0"/>
    <n v="0"/>
    <s v="No"/>
    <x v="2"/>
    <x v="3"/>
    <x v="1"/>
    <n v="0"/>
  </r>
  <r>
    <n v="1641"/>
    <n v="28"/>
    <x v="0"/>
    <x v="1"/>
    <s v="Healthcare Representative"/>
    <s v="Life Sciences"/>
    <s v="Single"/>
    <s v="Travel_Rarely"/>
    <n v="4"/>
    <n v="7721"/>
    <x v="1"/>
    <x v="2"/>
    <n v="2"/>
    <n v="0"/>
    <n v="0"/>
    <n v="0"/>
    <s v="No"/>
    <x v="2"/>
    <x v="0"/>
    <x v="0"/>
    <n v="0"/>
  </r>
  <r>
    <n v="1860"/>
    <n v="39"/>
    <x v="1"/>
    <x v="0"/>
    <s v="Sales Representative"/>
    <s v="Marketing"/>
    <s v="Divorced"/>
    <s v="Non-Travel"/>
    <n v="14"/>
    <n v="6040"/>
    <x v="1"/>
    <x v="2"/>
    <n v="1"/>
    <n v="1"/>
    <n v="1"/>
    <n v="9"/>
    <s v="No"/>
    <x v="2"/>
    <x v="2"/>
    <x v="2"/>
    <n v="0"/>
  </r>
  <r>
    <n v="1947"/>
    <n v="21"/>
    <x v="0"/>
    <x v="1"/>
    <s v="Laboratory Technician"/>
    <s v="Human Resources"/>
    <s v="Divorced"/>
    <s v="Travel_Rarely"/>
    <n v="1"/>
    <n v="3458"/>
    <x v="0"/>
    <x v="2"/>
    <n v="2"/>
    <n v="0"/>
    <n v="0"/>
    <n v="0"/>
    <s v="No"/>
    <x v="2"/>
    <x v="3"/>
    <x v="1"/>
    <n v="0"/>
  </r>
  <r>
    <n v="1772"/>
    <n v="46"/>
    <x v="1"/>
    <x v="3"/>
    <s v="HR Manager"/>
    <s v="Medical"/>
    <s v="Single"/>
    <s v="Non-Travel"/>
    <n v="26"/>
    <n v="15044"/>
    <x v="0"/>
    <x v="2"/>
    <n v="2"/>
    <n v="4"/>
    <n v="4"/>
    <n v="23"/>
    <s v="No"/>
    <x v="3"/>
    <x v="1"/>
    <x v="0"/>
    <n v="0"/>
  </r>
  <r>
    <n v="1642"/>
    <n v="23"/>
    <x v="1"/>
    <x v="1"/>
    <s v="Laboratory Technician"/>
    <s v="Marketing"/>
    <s v="Single"/>
    <s v="Travel_Frequently"/>
    <n v="16"/>
    <n v="4446"/>
    <x v="0"/>
    <x v="2"/>
    <n v="4"/>
    <n v="0"/>
    <n v="0"/>
    <n v="0"/>
    <s v="Yes"/>
    <x v="2"/>
    <x v="3"/>
    <x v="3"/>
    <n v="1"/>
  </r>
  <r>
    <n v="1253"/>
    <n v="60"/>
    <x v="1"/>
    <x v="0"/>
    <s v="Sales Manager"/>
    <s v="Business"/>
    <s v="Single"/>
    <s v="Travel_Rarely"/>
    <n v="20"/>
    <n v="15985"/>
    <x v="0"/>
    <x v="2"/>
    <n v="1"/>
    <n v="3"/>
    <n v="2"/>
    <n v="40"/>
    <s v="Yes"/>
    <x v="3"/>
    <x v="1"/>
    <x v="0"/>
    <n v="1"/>
  </r>
  <r>
    <n v="1580"/>
    <n v="30"/>
    <x v="1"/>
    <x v="0"/>
    <s v="Sales Representative"/>
    <s v="Human Resources"/>
    <s v="Single"/>
    <s v="Travel_Frequently"/>
    <n v="13"/>
    <n v="6514"/>
    <x v="0"/>
    <x v="0"/>
    <n v="1"/>
    <n v="0"/>
    <n v="0"/>
    <n v="6"/>
    <s v="Yes"/>
    <x v="2"/>
    <x v="0"/>
    <x v="2"/>
    <n v="1"/>
  </r>
  <r>
    <n v="1075"/>
    <n v="23"/>
    <x v="1"/>
    <x v="1"/>
    <s v="Research Director"/>
    <s v="Business"/>
    <s v="Single"/>
    <s v="Travel_Rarely"/>
    <n v="21"/>
    <n v="9642"/>
    <x v="0"/>
    <x v="2"/>
    <n v="1"/>
    <n v="0"/>
    <n v="0"/>
    <n v="0"/>
    <s v="No"/>
    <x v="2"/>
    <x v="3"/>
    <x v="0"/>
    <n v="0"/>
  </r>
  <r>
    <n v="1526"/>
    <n v="36"/>
    <x v="0"/>
    <x v="1"/>
    <s v="Healthcare Representative"/>
    <s v="Life Sciences"/>
    <s v="Divorced"/>
    <s v="Travel_Frequently"/>
    <n v="16"/>
    <n v="5493"/>
    <x v="0"/>
    <x v="3"/>
    <n v="2"/>
    <n v="3"/>
    <n v="3"/>
    <n v="5"/>
    <s v="No"/>
    <x v="3"/>
    <x v="2"/>
    <x v="3"/>
    <n v="0"/>
  </r>
  <r>
    <n v="1909"/>
    <n v="40"/>
    <x v="1"/>
    <x v="1"/>
    <s v="Research Scientist"/>
    <s v="Life Sciences"/>
    <s v="Single"/>
    <s v="Non-Travel"/>
    <n v="27"/>
    <n v="9194"/>
    <x v="0"/>
    <x v="0"/>
    <n v="1"/>
    <n v="1"/>
    <n v="0"/>
    <n v="20"/>
    <s v="No"/>
    <x v="2"/>
    <x v="2"/>
    <x v="0"/>
    <n v="0"/>
  </r>
  <r>
    <n v="1070"/>
    <n v="53"/>
    <x v="0"/>
    <x v="2"/>
    <s v="IT Support"/>
    <s v="Life Sciences"/>
    <s v="Single"/>
    <s v="Travel_Frequently"/>
    <n v="15"/>
    <n v="10587"/>
    <x v="0"/>
    <x v="0"/>
    <n v="3"/>
    <n v="5"/>
    <n v="2"/>
    <n v="25"/>
    <s v="No"/>
    <x v="0"/>
    <x v="1"/>
    <x v="0"/>
    <n v="0"/>
  </r>
  <r>
    <n v="1779"/>
    <n v="58"/>
    <x v="1"/>
    <x v="0"/>
    <s v="Sales Representative"/>
    <s v="Business"/>
    <s v="Divorced"/>
    <s v="Non-Travel"/>
    <n v="17"/>
    <n v="8138"/>
    <x v="0"/>
    <x v="1"/>
    <n v="2"/>
    <n v="21"/>
    <n v="8"/>
    <n v="34"/>
    <s v="No"/>
    <x v="1"/>
    <x v="1"/>
    <x v="0"/>
    <n v="0"/>
  </r>
  <r>
    <n v="1916"/>
    <n v="42"/>
    <x v="0"/>
    <x v="4"/>
    <s v="Financial Analyst"/>
    <s v="Life Sciences"/>
    <s v="Single"/>
    <s v="Non-Travel"/>
    <n v="20"/>
    <n v="6437"/>
    <x v="1"/>
    <x v="3"/>
    <n v="2"/>
    <n v="1"/>
    <n v="0"/>
    <n v="10"/>
    <s v="No"/>
    <x v="2"/>
    <x v="2"/>
    <x v="2"/>
    <n v="0"/>
  </r>
  <r>
    <n v="1149"/>
    <n v="45"/>
    <x v="0"/>
    <x v="0"/>
    <s v="Sales Executive"/>
    <s v="Medical"/>
    <s v="Single"/>
    <s v="Travel_Rarely"/>
    <n v="25"/>
    <n v="8552"/>
    <x v="0"/>
    <x v="3"/>
    <n v="3"/>
    <n v="1"/>
    <n v="0"/>
    <n v="15"/>
    <s v="No"/>
    <x v="2"/>
    <x v="2"/>
    <x v="0"/>
    <n v="0"/>
  </r>
  <r>
    <n v="1932"/>
    <n v="38"/>
    <x v="1"/>
    <x v="1"/>
    <s v="Research Director"/>
    <s v="Marketing"/>
    <s v="Married"/>
    <s v="Non-Travel"/>
    <n v="17"/>
    <n v="11120"/>
    <x v="1"/>
    <x v="1"/>
    <n v="4"/>
    <n v="3"/>
    <n v="3"/>
    <n v="16"/>
    <s v="No"/>
    <x v="3"/>
    <x v="2"/>
    <x v="0"/>
    <n v="0"/>
  </r>
  <r>
    <n v="1879"/>
    <n v="46"/>
    <x v="0"/>
    <x v="2"/>
    <s v="IT Support"/>
    <s v="Marketing"/>
    <s v="Married"/>
    <s v="Travel_Rarely"/>
    <n v="15"/>
    <n v="14566"/>
    <x v="0"/>
    <x v="2"/>
    <n v="3"/>
    <n v="25"/>
    <n v="16"/>
    <n v="26"/>
    <s v="Yes"/>
    <x v="1"/>
    <x v="1"/>
    <x v="0"/>
    <n v="1"/>
  </r>
  <r>
    <n v="1131"/>
    <n v="22"/>
    <x v="1"/>
    <x v="2"/>
    <s v="Software Engineer"/>
    <s v="Life Sciences"/>
    <s v="Married"/>
    <s v="Travel_Frequently"/>
    <n v="5"/>
    <n v="5142"/>
    <x v="0"/>
    <x v="1"/>
    <n v="4"/>
    <n v="0"/>
    <n v="0"/>
    <n v="0"/>
    <s v="Yes"/>
    <x v="2"/>
    <x v="3"/>
    <x v="3"/>
    <n v="1"/>
  </r>
  <r>
    <n v="1684"/>
    <n v="44"/>
    <x v="1"/>
    <x v="0"/>
    <s v="Sales Manager"/>
    <s v="Medical"/>
    <s v="Married"/>
    <s v="Travel_Frequently"/>
    <n v="25"/>
    <n v="13992"/>
    <x v="0"/>
    <x v="1"/>
    <n v="2"/>
    <n v="13"/>
    <n v="7"/>
    <n v="24"/>
    <s v="No"/>
    <x v="1"/>
    <x v="2"/>
    <x v="0"/>
    <n v="0"/>
  </r>
  <r>
    <n v="1150"/>
    <n v="53"/>
    <x v="0"/>
    <x v="4"/>
    <s v="Finance Manager"/>
    <s v="Other"/>
    <s v="Divorced"/>
    <s v="Travel_Rarely"/>
    <n v="21"/>
    <n v="15784"/>
    <x v="0"/>
    <x v="2"/>
    <n v="1"/>
    <n v="1"/>
    <n v="0"/>
    <n v="29"/>
    <s v="No"/>
    <x v="2"/>
    <x v="1"/>
    <x v="0"/>
    <n v="0"/>
  </r>
  <r>
    <n v="1073"/>
    <n v="51"/>
    <x v="0"/>
    <x v="4"/>
    <s v="Accountant"/>
    <s v="Technical Degree"/>
    <s v="Married"/>
    <s v="Travel_Frequently"/>
    <n v="24"/>
    <n v="11802"/>
    <x v="0"/>
    <x v="2"/>
    <n v="3"/>
    <n v="17"/>
    <n v="4"/>
    <n v="29"/>
    <s v="No"/>
    <x v="1"/>
    <x v="1"/>
    <x v="0"/>
    <n v="0"/>
  </r>
  <r>
    <n v="1824"/>
    <n v="49"/>
    <x v="0"/>
    <x v="1"/>
    <s v="Laboratory Technician"/>
    <s v="Human Resources"/>
    <s v="Single"/>
    <s v="Non-Travel"/>
    <n v="7"/>
    <n v="10464"/>
    <x v="1"/>
    <x v="1"/>
    <n v="2"/>
    <n v="5"/>
    <n v="2"/>
    <n v="27"/>
    <s v="No"/>
    <x v="0"/>
    <x v="1"/>
    <x v="0"/>
    <n v="0"/>
  </r>
  <r>
    <n v="1880"/>
    <n v="42"/>
    <x v="0"/>
    <x v="4"/>
    <s v="Financial Analyst"/>
    <s v="Marketing"/>
    <s v="Single"/>
    <s v="Travel_Rarely"/>
    <n v="26"/>
    <n v="9527"/>
    <x v="0"/>
    <x v="3"/>
    <n v="1"/>
    <n v="2"/>
    <n v="1"/>
    <n v="15"/>
    <s v="No"/>
    <x v="3"/>
    <x v="2"/>
    <x v="0"/>
    <n v="0"/>
  </r>
  <r>
    <n v="1555"/>
    <n v="60"/>
    <x v="0"/>
    <x v="0"/>
    <s v="Sales Executive"/>
    <s v="Technical Degree"/>
    <s v="Married"/>
    <s v="Travel_Rarely"/>
    <n v="19"/>
    <n v="11064"/>
    <x v="0"/>
    <x v="2"/>
    <n v="3"/>
    <n v="10"/>
    <n v="3"/>
    <n v="40"/>
    <s v="No"/>
    <x v="1"/>
    <x v="1"/>
    <x v="0"/>
    <n v="0"/>
  </r>
  <r>
    <n v="1643"/>
    <n v="31"/>
    <x v="0"/>
    <x v="0"/>
    <s v="Sales Manager"/>
    <s v="Human Resources"/>
    <s v="Divorced"/>
    <s v="Travel_Frequently"/>
    <n v="26"/>
    <n v="12348"/>
    <x v="0"/>
    <x v="3"/>
    <n v="4"/>
    <n v="4"/>
    <n v="1"/>
    <n v="7"/>
    <s v="No"/>
    <x v="3"/>
    <x v="0"/>
    <x v="0"/>
    <n v="0"/>
  </r>
  <r>
    <n v="1649"/>
    <n v="32"/>
    <x v="0"/>
    <x v="1"/>
    <s v="Healthcare Representative"/>
    <s v="Business"/>
    <s v="Married"/>
    <s v="Non-Travel"/>
    <n v="15"/>
    <n v="6330"/>
    <x v="0"/>
    <x v="0"/>
    <n v="3"/>
    <n v="1"/>
    <n v="0"/>
    <n v="5"/>
    <s v="No"/>
    <x v="2"/>
    <x v="0"/>
    <x v="2"/>
    <n v="0"/>
  </r>
  <r>
    <n v="1567"/>
    <n v="28"/>
    <x v="1"/>
    <x v="0"/>
    <s v="Sales Manager"/>
    <s v="Marketing"/>
    <s v="Divorced"/>
    <s v="Travel_Frequently"/>
    <n v="26"/>
    <n v="10116"/>
    <x v="0"/>
    <x v="0"/>
    <n v="3"/>
    <n v="8"/>
    <n v="4"/>
    <n v="8"/>
    <s v="No"/>
    <x v="0"/>
    <x v="0"/>
    <x v="0"/>
    <n v="0"/>
  </r>
  <r>
    <n v="1398"/>
    <n v="57"/>
    <x v="1"/>
    <x v="0"/>
    <s v="Sales Representative"/>
    <s v="Other"/>
    <s v="Married"/>
    <s v="Travel_Rarely"/>
    <n v="17"/>
    <n v="11538"/>
    <x v="1"/>
    <x v="0"/>
    <n v="4"/>
    <n v="9"/>
    <n v="9"/>
    <n v="33"/>
    <s v="Yes"/>
    <x v="0"/>
    <x v="1"/>
    <x v="0"/>
    <n v="1"/>
  </r>
  <r>
    <n v="1177"/>
    <n v="26"/>
    <x v="1"/>
    <x v="0"/>
    <s v="Sales Representative"/>
    <s v="Life Sciences"/>
    <s v="Married"/>
    <s v="Travel_Frequently"/>
    <n v="14"/>
    <n v="4447"/>
    <x v="0"/>
    <x v="3"/>
    <n v="2"/>
    <n v="0"/>
    <n v="0"/>
    <n v="0"/>
    <s v="No"/>
    <x v="2"/>
    <x v="0"/>
    <x v="3"/>
    <n v="0"/>
  </r>
  <r>
    <n v="1102"/>
    <n v="25"/>
    <x v="0"/>
    <x v="2"/>
    <s v="IT Support"/>
    <s v="Business"/>
    <s v="Married"/>
    <s v="Non-Travel"/>
    <n v="29"/>
    <n v="5166"/>
    <x v="0"/>
    <x v="1"/>
    <n v="2"/>
    <n v="0"/>
    <n v="0"/>
    <n v="1"/>
    <s v="Yes"/>
    <x v="2"/>
    <x v="3"/>
    <x v="3"/>
    <n v="1"/>
  </r>
  <r>
    <n v="1220"/>
    <n v="27"/>
    <x v="0"/>
    <x v="3"/>
    <s v="HR Specialist"/>
    <s v="Human Resources"/>
    <s v="Married"/>
    <s v="Travel_Frequently"/>
    <n v="5"/>
    <n v="3775"/>
    <x v="0"/>
    <x v="1"/>
    <n v="3"/>
    <n v="1"/>
    <n v="1"/>
    <n v="7"/>
    <s v="No"/>
    <x v="2"/>
    <x v="0"/>
    <x v="3"/>
    <n v="0"/>
  </r>
  <r>
    <n v="1491"/>
    <n v="41"/>
    <x v="0"/>
    <x v="0"/>
    <s v="Sales Representative"/>
    <s v="Marketing"/>
    <s v="Married"/>
    <s v="Travel_Frequently"/>
    <n v="2"/>
    <n v="7923"/>
    <x v="1"/>
    <x v="3"/>
    <n v="3"/>
    <n v="10"/>
    <n v="8"/>
    <n v="18"/>
    <s v="No"/>
    <x v="1"/>
    <x v="2"/>
    <x v="0"/>
    <n v="0"/>
  </r>
  <r>
    <n v="1953"/>
    <n v="26"/>
    <x v="1"/>
    <x v="0"/>
    <s v="Sales Executive"/>
    <s v="Human Resources"/>
    <s v="Married"/>
    <s v="Travel_Frequently"/>
    <n v="1"/>
    <n v="6433"/>
    <x v="0"/>
    <x v="3"/>
    <n v="1"/>
    <n v="0"/>
    <n v="0"/>
    <n v="2"/>
    <s v="No"/>
    <x v="2"/>
    <x v="0"/>
    <x v="2"/>
    <n v="0"/>
  </r>
  <r>
    <n v="1976"/>
    <n v="36"/>
    <x v="1"/>
    <x v="1"/>
    <s v="Research Scientist"/>
    <s v="Unknown"/>
    <s v="Single"/>
    <s v="Non-Travel"/>
    <n v="2"/>
    <n v="8232"/>
    <x v="0"/>
    <x v="1"/>
    <n v="2"/>
    <n v="10"/>
    <n v="8"/>
    <n v="12"/>
    <s v="Yes"/>
    <x v="1"/>
    <x v="2"/>
    <x v="0"/>
    <n v="1"/>
  </r>
  <r>
    <n v="1680"/>
    <n v="45"/>
    <x v="0"/>
    <x v="1"/>
    <s v="Research Director"/>
    <s v="Medical"/>
    <s v="Divorced"/>
    <s v="Non-Travel"/>
    <n v="14"/>
    <n v="12853"/>
    <x v="1"/>
    <x v="0"/>
    <n v="3"/>
    <n v="4"/>
    <n v="3"/>
    <n v="15"/>
    <s v="No"/>
    <x v="3"/>
    <x v="2"/>
    <x v="0"/>
    <n v="0"/>
  </r>
  <r>
    <n v="1194"/>
    <n v="46"/>
    <x v="1"/>
    <x v="2"/>
    <s v="Software Engineer"/>
    <s v="Marketing"/>
    <s v="Married"/>
    <s v="Non-Travel"/>
    <n v="13"/>
    <n v="8151"/>
    <x v="0"/>
    <x v="4"/>
    <n v="1"/>
    <n v="6"/>
    <n v="0"/>
    <n v="17"/>
    <s v="No"/>
    <x v="0"/>
    <x v="1"/>
    <x v="0"/>
    <n v="0"/>
  </r>
  <r>
    <n v="1219"/>
    <n v="53"/>
    <x v="1"/>
    <x v="3"/>
    <s v="HR Specialist"/>
    <s v="Business"/>
    <s v="Single"/>
    <s v="Non-Travel"/>
    <n v="28"/>
    <n v="9293"/>
    <x v="0"/>
    <x v="0"/>
    <n v="2"/>
    <n v="19"/>
    <n v="6"/>
    <n v="24"/>
    <s v="No"/>
    <x v="1"/>
    <x v="1"/>
    <x v="0"/>
    <n v="0"/>
  </r>
  <r>
    <n v="1821"/>
    <n v="31"/>
    <x v="1"/>
    <x v="3"/>
    <s v="HR Specialist"/>
    <s v="Marketing"/>
    <s v="Married"/>
    <s v="Non-Travel"/>
    <n v="23"/>
    <n v="5978"/>
    <x v="0"/>
    <x v="2"/>
    <n v="4"/>
    <n v="7"/>
    <n v="2"/>
    <n v="10"/>
    <s v="No"/>
    <x v="0"/>
    <x v="0"/>
    <x v="2"/>
    <n v="0"/>
  </r>
  <r>
    <n v="1492"/>
    <n v="38"/>
    <x v="0"/>
    <x v="1"/>
    <s v="Healthcare Representative"/>
    <s v="Life Sciences"/>
    <s v="Divorced"/>
    <s v="Travel_Frequently"/>
    <n v="16"/>
    <n v="8032"/>
    <x v="0"/>
    <x v="2"/>
    <n v="2"/>
    <n v="8"/>
    <n v="8"/>
    <n v="17"/>
    <s v="No"/>
    <x v="0"/>
    <x v="2"/>
    <x v="0"/>
    <n v="0"/>
  </r>
  <r>
    <n v="1882"/>
    <n v="38"/>
    <x v="1"/>
    <x v="4"/>
    <s v="Finance Manager"/>
    <s v="Medical"/>
    <s v="Single"/>
    <s v="Non-Travel"/>
    <n v="26"/>
    <n v="12245"/>
    <x v="0"/>
    <x v="3"/>
    <n v="2"/>
    <n v="2"/>
    <n v="1"/>
    <n v="10"/>
    <s v="No"/>
    <x v="3"/>
    <x v="2"/>
    <x v="0"/>
    <n v="0"/>
  </r>
  <r>
    <n v="1979"/>
    <n v="52"/>
    <x v="0"/>
    <x v="0"/>
    <s v="Sales Representative"/>
    <s v="Medical"/>
    <s v="Married"/>
    <s v="Non-Travel"/>
    <n v="13"/>
    <n v="10513"/>
    <x v="0"/>
    <x v="3"/>
    <n v="3"/>
    <n v="19"/>
    <n v="8"/>
    <n v="20"/>
    <s v="No"/>
    <x v="1"/>
    <x v="1"/>
    <x v="0"/>
    <n v="0"/>
  </r>
  <r>
    <n v="1328"/>
    <n v="29"/>
    <x v="0"/>
    <x v="0"/>
    <s v="Sales Executive"/>
    <s v="Business"/>
    <s v="Single"/>
    <s v="Non-Travel"/>
    <n v="24"/>
    <n v="7351"/>
    <x v="0"/>
    <x v="0"/>
    <n v="2"/>
    <n v="2"/>
    <n v="0"/>
    <n v="9"/>
    <s v="Yes"/>
    <x v="3"/>
    <x v="0"/>
    <x v="2"/>
    <n v="1"/>
  </r>
  <r>
    <n v="1968"/>
    <n v="59"/>
    <x v="0"/>
    <x v="1"/>
    <s v="Laboratory Technician"/>
    <s v="Medical"/>
    <s v="Divorced"/>
    <s v="Non-Travel"/>
    <n v="7"/>
    <n v="12907"/>
    <x v="0"/>
    <x v="1"/>
    <n v="4"/>
    <n v="14"/>
    <n v="9"/>
    <n v="32"/>
    <s v="No"/>
    <x v="1"/>
    <x v="1"/>
    <x v="0"/>
    <n v="0"/>
  </r>
  <r>
    <n v="1831"/>
    <n v="41"/>
    <x v="0"/>
    <x v="1"/>
    <s v="Healthcare Representative"/>
    <s v="Human Resources"/>
    <s v="Divorced"/>
    <s v="Travel_Rarely"/>
    <n v="11"/>
    <n v="6276"/>
    <x v="1"/>
    <x v="2"/>
    <n v="1"/>
    <n v="3"/>
    <n v="1"/>
    <n v="21"/>
    <s v="No"/>
    <x v="3"/>
    <x v="2"/>
    <x v="2"/>
    <n v="0"/>
  </r>
  <r>
    <n v="1902"/>
    <n v="43"/>
    <x v="0"/>
    <x v="0"/>
    <s v="Sales Executive"/>
    <s v="Technical Degree"/>
    <s v="Divorced"/>
    <s v="Non-Travel"/>
    <n v="15"/>
    <n v="6298"/>
    <x v="0"/>
    <x v="1"/>
    <n v="3"/>
    <n v="9"/>
    <n v="6"/>
    <n v="12"/>
    <s v="No"/>
    <x v="0"/>
    <x v="2"/>
    <x v="2"/>
    <n v="0"/>
  </r>
  <r>
    <n v="1311"/>
    <n v="40"/>
    <x v="1"/>
    <x v="4"/>
    <s v="Accountant"/>
    <s v="Life Sciences"/>
    <s v="Single"/>
    <s v="Non-Travel"/>
    <n v="8"/>
    <n v="9881"/>
    <x v="1"/>
    <x v="2"/>
    <n v="2"/>
    <n v="4"/>
    <n v="1"/>
    <n v="9"/>
    <s v="No"/>
    <x v="3"/>
    <x v="2"/>
    <x v="0"/>
    <n v="0"/>
  </r>
  <r>
    <n v="1010"/>
    <n v="54"/>
    <x v="0"/>
    <x v="0"/>
    <s v="Sales Executive"/>
    <s v="Other"/>
    <s v="Married"/>
    <s v="Non-Travel"/>
    <n v="12"/>
    <n v="10408"/>
    <x v="1"/>
    <x v="2"/>
    <n v="1"/>
    <n v="0"/>
    <n v="0"/>
    <n v="34"/>
    <s v="No"/>
    <x v="2"/>
    <x v="1"/>
    <x v="0"/>
    <n v="0"/>
  </r>
  <r>
    <n v="1544"/>
    <n v="60"/>
    <x v="0"/>
    <x v="0"/>
    <s v="Sales Manager"/>
    <s v="Life Sciences"/>
    <s v="Single"/>
    <s v="Non-Travel"/>
    <n v="23"/>
    <n v="16743"/>
    <x v="0"/>
    <x v="1"/>
    <n v="3"/>
    <n v="7"/>
    <n v="7"/>
    <n v="33"/>
    <s v="No"/>
    <x v="0"/>
    <x v="1"/>
    <x v="0"/>
    <n v="0"/>
  </r>
  <r>
    <n v="1600"/>
    <n v="51"/>
    <x v="0"/>
    <x v="0"/>
    <s v="Sales Executive"/>
    <s v="Life Sciences"/>
    <s v="Single"/>
    <s v="Travel_Rarely"/>
    <n v="12"/>
    <n v="10245"/>
    <x v="1"/>
    <x v="0"/>
    <n v="4"/>
    <n v="22"/>
    <n v="13"/>
    <n v="28"/>
    <s v="Yes"/>
    <x v="1"/>
    <x v="1"/>
    <x v="0"/>
    <n v="1"/>
  </r>
  <r>
    <n v="1273"/>
    <n v="32"/>
    <x v="0"/>
    <x v="0"/>
    <s v="Sales Representative"/>
    <s v="Business"/>
    <s v="Single"/>
    <s v="Non-Travel"/>
    <n v="6"/>
    <n v="3703"/>
    <x v="0"/>
    <x v="3"/>
    <n v="2"/>
    <n v="1"/>
    <n v="0"/>
    <n v="1"/>
    <s v="No"/>
    <x v="2"/>
    <x v="0"/>
    <x v="3"/>
    <n v="0"/>
  </r>
  <r>
    <n v="1682"/>
    <n v="49"/>
    <x v="1"/>
    <x v="0"/>
    <s v="Sales Representative"/>
    <s v="Life Sciences"/>
    <s v="Married"/>
    <s v="Travel_Rarely"/>
    <n v="13"/>
    <n v="6094"/>
    <x v="0"/>
    <x v="3"/>
    <n v="1"/>
    <n v="14"/>
    <n v="1"/>
    <n v="18"/>
    <s v="No"/>
    <x v="1"/>
    <x v="1"/>
    <x v="2"/>
    <n v="0"/>
  </r>
  <r>
    <n v="1999"/>
    <n v="36"/>
    <x v="0"/>
    <x v="3"/>
    <s v="HR Specialist"/>
    <s v="Business"/>
    <s v="Divorced"/>
    <s v="Non-Travel"/>
    <n v="20"/>
    <n v="4589"/>
    <x v="1"/>
    <x v="0"/>
    <n v="2"/>
    <n v="3"/>
    <n v="1"/>
    <n v="5"/>
    <s v="No"/>
    <x v="3"/>
    <x v="2"/>
    <x v="3"/>
    <n v="0"/>
  </r>
  <r>
    <n v="1116"/>
    <n v="40"/>
    <x v="0"/>
    <x v="1"/>
    <s v="Research Scientist"/>
    <s v="Other"/>
    <s v="Married"/>
    <s v="Travel_Frequently"/>
    <n v="23"/>
    <n v="5845"/>
    <x v="0"/>
    <x v="0"/>
    <n v="2"/>
    <n v="8"/>
    <n v="8"/>
    <n v="12"/>
    <s v="No"/>
    <x v="0"/>
    <x v="2"/>
    <x v="2"/>
    <n v="0"/>
  </r>
  <r>
    <n v="1013"/>
    <n v="20"/>
    <x v="1"/>
    <x v="0"/>
    <s v="Sales Executive"/>
    <s v="Medical"/>
    <s v="Divorced"/>
    <s v="Travel_Rarely"/>
    <n v="3"/>
    <n v="6052"/>
    <x v="0"/>
    <x v="1"/>
    <n v="1"/>
    <n v="0"/>
    <n v="0"/>
    <n v="0"/>
    <s v="Yes"/>
    <x v="2"/>
    <x v="3"/>
    <x v="2"/>
    <n v="1"/>
  </r>
  <r>
    <n v="1808"/>
    <n v="60"/>
    <x v="0"/>
    <x v="2"/>
    <s v="Software Engineer"/>
    <s v="Human Resources"/>
    <s v="Married"/>
    <s v="Non-Travel"/>
    <n v="18"/>
    <n v="11210"/>
    <x v="0"/>
    <x v="2"/>
    <n v="3"/>
    <n v="13"/>
    <n v="8"/>
    <n v="39"/>
    <s v="No"/>
    <x v="1"/>
    <x v="1"/>
    <x v="0"/>
    <n v="0"/>
  </r>
  <r>
    <n v="1523"/>
    <n v="27"/>
    <x v="0"/>
    <x v="3"/>
    <s v="HR Manager"/>
    <s v="Technical Degree"/>
    <s v="Divorced"/>
    <s v="Travel_Frequently"/>
    <n v="8"/>
    <n v="10160"/>
    <x v="0"/>
    <x v="1"/>
    <n v="4"/>
    <n v="1"/>
    <n v="1"/>
    <n v="7"/>
    <s v="No"/>
    <x v="2"/>
    <x v="0"/>
    <x v="0"/>
    <n v="0"/>
  </r>
  <r>
    <n v="1062"/>
    <n v="26"/>
    <x v="1"/>
    <x v="4"/>
    <s v="Accountant"/>
    <s v="Medical"/>
    <s v="Divorced"/>
    <s v="Travel_Frequently"/>
    <n v="26"/>
    <n v="5648"/>
    <x v="1"/>
    <x v="2"/>
    <n v="2"/>
    <n v="0"/>
    <n v="0"/>
    <n v="0"/>
    <s v="No"/>
    <x v="2"/>
    <x v="0"/>
    <x v="2"/>
    <n v="0"/>
  </r>
  <r>
    <n v="1381"/>
    <n v="39"/>
    <x v="1"/>
    <x v="0"/>
    <s v="Sales Manager"/>
    <s v="Human Resources"/>
    <s v="Single"/>
    <s v="Travel_Rarely"/>
    <n v="11"/>
    <n v="12452"/>
    <x v="1"/>
    <x v="3"/>
    <n v="3"/>
    <n v="6"/>
    <n v="2"/>
    <n v="19"/>
    <s v="No"/>
    <x v="0"/>
    <x v="2"/>
    <x v="0"/>
    <n v="0"/>
  </r>
  <r>
    <n v="1012"/>
    <n v="32"/>
    <x v="0"/>
    <x v="4"/>
    <s v="Finance Manager"/>
    <s v="Business"/>
    <s v="Divorced"/>
    <s v="Travel_Frequently"/>
    <n v="8"/>
    <n v="9105"/>
    <x v="1"/>
    <x v="2"/>
    <n v="4"/>
    <n v="5"/>
    <n v="5"/>
    <n v="6"/>
    <s v="Yes"/>
    <x v="0"/>
    <x v="0"/>
    <x v="0"/>
    <n v="1"/>
  </r>
  <r>
    <n v="1401"/>
    <n v="23"/>
    <x v="1"/>
    <x v="2"/>
    <s v="IT Support"/>
    <s v="Human Resources"/>
    <s v="Divorced"/>
    <s v="Non-Travel"/>
    <n v="16"/>
    <n v="4268"/>
    <x v="0"/>
    <x v="1"/>
    <n v="2"/>
    <n v="0"/>
    <n v="0"/>
    <n v="0"/>
    <s v="Yes"/>
    <x v="2"/>
    <x v="3"/>
    <x v="3"/>
    <n v="1"/>
  </r>
  <r>
    <n v="1986"/>
    <n v="56"/>
    <x v="0"/>
    <x v="1"/>
    <s v="Research Scientist"/>
    <s v="Other"/>
    <s v="Single"/>
    <s v="Non-Travel"/>
    <n v="1"/>
    <n v="10850"/>
    <x v="0"/>
    <x v="2"/>
    <n v="2"/>
    <n v="24"/>
    <n v="8"/>
    <n v="36"/>
    <s v="No"/>
    <x v="1"/>
    <x v="1"/>
    <x v="0"/>
    <n v="0"/>
  </r>
  <r>
    <n v="1765"/>
    <n v="36"/>
    <x v="1"/>
    <x v="0"/>
    <s v="Sales Representative"/>
    <s v="Technical Degree"/>
    <s v="Married"/>
    <s v="Travel_Frequently"/>
    <n v="2"/>
    <n v="7004"/>
    <x v="1"/>
    <x v="1"/>
    <n v="2"/>
    <n v="10"/>
    <n v="2"/>
    <n v="13"/>
    <s v="Yes"/>
    <x v="1"/>
    <x v="2"/>
    <x v="2"/>
    <n v="1"/>
  </r>
  <r>
    <n v="1137"/>
    <n v="56"/>
    <x v="0"/>
    <x v="3"/>
    <s v="HR Specialist"/>
    <s v="Life Sciences"/>
    <s v="Divorced"/>
    <s v="Travel_Rarely"/>
    <n v="13"/>
    <n v="12839"/>
    <x v="0"/>
    <x v="3"/>
    <n v="1"/>
    <n v="1"/>
    <n v="0"/>
    <n v="32"/>
    <s v="No"/>
    <x v="2"/>
    <x v="1"/>
    <x v="0"/>
    <n v="0"/>
  </r>
  <r>
    <n v="1308"/>
    <n v="20"/>
    <x v="1"/>
    <x v="4"/>
    <s v="Finance Manager"/>
    <s v="Medical"/>
    <s v="Divorced"/>
    <s v="Travel_Frequently"/>
    <n v="4"/>
    <n v="10828"/>
    <x v="0"/>
    <x v="1"/>
    <n v="3"/>
    <n v="0"/>
    <n v="0"/>
    <n v="0"/>
    <s v="No"/>
    <x v="2"/>
    <x v="3"/>
    <x v="0"/>
    <n v="0"/>
  </r>
  <r>
    <n v="1151"/>
    <n v="29"/>
    <x v="1"/>
    <x v="2"/>
    <s v="IT Manager"/>
    <s v="Business"/>
    <s v="Divorced"/>
    <s v="Travel_Rarely"/>
    <n v="5"/>
    <n v="11168"/>
    <x v="0"/>
    <x v="3"/>
    <n v="3"/>
    <n v="4"/>
    <n v="3"/>
    <n v="4"/>
    <s v="No"/>
    <x v="3"/>
    <x v="0"/>
    <x v="0"/>
    <n v="0"/>
  </r>
  <r>
    <n v="1208"/>
    <n v="52"/>
    <x v="1"/>
    <x v="0"/>
    <s v="Sales Executive"/>
    <s v="Other"/>
    <s v="Married"/>
    <s v="Travel_Frequently"/>
    <n v="9"/>
    <n v="12888"/>
    <x v="1"/>
    <x v="2"/>
    <n v="2"/>
    <n v="2"/>
    <n v="2"/>
    <n v="32"/>
    <s v="No"/>
    <x v="3"/>
    <x v="1"/>
    <x v="0"/>
    <n v="0"/>
  </r>
  <r>
    <n v="1238"/>
    <n v="32"/>
    <x v="1"/>
    <x v="1"/>
    <s v="Research Director"/>
    <s v="Other"/>
    <s v="Married"/>
    <s v="Travel_Frequently"/>
    <n v="20"/>
    <n v="12757"/>
    <x v="0"/>
    <x v="1"/>
    <n v="2"/>
    <n v="4"/>
    <n v="3"/>
    <n v="6"/>
    <s v="No"/>
    <x v="3"/>
    <x v="0"/>
    <x v="0"/>
    <n v="0"/>
  </r>
  <r>
    <n v="1041"/>
    <n v="27"/>
    <x v="1"/>
    <x v="4"/>
    <s v="Finance Manager"/>
    <s v="Technical Degree"/>
    <s v="Divorced"/>
    <s v="Travel_Frequently"/>
    <n v="23"/>
    <n v="9115"/>
    <x v="0"/>
    <x v="0"/>
    <n v="4"/>
    <n v="2"/>
    <n v="0"/>
    <n v="3"/>
    <s v="No"/>
    <x v="3"/>
    <x v="0"/>
    <x v="0"/>
    <n v="0"/>
  </r>
  <r>
    <n v="1574"/>
    <n v="28"/>
    <x v="0"/>
    <x v="0"/>
    <s v="Sales Executive"/>
    <s v="Marketing"/>
    <s v="Married"/>
    <s v="Non-Travel"/>
    <n v="17"/>
    <n v="5403"/>
    <x v="0"/>
    <x v="3"/>
    <n v="3"/>
    <n v="6"/>
    <n v="5"/>
    <n v="6"/>
    <s v="No"/>
    <x v="0"/>
    <x v="0"/>
    <x v="3"/>
    <n v="0"/>
  </r>
  <r>
    <n v="1424"/>
    <n v="49"/>
    <x v="0"/>
    <x v="1"/>
    <s v="Laboratory Technician"/>
    <s v="Business"/>
    <s v="Married"/>
    <s v="Travel_Rarely"/>
    <n v="2"/>
    <n v="7795"/>
    <x v="0"/>
    <x v="3"/>
    <n v="1"/>
    <n v="8"/>
    <n v="3"/>
    <n v="23"/>
    <s v="No"/>
    <x v="0"/>
    <x v="1"/>
    <x v="0"/>
    <n v="0"/>
  </r>
  <r>
    <n v="1597"/>
    <n v="60"/>
    <x v="1"/>
    <x v="4"/>
    <s v="Accountant"/>
    <s v="Technical Degree"/>
    <s v="Divorced"/>
    <s v="Travel_Frequently"/>
    <n v="5"/>
    <n v="11877"/>
    <x v="0"/>
    <x v="0"/>
    <n v="4"/>
    <n v="21"/>
    <n v="20"/>
    <n v="35"/>
    <s v="No"/>
    <x v="1"/>
    <x v="1"/>
    <x v="0"/>
    <n v="0"/>
  </r>
  <r>
    <n v="1190"/>
    <n v="47"/>
    <x v="1"/>
    <x v="1"/>
    <s v="Research Scientist"/>
    <s v="Human Resources"/>
    <s v="Divorced"/>
    <s v="Non-Travel"/>
    <n v="9"/>
    <n v="12143"/>
    <x v="0"/>
    <x v="0"/>
    <n v="1"/>
    <n v="4"/>
    <n v="2"/>
    <n v="25"/>
    <s v="Yes"/>
    <x v="3"/>
    <x v="1"/>
    <x v="0"/>
    <n v="1"/>
  </r>
  <r>
    <n v="1673"/>
    <n v="21"/>
    <x v="1"/>
    <x v="3"/>
    <s v="HR Manager"/>
    <s v="Life Sciences"/>
    <s v="Divorced"/>
    <s v="Non-Travel"/>
    <n v="25"/>
    <n v="9132"/>
    <x v="0"/>
    <x v="1"/>
    <n v="2"/>
    <n v="0"/>
    <n v="0"/>
    <n v="0"/>
    <s v="No"/>
    <x v="2"/>
    <x v="3"/>
    <x v="0"/>
    <n v="0"/>
  </r>
  <r>
    <n v="1809"/>
    <n v="49"/>
    <x v="1"/>
    <x v="0"/>
    <s v="Sales Representative"/>
    <s v="Life Sciences"/>
    <s v="Married"/>
    <s v="Travel_Rarely"/>
    <n v="24"/>
    <n v="8420"/>
    <x v="1"/>
    <x v="2"/>
    <n v="3"/>
    <n v="13"/>
    <n v="3"/>
    <n v="25"/>
    <s v="No"/>
    <x v="1"/>
    <x v="1"/>
    <x v="0"/>
    <n v="0"/>
  </r>
  <r>
    <n v="1984"/>
    <n v="49"/>
    <x v="1"/>
    <x v="1"/>
    <s v="Research Director"/>
    <s v="Life Sciences"/>
    <s v="Married"/>
    <s v="Travel_Frequently"/>
    <n v="4"/>
    <n v="13076"/>
    <x v="1"/>
    <x v="1"/>
    <n v="4"/>
    <n v="25"/>
    <n v="6"/>
    <n v="29"/>
    <s v="Yes"/>
    <x v="1"/>
    <x v="1"/>
    <x v="0"/>
    <n v="1"/>
  </r>
  <r>
    <n v="1490"/>
    <n v="20"/>
    <x v="0"/>
    <x v="2"/>
    <s v="Data Analyst"/>
    <s v="Technical Degree"/>
    <s v="Single"/>
    <s v="Travel_Rarely"/>
    <n v="29"/>
    <n v="8046"/>
    <x v="1"/>
    <x v="2"/>
    <n v="3"/>
    <n v="0"/>
    <n v="0"/>
    <n v="0"/>
    <s v="No"/>
    <x v="2"/>
    <x v="3"/>
    <x v="0"/>
    <n v="0"/>
  </r>
  <r>
    <n v="1981"/>
    <n v="33"/>
    <x v="0"/>
    <x v="3"/>
    <s v="HR Manager"/>
    <s v="Marketing"/>
    <s v="Married"/>
    <s v="Travel_Frequently"/>
    <n v="13"/>
    <n v="8935"/>
    <x v="0"/>
    <x v="3"/>
    <n v="4"/>
    <n v="1"/>
    <n v="0"/>
    <n v="4"/>
    <s v="No"/>
    <x v="2"/>
    <x v="0"/>
    <x v="0"/>
    <n v="0"/>
  </r>
  <r>
    <n v="1987"/>
    <n v="22"/>
    <x v="1"/>
    <x v="2"/>
    <s v="Data Analyst"/>
    <s v="Other"/>
    <s v="Married"/>
    <s v="Travel_Frequently"/>
    <n v="20"/>
    <n v="4562"/>
    <x v="0"/>
    <x v="1"/>
    <n v="3"/>
    <n v="1"/>
    <n v="1"/>
    <n v="2"/>
    <s v="Yes"/>
    <x v="2"/>
    <x v="3"/>
    <x v="3"/>
    <n v="1"/>
  </r>
  <r>
    <n v="1383"/>
    <n v="41"/>
    <x v="0"/>
    <x v="0"/>
    <s v="Sales Manager"/>
    <s v="Life Sciences"/>
    <s v="Divorced"/>
    <s v="Travel_Frequently"/>
    <n v="3"/>
    <n v="11286"/>
    <x v="0"/>
    <x v="1"/>
    <n v="1"/>
    <n v="0"/>
    <n v="0"/>
    <n v="15"/>
    <s v="Yes"/>
    <x v="2"/>
    <x v="2"/>
    <x v="0"/>
    <n v="1"/>
  </r>
  <r>
    <n v="1560"/>
    <n v="47"/>
    <x v="1"/>
    <x v="4"/>
    <s v="Finance Manager"/>
    <s v="Human Resources"/>
    <s v="Single"/>
    <s v="Non-Travel"/>
    <n v="11"/>
    <n v="13363"/>
    <x v="0"/>
    <x v="3"/>
    <n v="4"/>
    <n v="4"/>
    <n v="1"/>
    <n v="24"/>
    <s v="No"/>
    <x v="3"/>
    <x v="1"/>
    <x v="0"/>
    <n v="0"/>
  </r>
  <r>
    <n v="1676"/>
    <n v="49"/>
    <x v="1"/>
    <x v="0"/>
    <s v="Sales Manager"/>
    <s v="Human Resources"/>
    <s v="Divorced"/>
    <s v="Travel_Frequently"/>
    <n v="17"/>
    <n v="14852"/>
    <x v="0"/>
    <x v="3"/>
    <n v="2"/>
    <n v="22"/>
    <n v="7"/>
    <n v="29"/>
    <s v="No"/>
    <x v="1"/>
    <x v="1"/>
    <x v="0"/>
    <n v="0"/>
  </r>
  <r>
    <n v="1457"/>
    <n v="46"/>
    <x v="1"/>
    <x v="0"/>
    <s v="Sales Executive"/>
    <s v="Human Resources"/>
    <s v="Single"/>
    <s v="Non-Travel"/>
    <n v="23"/>
    <n v="12513"/>
    <x v="0"/>
    <x v="3"/>
    <n v="4"/>
    <n v="3"/>
    <n v="3"/>
    <n v="26"/>
    <s v="No"/>
    <x v="3"/>
    <x v="1"/>
    <x v="0"/>
    <n v="0"/>
  </r>
  <r>
    <n v="1202"/>
    <n v="26"/>
    <x v="1"/>
    <x v="1"/>
    <s v="Research Director"/>
    <s v="Marketing"/>
    <s v="Married"/>
    <s v="Travel_Rarely"/>
    <n v="1"/>
    <n v="8887"/>
    <x v="0"/>
    <x v="1"/>
    <n v="1"/>
    <n v="0"/>
    <n v="0"/>
    <n v="6"/>
    <s v="Yes"/>
    <x v="2"/>
    <x v="0"/>
    <x v="0"/>
    <n v="1"/>
  </r>
  <r>
    <n v="1978"/>
    <n v="34"/>
    <x v="1"/>
    <x v="3"/>
    <s v="HR Specialist"/>
    <s v="Human Resources"/>
    <s v="Divorced"/>
    <s v="Travel_Rarely"/>
    <n v="1"/>
    <n v="6336"/>
    <x v="1"/>
    <x v="2"/>
    <n v="2"/>
    <n v="1"/>
    <n v="1"/>
    <n v="9"/>
    <s v="No"/>
    <x v="2"/>
    <x v="0"/>
    <x v="2"/>
    <n v="0"/>
  </r>
  <r>
    <n v="1192"/>
    <n v="41"/>
    <x v="1"/>
    <x v="1"/>
    <s v="Research Scientist"/>
    <s v="Business"/>
    <s v="Single"/>
    <s v="Travel_Rarely"/>
    <n v="3"/>
    <n v="5575"/>
    <x v="1"/>
    <x v="2"/>
    <n v="1"/>
    <n v="13"/>
    <n v="11"/>
    <n v="21"/>
    <s v="No"/>
    <x v="1"/>
    <x v="2"/>
    <x v="2"/>
    <n v="0"/>
  </r>
  <r>
    <n v="1585"/>
    <n v="59"/>
    <x v="0"/>
    <x v="3"/>
    <s v="HR Manager"/>
    <s v="Other"/>
    <s v="Divorced"/>
    <s v="Non-Travel"/>
    <n v="26"/>
    <n v="14623"/>
    <x v="0"/>
    <x v="2"/>
    <n v="1"/>
    <n v="6"/>
    <n v="3"/>
    <n v="33"/>
    <s v="No"/>
    <x v="0"/>
    <x v="1"/>
    <x v="0"/>
    <n v="0"/>
  </r>
  <r>
    <n v="1089"/>
    <n v="22"/>
    <x v="1"/>
    <x v="0"/>
    <s v="Sales Manager"/>
    <s v="Medical"/>
    <s v="Single"/>
    <s v="Travel_Rarely"/>
    <n v="23"/>
    <n v="9306"/>
    <x v="0"/>
    <x v="0"/>
    <n v="4"/>
    <n v="0"/>
    <n v="0"/>
    <n v="0"/>
    <s v="No"/>
    <x v="2"/>
    <x v="3"/>
    <x v="0"/>
    <n v="0"/>
  </r>
  <r>
    <n v="1166"/>
    <n v="35"/>
    <x v="1"/>
    <x v="1"/>
    <s v="Research Director"/>
    <s v="Medical"/>
    <s v="Married"/>
    <s v="Travel_Rarely"/>
    <n v="3"/>
    <n v="10336"/>
    <x v="0"/>
    <x v="2"/>
    <n v="3"/>
    <n v="2"/>
    <n v="1"/>
    <n v="10"/>
    <s v="Yes"/>
    <x v="3"/>
    <x v="0"/>
    <x v="0"/>
    <n v="1"/>
  </r>
  <r>
    <n v="1124"/>
    <n v="46"/>
    <x v="0"/>
    <x v="4"/>
    <s v="Finance Manager"/>
    <s v="Medical"/>
    <s v="Married"/>
    <s v="Non-Travel"/>
    <n v="17"/>
    <n v="16163"/>
    <x v="0"/>
    <x v="3"/>
    <n v="2"/>
    <n v="5"/>
    <n v="2"/>
    <n v="22"/>
    <s v="No"/>
    <x v="0"/>
    <x v="1"/>
    <x v="0"/>
    <n v="0"/>
  </r>
  <r>
    <n v="1141"/>
    <n v="23"/>
    <x v="1"/>
    <x v="3"/>
    <s v="HR Specialist"/>
    <s v="Medical"/>
    <s v="Married"/>
    <s v="Travel_Frequently"/>
    <n v="21"/>
    <n v="3437"/>
    <x v="0"/>
    <x v="2"/>
    <n v="3"/>
    <n v="0"/>
    <n v="0"/>
    <n v="0"/>
    <s v="No"/>
    <x v="2"/>
    <x v="3"/>
    <x v="1"/>
    <n v="0"/>
  </r>
  <r>
    <n v="1897"/>
    <n v="37"/>
    <x v="1"/>
    <x v="0"/>
    <s v="Sales Executive"/>
    <s v="Technical Degree"/>
    <s v="Divorced"/>
    <s v="Travel_Frequently"/>
    <n v="10"/>
    <n v="7334"/>
    <x v="0"/>
    <x v="2"/>
    <n v="2"/>
    <n v="1"/>
    <n v="1"/>
    <n v="13"/>
    <s v="No"/>
    <x v="2"/>
    <x v="2"/>
    <x v="2"/>
    <n v="0"/>
  </r>
  <r>
    <n v="1951"/>
    <n v="39"/>
    <x v="1"/>
    <x v="2"/>
    <s v="Data Analyst"/>
    <s v="Other"/>
    <s v="Married"/>
    <s v="Travel_Rarely"/>
    <n v="26"/>
    <n v="9427"/>
    <x v="0"/>
    <x v="0"/>
    <n v="4"/>
    <n v="6"/>
    <n v="3"/>
    <n v="7"/>
    <s v="No"/>
    <x v="0"/>
    <x v="2"/>
    <x v="0"/>
    <n v="0"/>
  </r>
  <r>
    <n v="1929"/>
    <n v="43"/>
    <x v="1"/>
    <x v="4"/>
    <s v="Financial Analyst"/>
    <s v="Human Resources"/>
    <s v="Married"/>
    <s v="Non-Travel"/>
    <n v="23"/>
    <n v="9337"/>
    <x v="0"/>
    <x v="0"/>
    <n v="4"/>
    <n v="4"/>
    <n v="1"/>
    <n v="23"/>
    <s v="No"/>
    <x v="3"/>
    <x v="2"/>
    <x v="0"/>
    <n v="0"/>
  </r>
  <r>
    <n v="1250"/>
    <n v="30"/>
    <x v="0"/>
    <x v="1"/>
    <s v="Research Director"/>
    <s v="Other"/>
    <s v="Single"/>
    <s v="Non-Travel"/>
    <n v="29"/>
    <n v="10530"/>
    <x v="0"/>
    <x v="2"/>
    <n v="2"/>
    <n v="4"/>
    <n v="3"/>
    <n v="7"/>
    <s v="No"/>
    <x v="3"/>
    <x v="0"/>
    <x v="0"/>
    <n v="0"/>
  </r>
  <r>
    <n v="1942"/>
    <n v="23"/>
    <x v="1"/>
    <x v="1"/>
    <s v="Healthcare Representative"/>
    <s v="Life Sciences"/>
    <s v="Married"/>
    <s v="Travel_Frequently"/>
    <n v="15"/>
    <n v="6807"/>
    <x v="1"/>
    <x v="2"/>
    <n v="4"/>
    <n v="0"/>
    <n v="0"/>
    <n v="0"/>
    <s v="Yes"/>
    <x v="2"/>
    <x v="3"/>
    <x v="2"/>
    <n v="1"/>
  </r>
  <r>
    <n v="1520"/>
    <n v="20"/>
    <x v="1"/>
    <x v="1"/>
    <s v="Research Director"/>
    <s v="Other"/>
    <s v="Divorced"/>
    <s v="Travel_Frequently"/>
    <n v="29"/>
    <n v="6439"/>
    <x v="0"/>
    <x v="2"/>
    <n v="4"/>
    <n v="0"/>
    <n v="0"/>
    <n v="0"/>
    <s v="No"/>
    <x v="2"/>
    <x v="3"/>
    <x v="2"/>
    <n v="0"/>
  </r>
  <r>
    <n v="1411"/>
    <n v="25"/>
    <x v="1"/>
    <x v="1"/>
    <s v="Research Director"/>
    <s v="Human Resources"/>
    <s v="Married"/>
    <s v="Non-Travel"/>
    <n v="22"/>
    <n v="8011"/>
    <x v="0"/>
    <x v="3"/>
    <n v="1"/>
    <n v="2"/>
    <n v="2"/>
    <n v="5"/>
    <s v="Yes"/>
    <x v="3"/>
    <x v="3"/>
    <x v="0"/>
    <n v="1"/>
  </r>
  <r>
    <n v="1487"/>
    <n v="37"/>
    <x v="1"/>
    <x v="2"/>
    <s v="Software Engineer"/>
    <s v="Marketing"/>
    <s v="Single"/>
    <s v="Non-Travel"/>
    <n v="7"/>
    <n v="9668"/>
    <x v="0"/>
    <x v="3"/>
    <n v="3"/>
    <n v="2"/>
    <n v="1"/>
    <n v="11"/>
    <s v="No"/>
    <x v="3"/>
    <x v="2"/>
    <x v="0"/>
    <n v="0"/>
  </r>
  <r>
    <n v="1367"/>
    <n v="29"/>
    <x v="0"/>
    <x v="4"/>
    <s v="Financial Analyst"/>
    <s v="Life Sciences"/>
    <s v="Single"/>
    <s v="Travel_Frequently"/>
    <n v="4"/>
    <n v="9332"/>
    <x v="0"/>
    <x v="2"/>
    <n v="3"/>
    <n v="6"/>
    <n v="2"/>
    <n v="8"/>
    <s v="No"/>
    <x v="0"/>
    <x v="0"/>
    <x v="0"/>
    <n v="0"/>
  </r>
  <r>
    <n v="1681"/>
    <n v="35"/>
    <x v="0"/>
    <x v="3"/>
    <s v="HR Specialist"/>
    <s v="Marketing"/>
    <s v="Married"/>
    <s v="Travel_Frequently"/>
    <n v="28"/>
    <n v="4712"/>
    <x v="0"/>
    <x v="2"/>
    <n v="2"/>
    <n v="2"/>
    <n v="0"/>
    <n v="9"/>
    <s v="Yes"/>
    <x v="3"/>
    <x v="0"/>
    <x v="3"/>
    <n v="1"/>
  </r>
  <r>
    <n v="1972"/>
    <n v="26"/>
    <x v="0"/>
    <x v="3"/>
    <s v="HR Manager"/>
    <s v="Other"/>
    <s v="Married"/>
    <s v="Travel_Frequently"/>
    <n v="1"/>
    <n v="8783"/>
    <x v="0"/>
    <x v="3"/>
    <n v="2"/>
    <n v="1"/>
    <n v="1"/>
    <n v="6"/>
    <s v="Yes"/>
    <x v="2"/>
    <x v="0"/>
    <x v="0"/>
    <n v="1"/>
  </r>
  <r>
    <n v="1899"/>
    <n v="25"/>
    <x v="1"/>
    <x v="0"/>
    <s v="Sales Executive"/>
    <s v="Other"/>
    <s v="Married"/>
    <s v="Travel_Frequently"/>
    <n v="21"/>
    <n v="6071"/>
    <x v="0"/>
    <x v="2"/>
    <n v="4"/>
    <n v="4"/>
    <n v="2"/>
    <n v="5"/>
    <s v="Yes"/>
    <x v="3"/>
    <x v="3"/>
    <x v="2"/>
    <n v="1"/>
  </r>
  <r>
    <n v="1270"/>
    <n v="54"/>
    <x v="1"/>
    <x v="1"/>
    <s v="Healthcare Representative"/>
    <s v="Medical"/>
    <s v="Single"/>
    <s v="Travel_Rarely"/>
    <n v="22"/>
    <n v="13105"/>
    <x v="1"/>
    <x v="1"/>
    <n v="4"/>
    <n v="25"/>
    <n v="0"/>
    <n v="27"/>
    <s v="Yes"/>
    <x v="1"/>
    <x v="1"/>
    <x v="0"/>
    <n v="1"/>
  </r>
  <r>
    <n v="1090"/>
    <n v="30"/>
    <x v="0"/>
    <x v="0"/>
    <s v="Sales Representative"/>
    <s v="Marketing"/>
    <s v="Married"/>
    <s v="Travel_Frequently"/>
    <n v="13"/>
    <n v="4797"/>
    <x v="0"/>
    <x v="1"/>
    <n v="2"/>
    <n v="5"/>
    <n v="0"/>
    <n v="8"/>
    <s v="No"/>
    <x v="0"/>
    <x v="0"/>
    <x v="3"/>
    <n v="0"/>
  </r>
  <r>
    <n v="1067"/>
    <n v="26"/>
    <x v="0"/>
    <x v="4"/>
    <s v="Accountant"/>
    <s v="Other"/>
    <s v="Divorced"/>
    <s v="Non-Travel"/>
    <n v="19"/>
    <n v="8077"/>
    <x v="1"/>
    <x v="1"/>
    <n v="4"/>
    <n v="2"/>
    <n v="1"/>
    <n v="2"/>
    <s v="No"/>
    <x v="3"/>
    <x v="0"/>
    <x v="0"/>
    <n v="0"/>
  </r>
  <r>
    <n v="1069"/>
    <n v="60"/>
    <x v="0"/>
    <x v="2"/>
    <s v="Data Analyst"/>
    <s v="Life Sciences"/>
    <s v="Single"/>
    <s v="Non-Travel"/>
    <n v="11"/>
    <n v="11082"/>
    <x v="0"/>
    <x v="3"/>
    <n v="1"/>
    <n v="14"/>
    <n v="0"/>
    <n v="33"/>
    <s v="No"/>
    <x v="1"/>
    <x v="1"/>
    <x v="0"/>
    <n v="0"/>
  </r>
  <r>
    <n v="1433"/>
    <n v="48"/>
    <x v="0"/>
    <x v="2"/>
    <s v="IT Support"/>
    <s v="Business"/>
    <s v="Single"/>
    <s v="Non-Travel"/>
    <n v="6"/>
    <n v="7429"/>
    <x v="0"/>
    <x v="1"/>
    <n v="1"/>
    <n v="2"/>
    <n v="0"/>
    <n v="17"/>
    <s v="Yes"/>
    <x v="3"/>
    <x v="1"/>
    <x v="2"/>
    <n v="1"/>
  </r>
  <r>
    <n v="1719"/>
    <n v="53"/>
    <x v="1"/>
    <x v="1"/>
    <s v="Research Director"/>
    <s v="Medical"/>
    <s v="Single"/>
    <s v="Non-Travel"/>
    <n v="29"/>
    <n v="12361"/>
    <x v="1"/>
    <x v="1"/>
    <n v="2"/>
    <n v="3"/>
    <n v="0"/>
    <n v="24"/>
    <s v="Yes"/>
    <x v="3"/>
    <x v="1"/>
    <x v="0"/>
    <n v="1"/>
  </r>
  <r>
    <n v="1571"/>
    <n v="28"/>
    <x v="0"/>
    <x v="1"/>
    <s v="Research Scientist"/>
    <s v="Life Sciences"/>
    <s v="Married"/>
    <s v="Non-Travel"/>
    <n v="3"/>
    <n v="9883"/>
    <x v="0"/>
    <x v="2"/>
    <n v="2"/>
    <n v="5"/>
    <n v="4"/>
    <n v="8"/>
    <s v="No"/>
    <x v="0"/>
    <x v="0"/>
    <x v="0"/>
    <n v="0"/>
  </r>
  <r>
    <n v="1447"/>
    <n v="56"/>
    <x v="1"/>
    <x v="1"/>
    <s v="Healthcare Representative"/>
    <s v="Life Sciences"/>
    <s v="Married"/>
    <s v="Travel_Rarely"/>
    <n v="6"/>
    <n v="11062"/>
    <x v="0"/>
    <x v="0"/>
    <n v="1"/>
    <n v="21"/>
    <n v="15"/>
    <n v="28"/>
    <s v="No"/>
    <x v="1"/>
    <x v="1"/>
    <x v="0"/>
    <n v="0"/>
  </r>
  <r>
    <n v="1286"/>
    <n v="57"/>
    <x v="0"/>
    <x v="1"/>
    <s v="Research Director"/>
    <s v="Human Resources"/>
    <s v="Divorced"/>
    <s v="Travel_Rarely"/>
    <n v="26"/>
    <n v="17061"/>
    <x v="0"/>
    <x v="3"/>
    <n v="1"/>
    <n v="25"/>
    <n v="10"/>
    <n v="36"/>
    <s v="No"/>
    <x v="1"/>
    <x v="1"/>
    <x v="0"/>
    <n v="0"/>
  </r>
  <r>
    <n v="1035"/>
    <n v="37"/>
    <x v="0"/>
    <x v="1"/>
    <s v="Laboratory Technician"/>
    <s v="Life Sciences"/>
    <s v="Divorced"/>
    <s v="Non-Travel"/>
    <n v="8"/>
    <n v="7316"/>
    <x v="1"/>
    <x v="0"/>
    <n v="1"/>
    <n v="1"/>
    <n v="1"/>
    <n v="5"/>
    <s v="Yes"/>
    <x v="2"/>
    <x v="2"/>
    <x v="2"/>
    <n v="1"/>
  </r>
  <r>
    <n v="1486"/>
    <n v="58"/>
    <x v="1"/>
    <x v="1"/>
    <s v="Healthcare Representative"/>
    <s v="Marketing"/>
    <s v="Single"/>
    <s v="Non-Travel"/>
    <n v="15"/>
    <n v="12143"/>
    <x v="0"/>
    <x v="1"/>
    <n v="4"/>
    <n v="11"/>
    <n v="2"/>
    <n v="33"/>
    <s v="No"/>
    <x v="1"/>
    <x v="1"/>
    <x v="0"/>
    <n v="0"/>
  </r>
  <r>
    <n v="1429"/>
    <n v="49"/>
    <x v="0"/>
    <x v="3"/>
    <s v="HR Manager"/>
    <s v="Human Resources"/>
    <s v="Married"/>
    <s v="Travel_Frequently"/>
    <n v="3"/>
    <n v="10156"/>
    <x v="0"/>
    <x v="2"/>
    <n v="1"/>
    <n v="12"/>
    <n v="2"/>
    <n v="26"/>
    <s v="No"/>
    <x v="1"/>
    <x v="1"/>
    <x v="0"/>
    <n v="0"/>
  </r>
  <r>
    <n v="1109"/>
    <n v="22"/>
    <x v="0"/>
    <x v="0"/>
    <s v="Sales Executive"/>
    <s v="Medical"/>
    <s v="Single"/>
    <s v="Travel_Frequently"/>
    <n v="21"/>
    <n v="6305"/>
    <x v="1"/>
    <x v="2"/>
    <n v="3"/>
    <n v="0"/>
    <n v="0"/>
    <n v="0"/>
    <s v="Yes"/>
    <x v="2"/>
    <x v="3"/>
    <x v="2"/>
    <n v="1"/>
  </r>
  <r>
    <n v="1557"/>
    <n v="31"/>
    <x v="1"/>
    <x v="1"/>
    <s v="Healthcare Representative"/>
    <s v="Life Sciences"/>
    <s v="Divorced"/>
    <s v="Travel_Frequently"/>
    <n v="5"/>
    <n v="6715"/>
    <x v="0"/>
    <x v="0"/>
    <n v="1"/>
    <n v="0"/>
    <n v="0"/>
    <n v="7"/>
    <s v="Yes"/>
    <x v="2"/>
    <x v="0"/>
    <x v="2"/>
    <n v="1"/>
  </r>
  <r>
    <n v="1651"/>
    <n v="54"/>
    <x v="0"/>
    <x v="2"/>
    <s v="IT Manager"/>
    <s v="Life Sciences"/>
    <s v="Divorced"/>
    <s v="Non-Travel"/>
    <n v="7"/>
    <n v="13001"/>
    <x v="0"/>
    <x v="2"/>
    <n v="4"/>
    <n v="5"/>
    <n v="3"/>
    <n v="34"/>
    <s v="No"/>
    <x v="0"/>
    <x v="1"/>
    <x v="0"/>
    <n v="0"/>
  </r>
  <r>
    <n v="1378"/>
    <n v="37"/>
    <x v="0"/>
    <x v="2"/>
    <s v="Data Analyst"/>
    <s v="Other"/>
    <s v="Single"/>
    <s v="Non-Travel"/>
    <n v="6"/>
    <n v="8205"/>
    <x v="0"/>
    <x v="0"/>
    <n v="2"/>
    <n v="3"/>
    <n v="2"/>
    <n v="7"/>
    <s v="No"/>
    <x v="3"/>
    <x v="2"/>
    <x v="0"/>
    <n v="0"/>
  </r>
  <r>
    <n v="1711"/>
    <n v="23"/>
    <x v="0"/>
    <x v="0"/>
    <s v="Sales Executive"/>
    <s v="Other"/>
    <s v="Married"/>
    <s v="Travel_Frequently"/>
    <n v="7"/>
    <n v="4519"/>
    <x v="1"/>
    <x v="2"/>
    <n v="2"/>
    <n v="0"/>
    <n v="0"/>
    <n v="0"/>
    <s v="No"/>
    <x v="2"/>
    <x v="3"/>
    <x v="3"/>
    <n v="0"/>
  </r>
  <r>
    <n v="1920"/>
    <n v="60"/>
    <x v="1"/>
    <x v="4"/>
    <s v="Financial Analyst"/>
    <s v="Other"/>
    <s v="Single"/>
    <s v="Travel_Frequently"/>
    <n v="29"/>
    <n v="11229"/>
    <x v="0"/>
    <x v="3"/>
    <n v="3"/>
    <n v="6"/>
    <n v="2"/>
    <n v="33"/>
    <s v="No"/>
    <x v="0"/>
    <x v="1"/>
    <x v="0"/>
    <n v="0"/>
  </r>
  <r>
    <n v="1538"/>
    <n v="35"/>
    <x v="1"/>
    <x v="1"/>
    <s v="Laboratory Technician"/>
    <s v="Life Sciences"/>
    <s v="Single"/>
    <s v="Non-Travel"/>
    <n v="20"/>
    <n v="6156"/>
    <x v="0"/>
    <x v="1"/>
    <n v="4"/>
    <n v="4"/>
    <n v="3"/>
    <n v="5"/>
    <s v="No"/>
    <x v="3"/>
    <x v="0"/>
    <x v="2"/>
    <n v="0"/>
  </r>
  <r>
    <n v="1726"/>
    <n v="43"/>
    <x v="1"/>
    <x v="2"/>
    <s v="IT Manager"/>
    <s v="Medical"/>
    <s v="Divorced"/>
    <s v="Travel_Rarely"/>
    <n v="29"/>
    <n v="13602"/>
    <x v="0"/>
    <x v="0"/>
    <n v="4"/>
    <n v="12"/>
    <n v="10"/>
    <n v="19"/>
    <s v="No"/>
    <x v="1"/>
    <x v="2"/>
    <x v="0"/>
    <n v="0"/>
  </r>
  <r>
    <n v="1022"/>
    <n v="58"/>
    <x v="0"/>
    <x v="0"/>
    <s v="Sales Representative"/>
    <s v="Human Resources"/>
    <s v="Married"/>
    <s v="Travel_Rarely"/>
    <n v="28"/>
    <n v="12743"/>
    <x v="0"/>
    <x v="2"/>
    <n v="3"/>
    <n v="21"/>
    <n v="20"/>
    <n v="35"/>
    <s v="Yes"/>
    <x v="1"/>
    <x v="1"/>
    <x v="0"/>
    <n v="1"/>
  </r>
  <r>
    <n v="1441"/>
    <n v="57"/>
    <x v="1"/>
    <x v="1"/>
    <s v="Laboratory Technician"/>
    <s v="Business"/>
    <s v="Divorced"/>
    <s v="Travel_Rarely"/>
    <n v="15"/>
    <n v="9516"/>
    <x v="0"/>
    <x v="1"/>
    <n v="1"/>
    <n v="24"/>
    <n v="8"/>
    <n v="24"/>
    <s v="No"/>
    <x v="1"/>
    <x v="1"/>
    <x v="0"/>
    <n v="0"/>
  </r>
  <r>
    <n v="1716"/>
    <n v="59"/>
    <x v="0"/>
    <x v="1"/>
    <s v="Healthcare Representative"/>
    <s v="Business"/>
    <s v="Single"/>
    <s v="Travel_Rarely"/>
    <n v="28"/>
    <n v="10074"/>
    <x v="0"/>
    <x v="2"/>
    <n v="2"/>
    <n v="6"/>
    <n v="0"/>
    <n v="26"/>
    <s v="No"/>
    <x v="0"/>
    <x v="1"/>
    <x v="0"/>
    <n v="0"/>
  </r>
  <r>
    <n v="1814"/>
    <n v="29"/>
    <x v="0"/>
    <x v="0"/>
    <s v="Sales Manager"/>
    <s v="Business"/>
    <s v="Married"/>
    <s v="Travel_Rarely"/>
    <n v="24"/>
    <n v="8838"/>
    <x v="1"/>
    <x v="3"/>
    <n v="4"/>
    <n v="3"/>
    <n v="0"/>
    <n v="4"/>
    <s v="No"/>
    <x v="3"/>
    <x v="0"/>
    <x v="0"/>
    <n v="0"/>
  </r>
  <r>
    <n v="1376"/>
    <n v="60"/>
    <x v="0"/>
    <x v="0"/>
    <s v="Sales Executive"/>
    <s v="Technical Degree"/>
    <s v="Single"/>
    <s v="Non-Travel"/>
    <n v="22"/>
    <n v="10566"/>
    <x v="0"/>
    <x v="1"/>
    <n v="3"/>
    <n v="10"/>
    <n v="7"/>
    <n v="26"/>
    <s v="No"/>
    <x v="1"/>
    <x v="1"/>
    <x v="0"/>
    <n v="0"/>
  </r>
  <r>
    <n v="1509"/>
    <n v="22"/>
    <x v="0"/>
    <x v="1"/>
    <s v="Research Director"/>
    <s v="Technical Degree"/>
    <s v="Single"/>
    <s v="Travel_Rarely"/>
    <n v="14"/>
    <n v="9226"/>
    <x v="0"/>
    <x v="3"/>
    <n v="1"/>
    <n v="0"/>
    <n v="0"/>
    <n v="0"/>
    <s v="No"/>
    <x v="2"/>
    <x v="3"/>
    <x v="0"/>
    <n v="0"/>
  </r>
  <r>
    <n v="1449"/>
    <n v="58"/>
    <x v="0"/>
    <x v="0"/>
    <s v="Sales Executive"/>
    <s v="Life Sciences"/>
    <s v="Single"/>
    <s v="Non-Travel"/>
    <n v="19"/>
    <n v="9566"/>
    <x v="1"/>
    <x v="0"/>
    <n v="3"/>
    <n v="10"/>
    <n v="10"/>
    <n v="34"/>
    <s v="No"/>
    <x v="1"/>
    <x v="1"/>
    <x v="0"/>
    <n v="0"/>
  </r>
  <r>
    <n v="1025"/>
    <n v="30"/>
    <x v="1"/>
    <x v="2"/>
    <s v="Software Engineer"/>
    <s v="Life Sciences"/>
    <s v="Married"/>
    <s v="Non-Travel"/>
    <n v="28"/>
    <n v="7519"/>
    <x v="0"/>
    <x v="0"/>
    <n v="4"/>
    <n v="6"/>
    <n v="0"/>
    <n v="10"/>
    <s v="No"/>
    <x v="0"/>
    <x v="0"/>
    <x v="0"/>
    <n v="0"/>
  </r>
  <r>
    <n v="1577"/>
    <n v="35"/>
    <x v="0"/>
    <x v="2"/>
    <s v="Data Analyst"/>
    <s v="Technical Degree"/>
    <s v="Single"/>
    <s v="Travel_Rarely"/>
    <n v="14"/>
    <n v="7899"/>
    <x v="0"/>
    <x v="1"/>
    <n v="2"/>
    <n v="10"/>
    <n v="8"/>
    <n v="13"/>
    <s v="No"/>
    <x v="1"/>
    <x v="0"/>
    <x v="0"/>
    <n v="0"/>
  </r>
  <r>
    <n v="1620"/>
    <n v="44"/>
    <x v="1"/>
    <x v="3"/>
    <s v="HR Manager"/>
    <s v="Technical Degree"/>
    <s v="Single"/>
    <s v="Non-Travel"/>
    <n v="21"/>
    <n v="13551"/>
    <x v="1"/>
    <x v="1"/>
    <n v="1"/>
    <n v="11"/>
    <n v="0"/>
    <n v="18"/>
    <s v="No"/>
    <x v="1"/>
    <x v="2"/>
    <x v="0"/>
    <n v="0"/>
  </r>
  <r>
    <n v="1970"/>
    <n v="58"/>
    <x v="0"/>
    <x v="2"/>
    <s v="Software Engineer"/>
    <s v="Medical"/>
    <s v="Married"/>
    <s v="Non-Travel"/>
    <n v="27"/>
    <n v="10781"/>
    <x v="0"/>
    <x v="4"/>
    <n v="4"/>
    <n v="1"/>
    <n v="0"/>
    <n v="30"/>
    <s v="No"/>
    <x v="2"/>
    <x v="1"/>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A4126D-74A9-4FCA-B472-B51976D0528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s">
  <location ref="A3:C9" firstHeaderRow="0" firstDataRow="1" firstDataCol="1"/>
  <pivotFields count="21">
    <pivotField showAll="0"/>
    <pivotField showAll="0"/>
    <pivotField showAll="0">
      <items count="3">
        <item x="0"/>
        <item x="1"/>
        <item t="default"/>
      </items>
    </pivotField>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6">
    <i>
      <x/>
    </i>
    <i>
      <x v="1"/>
    </i>
    <i>
      <x v="2"/>
    </i>
    <i>
      <x v="3"/>
    </i>
    <i>
      <x v="4"/>
    </i>
    <i t="grand">
      <x/>
    </i>
  </rowItems>
  <colFields count="1">
    <field x="-2"/>
  </colFields>
  <colItems count="2">
    <i>
      <x/>
    </i>
    <i i="1">
      <x v="1"/>
    </i>
  </colItems>
  <dataFields count="2">
    <dataField name="Count of AttritionFlag" fld="20" subtotal="count" baseField="3" baseItem="0"/>
    <dataField name="Average Percentage of AttritionFlag" fld="20"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2129C6-06CF-4335-B6D3-E7F458C6CB87}"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Income">
  <location ref="E11:G16" firstHeaderRow="0" firstDataRow="1"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dataField="1" showAll="0"/>
  </pivotFields>
  <rowFields count="1">
    <field x="19"/>
  </rowFields>
  <rowItems count="5">
    <i>
      <x/>
    </i>
    <i>
      <x v="1"/>
    </i>
    <i>
      <x v="2"/>
    </i>
    <i>
      <x v="3"/>
    </i>
    <i t="grand">
      <x/>
    </i>
  </rowItems>
  <colFields count="1">
    <field x="-2"/>
  </colFields>
  <colItems count="2">
    <i>
      <x/>
    </i>
    <i i="1">
      <x v="1"/>
    </i>
  </colItems>
  <dataFields count="2">
    <dataField name="Count of AttritionFlag" fld="20" subtotal="count" baseField="3" baseItem="0"/>
    <dataField name="Average Percentage of AttritionFlag" fld="20"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D77C99-8FA9-4381-B2C4-B940217043D3}"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time">
  <location ref="A11:B14" firstHeaderRow="1" firstDataRow="1"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Average Percentage of AttritionFlag" fld="20" subtotal="average" baseField="3" baseItem="0" numFmtId="165"/>
  </dataField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941E0A-B461-43E3-A5C7-856490C1E047}" name="TenureBand"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enureBand">
  <location ref="E3:F8" firstHeaderRow="1" firstDataRow="1"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s>
  <rowFields count="1">
    <field x="17"/>
  </rowFields>
  <rowItems count="5">
    <i>
      <x/>
    </i>
    <i>
      <x v="1"/>
    </i>
    <i>
      <x v="2"/>
    </i>
    <i>
      <x v="3"/>
    </i>
    <i t="grand">
      <x/>
    </i>
  </rowItems>
  <colItems count="1">
    <i/>
  </colItems>
  <dataFields count="1">
    <dataField name="Average Percentage of AttritionFlag" fld="20" subtotal="average" baseField="3" baseItem="0" numFmtId="165"/>
  </dataFields>
  <chartFormats count="2">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DCF1B-9DB9-4C0A-A560-52EE1CBA0445}" name="PivotTable7" cacheId="1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nureBand">
  <location ref="A18:D24" firstHeaderRow="1" firstDataRow="2"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dataField="1" showAll="0"/>
  </pivotFields>
  <rowFields count="1">
    <field x="17"/>
  </rowFields>
  <rowItems count="5">
    <i>
      <x/>
    </i>
    <i>
      <x v="1"/>
    </i>
    <i>
      <x v="2"/>
    </i>
    <i>
      <x v="3"/>
    </i>
    <i t="grand">
      <x/>
    </i>
  </rowItems>
  <colFields count="1">
    <field x="10"/>
  </colFields>
  <colItems count="3">
    <i>
      <x/>
    </i>
    <i>
      <x v="1"/>
    </i>
    <i t="grand">
      <x/>
    </i>
  </colItems>
  <dataFields count="1">
    <dataField name="Average Percentage of AttritionFlag" fld="20" subtotal="average" baseField="3" baseItem="0" numFmtId="165"/>
  </dataFields>
  <chartFormats count="2">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8DD96-F620-4823-A67C-51CF499FB485}"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Satisfaction">
  <location ref="I3:J8" firstHeaderRow="1" firstDataRow="1"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axis="axisRow" showAll="0">
      <items count="6">
        <item x="1"/>
        <item x="3"/>
        <item x="0"/>
        <item x="2"/>
        <item h="1" x="4"/>
        <item t="default"/>
      </items>
    </pivotField>
    <pivotField showAll="0"/>
    <pivotField showAll="0"/>
    <pivotField showAll="0"/>
    <pivotField showAll="0"/>
    <pivotField showAll="0"/>
    <pivotField showAll="0"/>
    <pivotField showAll="0"/>
    <pivotField showAll="0"/>
    <pivotField dataField="1" showAll="0"/>
  </pivotFields>
  <rowFields count="1">
    <field x="11"/>
  </rowFields>
  <rowItems count="5">
    <i>
      <x/>
    </i>
    <i>
      <x v="1"/>
    </i>
    <i>
      <x v="2"/>
    </i>
    <i>
      <x v="3"/>
    </i>
    <i t="grand">
      <x/>
    </i>
  </rowItems>
  <colItems count="1">
    <i/>
  </colItems>
  <dataFields count="1">
    <dataField name="Average Percentage of AttritionFlag" fld="20" subtotal="average" baseField="3" baseItem="0" numFmtId="165"/>
  </dataFields>
  <chartFormats count="3">
    <chartFormat chart="0"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CD8928-911D-4C29-BB07-E70C0F6A2FBB}"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Ranges">
  <location ref="I11:K16" firstHeaderRow="0" firstDataRow="1" firstDataCol="1"/>
  <pivotFields count="21">
    <pivotField showAll="0"/>
    <pivotField showAll="0"/>
    <pivotField showAll="0">
      <items count="3">
        <item x="0"/>
        <item x="1"/>
        <item t="default"/>
      </items>
    </pivotField>
    <pivotField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dataField="1" showAll="0"/>
  </pivotFields>
  <rowFields count="1">
    <field x="18"/>
  </rowFields>
  <rowItems count="5">
    <i>
      <x/>
    </i>
    <i>
      <x v="1"/>
    </i>
    <i>
      <x v="2"/>
    </i>
    <i>
      <x v="3"/>
    </i>
    <i t="grand">
      <x/>
    </i>
  </rowItems>
  <colFields count="1">
    <field x="-2"/>
  </colFields>
  <colItems count="2">
    <i>
      <x/>
    </i>
    <i i="1">
      <x v="1"/>
    </i>
  </colItems>
  <dataFields count="2">
    <dataField name="Count of AttritionFlag" fld="20" subtotal="count" baseField="3" baseItem="0"/>
    <dataField name="Average Percentage of AttritionFlag" fld="20" subtotal="average" baseField="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5269E94-218A-4CF6-8A60-769C611FCC2A}" sourceName="Gender">
  <pivotTables>
    <pivotTable tabId="3" name="PivotTable1"/>
    <pivotTable tabId="3" name="PivotTable3"/>
    <pivotTable tabId="3" name="PivotTable4"/>
    <pivotTable tabId="3" name="PivotTable5"/>
    <pivotTable tabId="3" name="PivotTable6"/>
    <pivotTable tabId="3" name="PivotTable7"/>
    <pivotTable tabId="3" name="TenureBand"/>
  </pivotTables>
  <data>
    <tabular pivotCacheId="139443375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B46F84-EFA7-413B-8935-E06721FB4EBA}" sourceName="Department">
  <pivotTables>
    <pivotTable tabId="3" name="PivotTable1"/>
    <pivotTable tabId="3" name="PivotTable3"/>
    <pivotTable tabId="3" name="PivotTable4"/>
    <pivotTable tabId="3" name="PivotTable5"/>
    <pivotTable tabId="3" name="PivotTable6"/>
    <pivotTable tabId="3" name="PivotTable7"/>
    <pivotTable tabId="3" name="TenureBand"/>
  </pivotTables>
  <data>
    <tabular pivotCacheId="1394433751">
      <items count="5">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157393A-C419-45DF-A5B5-8082BFC83C88}" cache="Slicer_Gender" caption="Gender" rowHeight="241300"/>
  <slicer name="Department" xr10:uid="{6D06AD40-4D16-4586-94E7-3D402B318400}"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11C4-EDEE-42FA-ABF9-B6C3870AA352}">
  <dimension ref="A1:V40"/>
  <sheetViews>
    <sheetView showGridLines="0" tabSelected="1" workbookViewId="0"/>
  </sheetViews>
  <sheetFormatPr defaultRowHeight="15" x14ac:dyDescent="0.25"/>
  <cols>
    <col min="1" max="16384" width="9.140625" style="11"/>
  </cols>
  <sheetData>
    <row r="1" spans="1:17" ht="23.25" x14ac:dyDescent="0.35">
      <c r="A1" s="18"/>
      <c r="B1" s="12"/>
      <c r="C1" s="12"/>
      <c r="D1" s="12"/>
      <c r="E1" s="12"/>
      <c r="F1" s="12"/>
      <c r="G1" s="12"/>
      <c r="H1" s="19" t="s">
        <v>179</v>
      </c>
      <c r="I1" s="12"/>
      <c r="J1" s="12"/>
      <c r="K1" s="12"/>
      <c r="L1" s="12"/>
      <c r="M1" s="12"/>
      <c r="N1" s="12"/>
      <c r="O1" s="12"/>
      <c r="P1" s="12"/>
      <c r="Q1" s="12"/>
    </row>
    <row r="3" spans="1:17" ht="36" x14ac:dyDescent="0.55000000000000004">
      <c r="B3" s="13">
        <f>COUNTA('Clean Data'!A2:A1001)</f>
        <v>1000</v>
      </c>
      <c r="C3" s="14"/>
      <c r="D3" s="14"/>
      <c r="F3" s="15">
        <f>AVERAGE('Clean Data'!U2:U1001)</f>
        <v>0.22700000000000001</v>
      </c>
      <c r="G3" s="14"/>
      <c r="H3" s="14"/>
      <c r="J3" s="16">
        <f>AVERAGE('Clean Data'!N2:N1001)</f>
        <v>6.9119999999999999</v>
      </c>
      <c r="K3" s="14"/>
      <c r="L3" s="14"/>
      <c r="N3" s="15">
        <f>AVERAGEIF('Clean Data'!R2:R1001, "0-1 yrs", 'Clean Data'!U2:U1001)</f>
        <v>0.3562091503267974</v>
      </c>
      <c r="O3" s="14"/>
      <c r="P3" s="14"/>
    </row>
    <row r="4" spans="1:17" x14ac:dyDescent="0.25">
      <c r="B4" s="17" t="s">
        <v>175</v>
      </c>
      <c r="C4" s="17"/>
      <c r="D4" s="17"/>
      <c r="F4" s="17" t="s">
        <v>176</v>
      </c>
      <c r="G4" s="17"/>
      <c r="H4" s="17"/>
      <c r="J4" s="17" t="s">
        <v>177</v>
      </c>
      <c r="K4" s="17"/>
      <c r="L4" s="17"/>
      <c r="N4" s="17" t="s">
        <v>178</v>
      </c>
      <c r="O4" s="17"/>
      <c r="P4" s="17"/>
    </row>
    <row r="35" spans="1:22" x14ac:dyDescent="0.25">
      <c r="A35" s="21"/>
      <c r="B35" s="21"/>
      <c r="C35" s="21"/>
      <c r="D35" s="21"/>
      <c r="E35" s="21"/>
      <c r="F35" s="21"/>
      <c r="G35" s="21"/>
      <c r="H35" s="21"/>
      <c r="I35" s="21"/>
      <c r="J35" s="21"/>
      <c r="K35" s="21"/>
      <c r="L35" s="21"/>
      <c r="M35" s="21"/>
      <c r="N35" s="21"/>
      <c r="O35" s="21"/>
      <c r="P35" s="21"/>
      <c r="Q35" s="21"/>
      <c r="R35" s="21"/>
      <c r="S35" s="21"/>
      <c r="T35" s="21"/>
      <c r="U35" s="21"/>
      <c r="V35" s="21"/>
    </row>
    <row r="36" spans="1:22" x14ac:dyDescent="0.25">
      <c r="A36" s="27" t="s">
        <v>180</v>
      </c>
      <c r="B36" s="20"/>
      <c r="C36" s="20"/>
      <c r="D36" s="20"/>
      <c r="E36" s="20"/>
      <c r="F36" s="20"/>
      <c r="G36" s="20"/>
      <c r="H36" s="20"/>
      <c r="I36" s="20"/>
      <c r="J36" s="20"/>
      <c r="K36" s="20"/>
      <c r="L36" s="20"/>
      <c r="M36" s="20"/>
      <c r="N36" s="20"/>
      <c r="O36" s="20"/>
      <c r="P36" s="20"/>
      <c r="Q36" s="20"/>
      <c r="R36" s="20"/>
      <c r="S36" s="20"/>
      <c r="T36" s="20"/>
      <c r="U36" s="26"/>
      <c r="V36" s="29"/>
    </row>
    <row r="37" spans="1:22" x14ac:dyDescent="0.25">
      <c r="A37" s="22" t="s">
        <v>181</v>
      </c>
      <c r="V37" s="23"/>
    </row>
    <row r="38" spans="1:22" x14ac:dyDescent="0.25">
      <c r="A38" s="22" t="s">
        <v>182</v>
      </c>
      <c r="V38" s="23"/>
    </row>
    <row r="39" spans="1:22" x14ac:dyDescent="0.25">
      <c r="A39" s="22" t="s">
        <v>183</v>
      </c>
      <c r="V39" s="23"/>
    </row>
    <row r="40" spans="1:22" x14ac:dyDescent="0.25">
      <c r="A40" s="24" t="s">
        <v>184</v>
      </c>
      <c r="B40" s="21"/>
      <c r="C40" s="21"/>
      <c r="D40" s="21"/>
      <c r="E40" s="21"/>
      <c r="F40" s="21"/>
      <c r="G40" s="21"/>
      <c r="H40" s="21"/>
      <c r="I40" s="21"/>
      <c r="J40" s="21"/>
      <c r="K40" s="21"/>
      <c r="L40" s="21"/>
      <c r="M40" s="21"/>
      <c r="N40" s="21"/>
      <c r="O40" s="21"/>
      <c r="P40" s="21"/>
      <c r="Q40" s="21"/>
      <c r="R40" s="21"/>
      <c r="S40" s="21"/>
      <c r="T40" s="21"/>
      <c r="U40" s="25"/>
      <c r="V40" s="2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E96D6-C2D1-4C7C-AC51-854EC651A620}">
  <dimension ref="A1:A38"/>
  <sheetViews>
    <sheetView showGridLines="0" workbookViewId="0">
      <selection activeCell="A3" sqref="A3"/>
    </sheetView>
  </sheetViews>
  <sheetFormatPr defaultRowHeight="15" x14ac:dyDescent="0.25"/>
  <cols>
    <col min="1" max="1" width="176.42578125" bestFit="1" customWidth="1"/>
    <col min="2" max="2" width="100.7109375" customWidth="1"/>
  </cols>
  <sheetData>
    <row r="1" spans="1:1" ht="18.75" x14ac:dyDescent="0.3">
      <c r="A1" s="7" t="s">
        <v>70</v>
      </c>
    </row>
    <row r="2" spans="1:1" x14ac:dyDescent="0.25">
      <c r="A2" s="6"/>
    </row>
    <row r="3" spans="1:1" x14ac:dyDescent="0.25">
      <c r="A3" s="8" t="s">
        <v>71</v>
      </c>
    </row>
    <row r="4" spans="1:1" x14ac:dyDescent="0.25">
      <c r="A4" s="8" t="s">
        <v>72</v>
      </c>
    </row>
    <row r="5" spans="1:1" x14ac:dyDescent="0.25">
      <c r="A5" s="8" t="s">
        <v>73</v>
      </c>
    </row>
    <row r="6" spans="1:1" x14ac:dyDescent="0.25">
      <c r="A6" s="8" t="s">
        <v>74</v>
      </c>
    </row>
    <row r="7" spans="1:1" x14ac:dyDescent="0.25">
      <c r="A7" s="8" t="s">
        <v>75</v>
      </c>
    </row>
    <row r="8" spans="1:1" x14ac:dyDescent="0.25">
      <c r="A8" s="8" t="s">
        <v>76</v>
      </c>
    </row>
    <row r="9" spans="1:1" x14ac:dyDescent="0.25">
      <c r="A9" s="8" t="s">
        <v>77</v>
      </c>
    </row>
    <row r="11" spans="1:1" ht="18.75" x14ac:dyDescent="0.3">
      <c r="A11" s="7" t="s">
        <v>78</v>
      </c>
    </row>
    <row r="12" spans="1:1" x14ac:dyDescent="0.25">
      <c r="A12" s="6"/>
    </row>
    <row r="13" spans="1:1" x14ac:dyDescent="0.25">
      <c r="A13" s="8" t="s">
        <v>79</v>
      </c>
    </row>
    <row r="14" spans="1:1" x14ac:dyDescent="0.25">
      <c r="A14" s="8" t="s">
        <v>80</v>
      </c>
    </row>
    <row r="16" spans="1:1" ht="18.75" x14ac:dyDescent="0.3">
      <c r="A16" s="7" t="s">
        <v>81</v>
      </c>
    </row>
    <row r="18" spans="1:1" x14ac:dyDescent="0.25">
      <c r="A18" s="8" t="s">
        <v>82</v>
      </c>
    </row>
    <row r="19" spans="1:1" x14ac:dyDescent="0.25">
      <c r="A19" s="8" t="s">
        <v>83</v>
      </c>
    </row>
    <row r="21" spans="1:1" x14ac:dyDescent="0.25">
      <c r="A21" s="9" t="s">
        <v>167</v>
      </c>
    </row>
    <row r="22" spans="1:1" x14ac:dyDescent="0.25">
      <c r="A22" s="6"/>
    </row>
    <row r="23" spans="1:1" x14ac:dyDescent="0.25">
      <c r="A23" s="8" t="s">
        <v>168</v>
      </c>
    </row>
    <row r="24" spans="1:1" x14ac:dyDescent="0.25">
      <c r="A24" s="8" t="s">
        <v>169</v>
      </c>
    </row>
    <row r="25" spans="1:1" x14ac:dyDescent="0.25">
      <c r="A25" s="8" t="s">
        <v>170</v>
      </c>
    </row>
    <row r="26" spans="1:1" x14ac:dyDescent="0.25">
      <c r="A26" s="8" t="s">
        <v>171</v>
      </c>
    </row>
    <row r="27" spans="1:1" x14ac:dyDescent="0.25">
      <c r="A27" s="8" t="s">
        <v>172</v>
      </c>
    </row>
    <row r="28" spans="1:1" x14ac:dyDescent="0.25">
      <c r="A28" s="8" t="s">
        <v>173</v>
      </c>
    </row>
    <row r="29" spans="1:1" x14ac:dyDescent="0.25">
      <c r="A29" s="10" t="s">
        <v>174</v>
      </c>
    </row>
    <row r="31" spans="1:1" x14ac:dyDescent="0.25">
      <c r="A31" s="9" t="s">
        <v>185</v>
      </c>
    </row>
    <row r="32" spans="1:1" x14ac:dyDescent="0.25">
      <c r="A32" s="6"/>
    </row>
    <row r="33" spans="1:1" x14ac:dyDescent="0.25">
      <c r="A33" s="8" t="s">
        <v>186</v>
      </c>
    </row>
    <row r="34" spans="1:1" x14ac:dyDescent="0.25">
      <c r="A34" s="8" t="s">
        <v>187</v>
      </c>
    </row>
    <row r="35" spans="1:1" x14ac:dyDescent="0.25">
      <c r="A35" s="8" t="s">
        <v>188</v>
      </c>
    </row>
    <row r="36" spans="1:1" x14ac:dyDescent="0.25">
      <c r="A36" s="8" t="s">
        <v>189</v>
      </c>
    </row>
    <row r="37" spans="1:1" x14ac:dyDescent="0.25">
      <c r="A37" s="8" t="s">
        <v>190</v>
      </c>
    </row>
    <row r="38" spans="1:1" x14ac:dyDescent="0.25">
      <c r="A38" s="8"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5D367-692D-42B3-A3BB-596D07AEEDF5}">
  <dimension ref="A3:K24"/>
  <sheetViews>
    <sheetView workbookViewId="0">
      <selection activeCell="B3" sqref="B3"/>
    </sheetView>
  </sheetViews>
  <sheetFormatPr defaultRowHeight="15" x14ac:dyDescent="0.25"/>
  <cols>
    <col min="1" max="1" width="33.28515625" bestFit="1" customWidth="1"/>
    <col min="2" max="2" width="16.28515625" bestFit="1" customWidth="1"/>
    <col min="3" max="3" width="6.140625" bestFit="1" customWidth="1"/>
    <col min="4" max="4" width="11.28515625" bestFit="1" customWidth="1"/>
    <col min="5" max="5" width="14" bestFit="1" customWidth="1"/>
    <col min="6" max="7" width="33.28515625" bestFit="1" customWidth="1"/>
    <col min="8" max="8" width="20.28515625" bestFit="1" customWidth="1"/>
    <col min="9" max="9" width="13.42578125" bestFit="1" customWidth="1"/>
    <col min="10" max="10" width="20.42578125" bestFit="1" customWidth="1"/>
    <col min="11" max="11" width="33.28515625" bestFit="1" customWidth="1"/>
  </cols>
  <sheetData>
    <row r="3" spans="1:11" x14ac:dyDescent="0.25">
      <c r="A3" s="3" t="s">
        <v>69</v>
      </c>
      <c r="B3" t="s">
        <v>62</v>
      </c>
      <c r="C3" t="s">
        <v>63</v>
      </c>
      <c r="E3" s="3" t="s">
        <v>57</v>
      </c>
      <c r="F3" t="s">
        <v>63</v>
      </c>
      <c r="I3" s="3" t="s">
        <v>154</v>
      </c>
      <c r="J3" t="s">
        <v>63</v>
      </c>
    </row>
    <row r="4" spans="1:11" x14ac:dyDescent="0.25">
      <c r="A4" s="4" t="s">
        <v>47</v>
      </c>
      <c r="B4" s="30">
        <v>123</v>
      </c>
      <c r="C4" s="5">
        <v>0.23577235772357724</v>
      </c>
      <c r="E4" s="4" t="s">
        <v>64</v>
      </c>
      <c r="F4" s="5">
        <v>0.3562091503267974</v>
      </c>
      <c r="I4" s="4">
        <v>1</v>
      </c>
      <c r="J4" s="5">
        <v>0.30859375</v>
      </c>
    </row>
    <row r="5" spans="1:11" x14ac:dyDescent="0.25">
      <c r="A5" s="4" t="s">
        <v>38</v>
      </c>
      <c r="B5" s="30">
        <v>85</v>
      </c>
      <c r="C5" s="5">
        <v>0.23529411764705882</v>
      </c>
      <c r="E5" s="4" t="s">
        <v>66</v>
      </c>
      <c r="F5" s="5">
        <v>0.20744680851063829</v>
      </c>
      <c r="I5" s="4">
        <v>2</v>
      </c>
      <c r="J5" s="5">
        <v>0.20081967213114754</v>
      </c>
    </row>
    <row r="6" spans="1:11" x14ac:dyDescent="0.25">
      <c r="A6" s="4" t="s">
        <v>27</v>
      </c>
      <c r="B6" s="30">
        <v>220</v>
      </c>
      <c r="C6" s="5">
        <v>0.21363636363636362</v>
      </c>
      <c r="E6" s="4" t="s">
        <v>67</v>
      </c>
      <c r="F6" s="5">
        <v>0.15639810426540285</v>
      </c>
      <c r="I6" s="4">
        <v>3</v>
      </c>
      <c r="J6" s="5">
        <v>0.19917012448132779</v>
      </c>
    </row>
    <row r="7" spans="1:11" x14ac:dyDescent="0.25">
      <c r="A7" s="4" t="s">
        <v>24</v>
      </c>
      <c r="B7" s="30">
        <v>278</v>
      </c>
      <c r="C7" s="5">
        <v>0.23741007194244604</v>
      </c>
      <c r="E7" s="4" t="s">
        <v>65</v>
      </c>
      <c r="F7" s="5">
        <v>0.15593220338983052</v>
      </c>
      <c r="I7" s="4">
        <v>4</v>
      </c>
      <c r="J7" s="5">
        <v>0.19678714859437751</v>
      </c>
    </row>
    <row r="8" spans="1:11" x14ac:dyDescent="0.25">
      <c r="A8" s="4" t="s">
        <v>17</v>
      </c>
      <c r="B8" s="30">
        <v>294</v>
      </c>
      <c r="C8" s="5">
        <v>0.22108843537414966</v>
      </c>
      <c r="E8" s="4" t="s">
        <v>61</v>
      </c>
      <c r="F8" s="5">
        <v>0.22700000000000001</v>
      </c>
      <c r="I8" s="4" t="s">
        <v>61</v>
      </c>
      <c r="J8" s="5">
        <v>0.22727272727272727</v>
      </c>
    </row>
    <row r="9" spans="1:11" x14ac:dyDescent="0.25">
      <c r="A9" s="4" t="s">
        <v>61</v>
      </c>
      <c r="B9" s="30">
        <v>1000</v>
      </c>
      <c r="C9" s="5">
        <v>0.22700000000000001</v>
      </c>
    </row>
    <row r="11" spans="1:11" x14ac:dyDescent="0.25">
      <c r="A11" s="3" t="s">
        <v>164</v>
      </c>
      <c r="B11" t="s">
        <v>63</v>
      </c>
      <c r="E11" s="3" t="s">
        <v>163</v>
      </c>
      <c r="F11" t="s">
        <v>62</v>
      </c>
      <c r="G11" t="s">
        <v>63</v>
      </c>
      <c r="I11" s="3" t="s">
        <v>165</v>
      </c>
      <c r="J11" t="s">
        <v>62</v>
      </c>
      <c r="K11" t="s">
        <v>63</v>
      </c>
    </row>
    <row r="12" spans="1:11" x14ac:dyDescent="0.25">
      <c r="A12" s="4" t="s">
        <v>22</v>
      </c>
      <c r="B12" s="5">
        <v>0.18784530386740331</v>
      </c>
      <c r="E12" s="4" t="s">
        <v>155</v>
      </c>
      <c r="F12" s="30">
        <v>11</v>
      </c>
      <c r="G12" s="5">
        <v>0.54545454545454541</v>
      </c>
      <c r="I12" s="4" t="s">
        <v>159</v>
      </c>
      <c r="J12" s="30">
        <v>141</v>
      </c>
      <c r="K12" s="5">
        <v>0.3971631205673759</v>
      </c>
    </row>
    <row r="13" spans="1:11" x14ac:dyDescent="0.25">
      <c r="A13" s="4" t="s">
        <v>42</v>
      </c>
      <c r="B13" s="5">
        <v>0.32971014492753625</v>
      </c>
      <c r="E13" s="4" t="s">
        <v>156</v>
      </c>
      <c r="F13" s="30">
        <v>90</v>
      </c>
      <c r="G13" s="5">
        <v>0.26666666666666666</v>
      </c>
      <c r="I13" s="4" t="s">
        <v>160</v>
      </c>
      <c r="J13" s="30">
        <v>246</v>
      </c>
      <c r="K13" s="5">
        <v>0.21951219512195122</v>
      </c>
    </row>
    <row r="14" spans="1:11" x14ac:dyDescent="0.25">
      <c r="A14" s="4" t="s">
        <v>61</v>
      </c>
      <c r="B14" s="5">
        <v>0.22700000000000001</v>
      </c>
      <c r="E14" s="4" t="s">
        <v>157</v>
      </c>
      <c r="F14" s="30">
        <v>172</v>
      </c>
      <c r="G14" s="5">
        <v>0.29651162790697677</v>
      </c>
      <c r="I14" s="4" t="s">
        <v>161</v>
      </c>
      <c r="J14" s="30">
        <v>244</v>
      </c>
      <c r="K14" s="5">
        <v>0.20901639344262296</v>
      </c>
    </row>
    <row r="15" spans="1:11" x14ac:dyDescent="0.25">
      <c r="E15" s="4" t="s">
        <v>158</v>
      </c>
      <c r="F15" s="30">
        <v>727</v>
      </c>
      <c r="G15" s="5">
        <v>0.20082530949105915</v>
      </c>
      <c r="I15" s="4" t="s">
        <v>162</v>
      </c>
      <c r="J15" s="30">
        <v>369</v>
      </c>
      <c r="K15" s="5">
        <v>0.17886178861788618</v>
      </c>
    </row>
    <row r="16" spans="1:11" x14ac:dyDescent="0.25">
      <c r="E16" s="4" t="s">
        <v>61</v>
      </c>
      <c r="F16" s="30">
        <v>1000</v>
      </c>
      <c r="G16" s="5">
        <v>0.22700000000000001</v>
      </c>
      <c r="I16" s="4" t="s">
        <v>61</v>
      </c>
      <c r="J16" s="30">
        <v>1000</v>
      </c>
      <c r="K16" s="5">
        <v>0.22700000000000001</v>
      </c>
    </row>
    <row r="18" spans="1:4" x14ac:dyDescent="0.25">
      <c r="A18" s="3" t="s">
        <v>63</v>
      </c>
      <c r="B18" s="3" t="s">
        <v>166</v>
      </c>
    </row>
    <row r="19" spans="1:4" x14ac:dyDescent="0.25">
      <c r="A19" s="3" t="s">
        <v>57</v>
      </c>
      <c r="B19" t="s">
        <v>22</v>
      </c>
      <c r="C19" t="s">
        <v>42</v>
      </c>
      <c r="D19" t="s">
        <v>61</v>
      </c>
    </row>
    <row r="20" spans="1:4" x14ac:dyDescent="0.25">
      <c r="A20" s="4" t="s">
        <v>64</v>
      </c>
      <c r="B20" s="5">
        <v>0.3169642857142857</v>
      </c>
      <c r="C20" s="5">
        <v>0.46341463414634149</v>
      </c>
      <c r="D20" s="5">
        <v>0.3562091503267974</v>
      </c>
    </row>
    <row r="21" spans="1:4" x14ac:dyDescent="0.25">
      <c r="A21" s="4" t="s">
        <v>66</v>
      </c>
      <c r="B21" s="5">
        <v>0.18320610687022901</v>
      </c>
      <c r="C21" s="5">
        <v>0.26315789473684209</v>
      </c>
      <c r="D21" s="5">
        <v>0.20744680851063829</v>
      </c>
    </row>
    <row r="22" spans="1:4" x14ac:dyDescent="0.25">
      <c r="A22" s="4" t="s">
        <v>67</v>
      </c>
      <c r="B22" s="5">
        <v>0.1111111111111111</v>
      </c>
      <c r="C22" s="5">
        <v>0.27586206896551724</v>
      </c>
      <c r="D22" s="5">
        <v>0.15639810426540285</v>
      </c>
    </row>
    <row r="23" spans="1:4" x14ac:dyDescent="0.25">
      <c r="A23" s="4" t="s">
        <v>65</v>
      </c>
      <c r="B23" s="5">
        <v>0.1111111111111111</v>
      </c>
      <c r="C23" s="5">
        <v>0.27848101265822783</v>
      </c>
      <c r="D23" s="5">
        <v>0.15593220338983052</v>
      </c>
    </row>
    <row r="24" spans="1:4" x14ac:dyDescent="0.25">
      <c r="A24" s="4" t="s">
        <v>61</v>
      </c>
      <c r="B24" s="5">
        <v>0.18784530386740331</v>
      </c>
      <c r="C24" s="5">
        <v>0.32971014492753625</v>
      </c>
      <c r="D24" s="5">
        <v>0.22700000000000001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3"/>
  <sheetViews>
    <sheetView topLeftCell="H1" zoomScale="120" zoomScaleNormal="120" workbookViewId="0">
      <pane ySplit="1" topLeftCell="A2" activePane="bottomLeft" state="frozen"/>
      <selection pane="bottomLeft" activeCell="H3" sqref="H3"/>
    </sheetView>
  </sheetViews>
  <sheetFormatPr defaultRowHeight="15" x14ac:dyDescent="0.25"/>
  <cols>
    <col min="1" max="1" width="17.7109375" bestFit="1" customWidth="1"/>
    <col min="2" max="2" width="9.42578125" bestFit="1" customWidth="1"/>
    <col min="3" max="3" width="13.28515625" bestFit="1" customWidth="1"/>
    <col min="4" max="4" width="23.85546875" bestFit="1" customWidth="1"/>
    <col min="5" max="5" width="25" bestFit="1" customWidth="1"/>
    <col min="6" max="6" width="20.85546875" bestFit="1" customWidth="1"/>
    <col min="7" max="7" width="19" bestFit="1" customWidth="1"/>
    <col min="8" max="8" width="21.85546875" bestFit="1" customWidth="1"/>
    <col min="9" max="9" width="25.85546875" bestFit="1" customWidth="1"/>
    <col min="10" max="10" width="18.85546875" style="2" bestFit="1" customWidth="1"/>
    <col min="11" max="11" width="15.7109375" bestFit="1" customWidth="1"/>
    <col min="12" max="12" width="21.28515625" bestFit="1" customWidth="1"/>
    <col min="13" max="13" width="23" bestFit="1" customWidth="1"/>
    <col min="14" max="14" width="23.42578125" bestFit="1" customWidth="1"/>
    <col min="15" max="15" width="26.28515625" bestFit="1" customWidth="1"/>
    <col min="16" max="16" width="25.140625" bestFit="1" customWidth="1"/>
    <col min="17" max="17" width="15.140625" bestFit="1" customWidth="1"/>
    <col min="18" max="18" width="18.42578125" bestFit="1" customWidth="1"/>
    <col min="19" max="19" width="14.42578125" bestFit="1" customWidth="1"/>
    <col min="20" max="20" width="18.28515625" bestFit="1" customWidth="1"/>
    <col min="21" max="21" width="18" bestFit="1" customWidth="1"/>
  </cols>
  <sheetData>
    <row r="1" spans="1:21" x14ac:dyDescent="0.25">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84</v>
      </c>
      <c r="R1" s="1" t="s">
        <v>57</v>
      </c>
      <c r="S1" s="1" t="s">
        <v>58</v>
      </c>
      <c r="T1" s="1" t="s">
        <v>59</v>
      </c>
      <c r="U1" s="1" t="s">
        <v>60</v>
      </c>
    </row>
    <row r="2" spans="1:21" x14ac:dyDescent="0.25">
      <c r="A2">
        <v>1456</v>
      </c>
      <c r="B2">
        <v>26</v>
      </c>
      <c r="C2" t="s">
        <v>16</v>
      </c>
      <c r="D2" t="s">
        <v>17</v>
      </c>
      <c r="E2" t="s">
        <v>18</v>
      </c>
      <c r="F2" t="s">
        <v>19</v>
      </c>
      <c r="G2" t="s">
        <v>20</v>
      </c>
      <c r="H2" t="s">
        <v>21</v>
      </c>
      <c r="I2">
        <v>4</v>
      </c>
      <c r="J2" s="2">
        <v>8336</v>
      </c>
      <c r="K2" t="s">
        <v>22</v>
      </c>
      <c r="L2">
        <v>3</v>
      </c>
      <c r="M2">
        <v>2</v>
      </c>
      <c r="N2">
        <v>6</v>
      </c>
      <c r="O2">
        <v>5</v>
      </c>
      <c r="P2">
        <v>6</v>
      </c>
      <c r="Q2" t="s">
        <v>22</v>
      </c>
      <c r="R2" t="str" cm="1">
        <f t="array" ref="R2">_xlfn.IFS(N2&lt;=1,"0-1 yrs",N2&lt;=4,"2-4 yrs",N2&lt;=9,"5-9 yrs",N2&gt;9,"10+ yrs")</f>
        <v>5-9 yrs</v>
      </c>
      <c r="S2" t="str" cm="1">
        <f t="array" ref="S2">_xlfn.IFS(B2&lt;=25,"20-25",B2&lt;=35,"26-35",B2&lt;=45,"36-45",B2&gt;45,"46+")</f>
        <v>26-35</v>
      </c>
      <c r="T2" t="str" cm="1">
        <f t="array" ref="T2">_xlfn.IFS(J2&lt;3500,"&lt;3.5K",J2&lt;5500,"3.5-5.5K",J2&lt;7500,"5.5-7.5K",J2&gt;=7500,"7.5K+")</f>
        <v>7.5K+</v>
      </c>
      <c r="U2">
        <f>IF(Q2="Yes",1,0)</f>
        <v>0</v>
      </c>
    </row>
    <row r="3" spans="1:21" x14ac:dyDescent="0.25">
      <c r="A3">
        <v>1775</v>
      </c>
      <c r="B3">
        <v>57</v>
      </c>
      <c r="C3" t="s">
        <v>23</v>
      </c>
      <c r="D3" t="s">
        <v>24</v>
      </c>
      <c r="E3" t="s">
        <v>25</v>
      </c>
      <c r="F3" t="s">
        <v>26</v>
      </c>
      <c r="G3" t="s">
        <v>20</v>
      </c>
      <c r="H3" t="s">
        <v>21</v>
      </c>
      <c r="I3">
        <v>21</v>
      </c>
      <c r="J3" s="2">
        <v>14257</v>
      </c>
      <c r="K3" t="s">
        <v>22</v>
      </c>
      <c r="L3">
        <v>3</v>
      </c>
      <c r="M3">
        <v>4</v>
      </c>
      <c r="N3">
        <v>23</v>
      </c>
      <c r="O3">
        <v>1</v>
      </c>
      <c r="P3">
        <v>31</v>
      </c>
      <c r="Q3" t="s">
        <v>22</v>
      </c>
      <c r="R3" t="str" cm="1">
        <f t="array" ref="R3">_xlfn.IFS(N3&lt;=1,"0-1 yrs",N3&lt;=4,"2-4 yrs",N3&lt;=9,"5-9 yrs",N3&gt;9,"10+ yrs")</f>
        <v>10+ yrs</v>
      </c>
      <c r="S3" t="str" cm="1">
        <f t="array" ref="S3">_xlfn.IFS(B3&lt;=25,"20-25",B3&lt;=35,"26-35",B3&lt;=45,"36-45",B3&gt;45,"46+")</f>
        <v>46+</v>
      </c>
      <c r="T3" t="str" cm="1">
        <f t="array" ref="T3">_xlfn.IFS(J3&lt;3500,"&lt;3.5K",J3&lt;5500,"3.5-5.5K",J3&lt;7500,"5.5-7.5K",J3&gt;=7500,"7.5K+")</f>
        <v>7.5K+</v>
      </c>
      <c r="U3">
        <f t="shared" ref="U3:U66" si="0">IF(Q3="Yes",1,0)</f>
        <v>0</v>
      </c>
    </row>
    <row r="4" spans="1:21" x14ac:dyDescent="0.25">
      <c r="A4">
        <v>1071</v>
      </c>
      <c r="B4">
        <v>55</v>
      </c>
      <c r="C4" t="s">
        <v>16</v>
      </c>
      <c r="D4" t="s">
        <v>27</v>
      </c>
      <c r="E4" t="s">
        <v>28</v>
      </c>
      <c r="F4" t="s">
        <v>29</v>
      </c>
      <c r="G4" t="s">
        <v>20</v>
      </c>
      <c r="H4" t="s">
        <v>30</v>
      </c>
      <c r="I4">
        <v>24</v>
      </c>
      <c r="J4" s="2">
        <v>15949</v>
      </c>
      <c r="K4" t="s">
        <v>22</v>
      </c>
      <c r="L4">
        <v>1</v>
      </c>
      <c r="M4">
        <v>4</v>
      </c>
      <c r="N4">
        <v>0</v>
      </c>
      <c r="O4">
        <v>0</v>
      </c>
      <c r="P4">
        <v>25</v>
      </c>
      <c r="Q4" t="s">
        <v>22</v>
      </c>
      <c r="R4" t="str" cm="1">
        <f t="array" ref="R4">_xlfn.IFS(N4&lt;=1,"0-1 yrs",N4&lt;=4,"2-4 yrs",N4&lt;=9,"5-9 yrs",N4&gt;9,"10+ yrs")</f>
        <v>0-1 yrs</v>
      </c>
      <c r="S4" t="str" cm="1">
        <f t="array" ref="S4">_xlfn.IFS(B4&lt;=25,"20-25",B4&lt;=35,"26-35",B4&lt;=45,"36-45",B4&gt;45,"46+")</f>
        <v>46+</v>
      </c>
      <c r="T4" t="str" cm="1">
        <f t="array" ref="T4">_xlfn.IFS(J4&lt;3500,"&lt;3.5K",J4&lt;5500,"3.5-5.5K",J4&lt;7500,"5.5-7.5K",J4&gt;=7500,"7.5K+")</f>
        <v>7.5K+</v>
      </c>
      <c r="U4">
        <f t="shared" si="0"/>
        <v>0</v>
      </c>
    </row>
    <row r="5" spans="1:21" x14ac:dyDescent="0.25">
      <c r="A5">
        <v>1993</v>
      </c>
      <c r="B5">
        <v>51</v>
      </c>
      <c r="C5" t="s">
        <v>16</v>
      </c>
      <c r="D5" t="s">
        <v>27</v>
      </c>
      <c r="E5" t="s">
        <v>31</v>
      </c>
      <c r="F5" t="s">
        <v>32</v>
      </c>
      <c r="G5" t="s">
        <v>33</v>
      </c>
      <c r="H5" t="s">
        <v>34</v>
      </c>
      <c r="I5">
        <v>4</v>
      </c>
      <c r="J5" s="2">
        <v>11566</v>
      </c>
      <c r="K5" t="s">
        <v>22</v>
      </c>
      <c r="L5">
        <v>3</v>
      </c>
      <c r="M5">
        <v>2</v>
      </c>
      <c r="N5">
        <v>9</v>
      </c>
      <c r="O5">
        <v>3</v>
      </c>
      <c r="P5">
        <v>28</v>
      </c>
      <c r="Q5" t="s">
        <v>22</v>
      </c>
      <c r="R5" t="str" cm="1">
        <f t="array" ref="R5">_xlfn.IFS(N5&lt;=1,"0-1 yrs",N5&lt;=4,"2-4 yrs",N5&lt;=9,"5-9 yrs",N5&gt;9,"10+ yrs")</f>
        <v>5-9 yrs</v>
      </c>
      <c r="S5" t="str" cm="1">
        <f t="array" ref="S5">_xlfn.IFS(B5&lt;=25,"20-25",B5&lt;=35,"26-35",B5&lt;=45,"36-45",B5&gt;45,"46+")</f>
        <v>46+</v>
      </c>
      <c r="T5" t="str" cm="1">
        <f t="array" ref="T5">_xlfn.IFS(J5&lt;3500,"&lt;3.5K",J5&lt;5500,"3.5-5.5K",J5&lt;7500,"5.5-7.5K",J5&gt;=7500,"7.5K+")</f>
        <v>7.5K+</v>
      </c>
      <c r="U5">
        <f t="shared" si="0"/>
        <v>0</v>
      </c>
    </row>
    <row r="6" spans="1:21" x14ac:dyDescent="0.25">
      <c r="A6">
        <v>1114</v>
      </c>
      <c r="B6">
        <v>43</v>
      </c>
      <c r="C6" t="s">
        <v>16</v>
      </c>
      <c r="D6" t="s">
        <v>17</v>
      </c>
      <c r="E6" t="s">
        <v>35</v>
      </c>
      <c r="F6" t="s">
        <v>36</v>
      </c>
      <c r="G6" t="s">
        <v>37</v>
      </c>
      <c r="H6" t="s">
        <v>34</v>
      </c>
      <c r="I6">
        <v>8</v>
      </c>
      <c r="J6" s="2">
        <v>9251</v>
      </c>
      <c r="K6" t="s">
        <v>22</v>
      </c>
      <c r="L6">
        <v>4</v>
      </c>
      <c r="M6">
        <v>3</v>
      </c>
      <c r="N6">
        <v>9</v>
      </c>
      <c r="O6">
        <v>2</v>
      </c>
      <c r="P6">
        <v>13</v>
      </c>
      <c r="Q6" t="s">
        <v>22</v>
      </c>
      <c r="R6" t="str" cm="1">
        <f t="array" ref="R6">_xlfn.IFS(N6&lt;=1,"0-1 yrs",N6&lt;=4,"2-4 yrs",N6&lt;=9,"5-9 yrs",N6&gt;9,"10+ yrs")</f>
        <v>5-9 yrs</v>
      </c>
      <c r="S6" t="str" cm="1">
        <f t="array" ref="S6">_xlfn.IFS(B6&lt;=25,"20-25",B6&lt;=35,"26-35",B6&lt;=45,"36-45",B6&gt;45,"46+")</f>
        <v>36-45</v>
      </c>
      <c r="T6" t="str" cm="1">
        <f t="array" ref="T6">_xlfn.IFS(J6&lt;3500,"&lt;3.5K",J6&lt;5500,"3.5-5.5K",J6&lt;7500,"5.5-7.5K",J6&gt;=7500,"7.5K+")</f>
        <v>7.5K+</v>
      </c>
      <c r="U6">
        <f t="shared" si="0"/>
        <v>0</v>
      </c>
    </row>
    <row r="7" spans="1:21" x14ac:dyDescent="0.25">
      <c r="A7">
        <v>1319</v>
      </c>
      <c r="B7">
        <v>38</v>
      </c>
      <c r="C7" t="s">
        <v>23</v>
      </c>
      <c r="D7" t="s">
        <v>38</v>
      </c>
      <c r="E7" t="s">
        <v>39</v>
      </c>
      <c r="F7" t="s">
        <v>38</v>
      </c>
      <c r="G7" t="s">
        <v>20</v>
      </c>
      <c r="H7" t="s">
        <v>21</v>
      </c>
      <c r="I7">
        <v>5</v>
      </c>
      <c r="J7" s="2">
        <v>8073</v>
      </c>
      <c r="K7" t="s">
        <v>22</v>
      </c>
      <c r="L7">
        <v>4</v>
      </c>
      <c r="M7">
        <v>3</v>
      </c>
      <c r="N7">
        <v>7</v>
      </c>
      <c r="O7">
        <v>7</v>
      </c>
      <c r="P7">
        <v>9</v>
      </c>
      <c r="Q7" t="s">
        <v>22</v>
      </c>
      <c r="R7" t="str" cm="1">
        <f t="array" ref="R7">_xlfn.IFS(N7&lt;=1,"0-1 yrs",N7&lt;=4,"2-4 yrs",N7&lt;=9,"5-9 yrs",N7&gt;9,"10+ yrs")</f>
        <v>5-9 yrs</v>
      </c>
      <c r="S7" t="str" cm="1">
        <f t="array" ref="S7">_xlfn.IFS(B7&lt;=25,"20-25",B7&lt;=35,"26-35",B7&lt;=45,"36-45",B7&gt;45,"46+")</f>
        <v>36-45</v>
      </c>
      <c r="T7" t="str" cm="1">
        <f t="array" ref="T7">_xlfn.IFS(J7&lt;3500,"&lt;3.5K",J7&lt;5500,"3.5-5.5K",J7&lt;7500,"5.5-7.5K",J7&gt;=7500,"7.5K+")</f>
        <v>7.5K+</v>
      </c>
      <c r="U7">
        <f t="shared" si="0"/>
        <v>0</v>
      </c>
    </row>
    <row r="8" spans="1:21" x14ac:dyDescent="0.25">
      <c r="A8">
        <v>1658</v>
      </c>
      <c r="B8">
        <v>58</v>
      </c>
      <c r="C8" t="s">
        <v>23</v>
      </c>
      <c r="D8" t="s">
        <v>17</v>
      </c>
      <c r="E8" t="s">
        <v>40</v>
      </c>
      <c r="F8" t="s">
        <v>38</v>
      </c>
      <c r="G8" t="s">
        <v>37</v>
      </c>
      <c r="H8" t="s">
        <v>34</v>
      </c>
      <c r="I8">
        <v>9</v>
      </c>
      <c r="J8" s="2">
        <v>12668</v>
      </c>
      <c r="K8" t="s">
        <v>22</v>
      </c>
      <c r="L8">
        <v>2</v>
      </c>
      <c r="M8">
        <v>2</v>
      </c>
      <c r="N8">
        <v>3</v>
      </c>
      <c r="O8">
        <v>0</v>
      </c>
      <c r="P8">
        <v>37</v>
      </c>
      <c r="Q8" t="s">
        <v>22</v>
      </c>
      <c r="R8" t="str" cm="1">
        <f t="array" ref="R8">_xlfn.IFS(N8&lt;=1,"0-1 yrs",N8&lt;=4,"2-4 yrs",N8&lt;=9,"5-9 yrs",N8&gt;9,"10+ yrs")</f>
        <v>2-4 yrs</v>
      </c>
      <c r="S8" t="str" cm="1">
        <f t="array" ref="S8">_xlfn.IFS(B8&lt;=25,"20-25",B8&lt;=35,"26-35",B8&lt;=45,"36-45",B8&gt;45,"46+")</f>
        <v>46+</v>
      </c>
      <c r="T8" t="str" cm="1">
        <f t="array" ref="T8">_xlfn.IFS(J8&lt;3500,"&lt;3.5K",J8&lt;5500,"3.5-5.5K",J8&lt;7500,"5.5-7.5K",J8&gt;=7500,"7.5K+")</f>
        <v>7.5K+</v>
      </c>
      <c r="U8">
        <f t="shared" si="0"/>
        <v>0</v>
      </c>
    </row>
    <row r="9" spans="1:21" x14ac:dyDescent="0.25">
      <c r="A9">
        <v>1971</v>
      </c>
      <c r="B9">
        <v>21</v>
      </c>
      <c r="C9" t="s">
        <v>23</v>
      </c>
      <c r="D9" t="s">
        <v>17</v>
      </c>
      <c r="E9" t="s">
        <v>40</v>
      </c>
      <c r="F9" t="s">
        <v>41</v>
      </c>
      <c r="G9" t="s">
        <v>37</v>
      </c>
      <c r="H9" t="s">
        <v>34</v>
      </c>
      <c r="I9">
        <v>5</v>
      </c>
      <c r="J9" s="2">
        <v>3265</v>
      </c>
      <c r="K9" t="s">
        <v>22</v>
      </c>
      <c r="L9">
        <v>3</v>
      </c>
      <c r="M9">
        <v>4</v>
      </c>
      <c r="N9">
        <v>0</v>
      </c>
      <c r="O9">
        <v>0</v>
      </c>
      <c r="P9">
        <v>0</v>
      </c>
      <c r="Q9" t="s">
        <v>42</v>
      </c>
      <c r="R9" t="str" cm="1">
        <f t="array" ref="R9">_xlfn.IFS(N9&lt;=1,"0-1 yrs",N9&lt;=4,"2-4 yrs",N9&lt;=9,"5-9 yrs",N9&gt;9,"10+ yrs")</f>
        <v>0-1 yrs</v>
      </c>
      <c r="S9" t="str" cm="1">
        <f t="array" ref="S9">_xlfn.IFS(B9&lt;=25,"20-25",B9&lt;=35,"26-35",B9&lt;=45,"36-45",B9&gt;45,"46+")</f>
        <v>20-25</v>
      </c>
      <c r="T9" t="str" cm="1">
        <f t="array" ref="T9">_xlfn.IFS(J9&lt;3500,"&lt;3.5K",J9&lt;5500,"3.5-5.5K",J9&lt;7500,"5.5-7.5K",J9&gt;=7500,"7.5K+")</f>
        <v>&lt;3.5K</v>
      </c>
      <c r="U9">
        <f t="shared" si="0"/>
        <v>1</v>
      </c>
    </row>
    <row r="10" spans="1:21" x14ac:dyDescent="0.25">
      <c r="A10">
        <v>1467</v>
      </c>
      <c r="B10">
        <v>35</v>
      </c>
      <c r="C10" t="s">
        <v>16</v>
      </c>
      <c r="D10" t="s">
        <v>27</v>
      </c>
      <c r="E10" t="s">
        <v>43</v>
      </c>
      <c r="F10" t="s">
        <v>41</v>
      </c>
      <c r="G10" t="s">
        <v>37</v>
      </c>
      <c r="H10" t="s">
        <v>21</v>
      </c>
      <c r="I10">
        <v>18</v>
      </c>
      <c r="J10" s="2">
        <v>5675</v>
      </c>
      <c r="K10" t="s">
        <v>42</v>
      </c>
      <c r="L10">
        <v>1</v>
      </c>
      <c r="M10">
        <v>3</v>
      </c>
      <c r="N10">
        <v>5</v>
      </c>
      <c r="O10">
        <v>0</v>
      </c>
      <c r="P10">
        <v>6</v>
      </c>
      <c r="Q10" t="s">
        <v>42</v>
      </c>
      <c r="R10" t="str" cm="1">
        <f t="array" ref="R10">_xlfn.IFS(N10&lt;=1,"0-1 yrs",N10&lt;=4,"2-4 yrs",N10&lt;=9,"5-9 yrs",N10&gt;9,"10+ yrs")</f>
        <v>5-9 yrs</v>
      </c>
      <c r="S10" t="str" cm="1">
        <f t="array" ref="S10">_xlfn.IFS(B10&lt;=25,"20-25",B10&lt;=35,"26-35",B10&lt;=45,"36-45",B10&gt;45,"46+")</f>
        <v>26-35</v>
      </c>
      <c r="T10" t="str" cm="1">
        <f t="array" ref="T10">_xlfn.IFS(J10&lt;3500,"&lt;3.5K",J10&lt;5500,"3.5-5.5K",J10&lt;7500,"5.5-7.5K",J10&gt;=7500,"7.5K+")</f>
        <v>5.5-7.5K</v>
      </c>
      <c r="U10">
        <f t="shared" si="0"/>
        <v>1</v>
      </c>
    </row>
    <row r="11" spans="1:21" x14ac:dyDescent="0.25">
      <c r="A11">
        <v>1497</v>
      </c>
      <c r="B11">
        <v>41</v>
      </c>
      <c r="C11" t="s">
        <v>23</v>
      </c>
      <c r="D11" t="s">
        <v>38</v>
      </c>
      <c r="E11" t="s">
        <v>39</v>
      </c>
      <c r="F11" t="s">
        <v>36</v>
      </c>
      <c r="G11" t="s">
        <v>37</v>
      </c>
      <c r="H11" t="s">
        <v>34</v>
      </c>
      <c r="I11">
        <v>10</v>
      </c>
      <c r="J11" s="2">
        <v>8193</v>
      </c>
      <c r="K11" t="s">
        <v>22</v>
      </c>
      <c r="L11">
        <v>2</v>
      </c>
      <c r="M11">
        <v>1</v>
      </c>
      <c r="N11">
        <v>14</v>
      </c>
      <c r="O11">
        <v>5</v>
      </c>
      <c r="P11">
        <v>21</v>
      </c>
      <c r="Q11" t="s">
        <v>22</v>
      </c>
      <c r="R11" t="str" cm="1">
        <f t="array" ref="R11">_xlfn.IFS(N11&lt;=1,"0-1 yrs",N11&lt;=4,"2-4 yrs",N11&lt;=9,"5-9 yrs",N11&gt;9,"10+ yrs")</f>
        <v>10+ yrs</v>
      </c>
      <c r="S11" t="str" cm="1">
        <f t="array" ref="S11">_xlfn.IFS(B11&lt;=25,"20-25",B11&lt;=35,"26-35",B11&lt;=45,"36-45",B11&gt;45,"46+")</f>
        <v>36-45</v>
      </c>
      <c r="T11" t="str" cm="1">
        <f t="array" ref="T11">_xlfn.IFS(J11&lt;3500,"&lt;3.5K",J11&lt;5500,"3.5-5.5K",J11&lt;7500,"5.5-7.5K",J11&gt;=7500,"7.5K+")</f>
        <v>7.5K+</v>
      </c>
      <c r="U11">
        <f t="shared" si="0"/>
        <v>0</v>
      </c>
    </row>
    <row r="12" spans="1:21" x14ac:dyDescent="0.25">
      <c r="A12">
        <v>1672</v>
      </c>
      <c r="B12">
        <v>49</v>
      </c>
      <c r="C12" t="s">
        <v>23</v>
      </c>
      <c r="D12" t="s">
        <v>38</v>
      </c>
      <c r="E12" t="s">
        <v>39</v>
      </c>
      <c r="F12" t="s">
        <v>36</v>
      </c>
      <c r="G12" t="s">
        <v>33</v>
      </c>
      <c r="H12" t="s">
        <v>21</v>
      </c>
      <c r="I12">
        <v>7</v>
      </c>
      <c r="J12" s="2">
        <v>8147</v>
      </c>
      <c r="K12" t="s">
        <v>22</v>
      </c>
      <c r="L12">
        <v>1</v>
      </c>
      <c r="M12">
        <v>3</v>
      </c>
      <c r="N12">
        <v>12</v>
      </c>
      <c r="O12">
        <v>6</v>
      </c>
      <c r="P12">
        <v>17</v>
      </c>
      <c r="Q12" t="s">
        <v>22</v>
      </c>
      <c r="R12" t="str" cm="1">
        <f t="array" ref="R12">_xlfn.IFS(N12&lt;=1,"0-1 yrs",N12&lt;=4,"2-4 yrs",N12&lt;=9,"5-9 yrs",N12&gt;9,"10+ yrs")</f>
        <v>10+ yrs</v>
      </c>
      <c r="S12" t="str" cm="1">
        <f t="array" ref="S12">_xlfn.IFS(B12&lt;=25,"20-25",B12&lt;=35,"26-35",B12&lt;=45,"36-45",B12&gt;45,"46+")</f>
        <v>46+</v>
      </c>
      <c r="T12" t="str" cm="1">
        <f t="array" ref="T12">_xlfn.IFS(J12&lt;3500,"&lt;3.5K",J12&lt;5500,"3.5-5.5K",J12&lt;7500,"5.5-7.5K",J12&gt;=7500,"7.5K+")</f>
        <v>7.5K+</v>
      </c>
      <c r="U12">
        <f t="shared" si="0"/>
        <v>0</v>
      </c>
    </row>
    <row r="13" spans="1:21" x14ac:dyDescent="0.25">
      <c r="A13">
        <v>1721</v>
      </c>
      <c r="B13">
        <v>60</v>
      </c>
      <c r="C13" t="s">
        <v>23</v>
      </c>
      <c r="D13" t="s">
        <v>27</v>
      </c>
      <c r="E13" t="s">
        <v>44</v>
      </c>
      <c r="F13" t="s">
        <v>32</v>
      </c>
      <c r="G13" t="s">
        <v>33</v>
      </c>
      <c r="H13" t="s">
        <v>21</v>
      </c>
      <c r="I13">
        <v>28</v>
      </c>
      <c r="J13" s="2">
        <v>14052</v>
      </c>
      <c r="K13" t="s">
        <v>22</v>
      </c>
      <c r="L13">
        <v>2</v>
      </c>
      <c r="M13">
        <v>4</v>
      </c>
      <c r="N13">
        <v>23</v>
      </c>
      <c r="O13">
        <v>0</v>
      </c>
      <c r="P13">
        <v>34</v>
      </c>
      <c r="Q13" t="s">
        <v>22</v>
      </c>
      <c r="R13" t="str" cm="1">
        <f t="array" ref="R13">_xlfn.IFS(N13&lt;=1,"0-1 yrs",N13&lt;=4,"2-4 yrs",N13&lt;=9,"5-9 yrs",N13&gt;9,"10+ yrs")</f>
        <v>10+ yrs</v>
      </c>
      <c r="S13" t="str" cm="1">
        <f t="array" ref="S13">_xlfn.IFS(B13&lt;=25,"20-25",B13&lt;=35,"26-35",B13&lt;=45,"36-45",B13&gt;45,"46+")</f>
        <v>46+</v>
      </c>
      <c r="T13" t="str" cm="1">
        <f t="array" ref="T13">_xlfn.IFS(J13&lt;3500,"&lt;3.5K",J13&lt;5500,"3.5-5.5K",J13&lt;7500,"5.5-7.5K",J13&gt;=7500,"7.5K+")</f>
        <v>7.5K+</v>
      </c>
      <c r="U13">
        <f t="shared" si="0"/>
        <v>0</v>
      </c>
    </row>
    <row r="14" spans="1:21" x14ac:dyDescent="0.25">
      <c r="A14">
        <v>1858</v>
      </c>
      <c r="B14">
        <v>31</v>
      </c>
      <c r="C14" t="s">
        <v>23</v>
      </c>
      <c r="D14" t="s">
        <v>27</v>
      </c>
      <c r="E14" t="s">
        <v>28</v>
      </c>
      <c r="F14" t="s">
        <v>36</v>
      </c>
      <c r="G14" t="s">
        <v>33</v>
      </c>
      <c r="H14" t="s">
        <v>34</v>
      </c>
      <c r="I14">
        <v>5</v>
      </c>
      <c r="J14" s="2">
        <v>12059</v>
      </c>
      <c r="K14" t="s">
        <v>22</v>
      </c>
      <c r="L14">
        <v>2</v>
      </c>
      <c r="M14">
        <v>1</v>
      </c>
      <c r="N14">
        <v>8</v>
      </c>
      <c r="O14">
        <v>4</v>
      </c>
      <c r="P14">
        <v>11</v>
      </c>
      <c r="Q14" t="s">
        <v>22</v>
      </c>
      <c r="R14" t="str" cm="1">
        <f t="array" ref="R14">_xlfn.IFS(N14&lt;=1,"0-1 yrs",N14&lt;=4,"2-4 yrs",N14&lt;=9,"5-9 yrs",N14&gt;9,"10+ yrs")</f>
        <v>5-9 yrs</v>
      </c>
      <c r="S14" t="str" cm="1">
        <f t="array" ref="S14">_xlfn.IFS(B14&lt;=25,"20-25",B14&lt;=35,"26-35",B14&lt;=45,"36-45",B14&gt;45,"46+")</f>
        <v>26-35</v>
      </c>
      <c r="T14" t="str" cm="1">
        <f t="array" ref="T14">_xlfn.IFS(J14&lt;3500,"&lt;3.5K",J14&lt;5500,"3.5-5.5K",J14&lt;7500,"5.5-7.5K",J14&gt;=7500,"7.5K+")</f>
        <v>7.5K+</v>
      </c>
      <c r="U14">
        <f t="shared" si="0"/>
        <v>0</v>
      </c>
    </row>
    <row r="15" spans="1:21" x14ac:dyDescent="0.25">
      <c r="A15">
        <v>1674</v>
      </c>
      <c r="B15">
        <v>35</v>
      </c>
      <c r="C15" t="s">
        <v>16</v>
      </c>
      <c r="D15" t="s">
        <v>38</v>
      </c>
      <c r="E15" t="s">
        <v>39</v>
      </c>
      <c r="F15" t="s">
        <v>19</v>
      </c>
      <c r="G15" t="s">
        <v>20</v>
      </c>
      <c r="H15" t="s">
        <v>21</v>
      </c>
      <c r="I15">
        <v>10</v>
      </c>
      <c r="J15" s="2">
        <v>10230</v>
      </c>
      <c r="K15" t="s">
        <v>22</v>
      </c>
      <c r="L15">
        <v>1</v>
      </c>
      <c r="M15">
        <v>1</v>
      </c>
      <c r="N15">
        <v>9</v>
      </c>
      <c r="O15">
        <v>0</v>
      </c>
      <c r="P15">
        <v>9</v>
      </c>
      <c r="Q15" t="s">
        <v>42</v>
      </c>
      <c r="R15" t="str" cm="1">
        <f t="array" ref="R15">_xlfn.IFS(N15&lt;=1,"0-1 yrs",N15&lt;=4,"2-4 yrs",N15&lt;=9,"5-9 yrs",N15&gt;9,"10+ yrs")</f>
        <v>5-9 yrs</v>
      </c>
      <c r="S15" t="str" cm="1">
        <f t="array" ref="S15">_xlfn.IFS(B15&lt;=25,"20-25",B15&lt;=35,"26-35",B15&lt;=45,"36-45",B15&gt;45,"46+")</f>
        <v>26-35</v>
      </c>
      <c r="T15" t="str" cm="1">
        <f t="array" ref="T15">_xlfn.IFS(J15&lt;3500,"&lt;3.5K",J15&lt;5500,"3.5-5.5K",J15&lt;7500,"5.5-7.5K",J15&gt;=7500,"7.5K+")</f>
        <v>7.5K+</v>
      </c>
      <c r="U15">
        <f t="shared" si="0"/>
        <v>1</v>
      </c>
    </row>
    <row r="16" spans="1:21" x14ac:dyDescent="0.25">
      <c r="A16">
        <v>1169</v>
      </c>
      <c r="B16">
        <v>39</v>
      </c>
      <c r="C16" t="s">
        <v>16</v>
      </c>
      <c r="D16" t="s">
        <v>24</v>
      </c>
      <c r="E16" t="s">
        <v>45</v>
      </c>
      <c r="F16" t="s">
        <v>41</v>
      </c>
      <c r="G16" t="s">
        <v>20</v>
      </c>
      <c r="H16" t="s">
        <v>30</v>
      </c>
      <c r="I16">
        <v>10</v>
      </c>
      <c r="J16" s="2">
        <v>7995</v>
      </c>
      <c r="K16" t="s">
        <v>42</v>
      </c>
      <c r="L16">
        <v>2</v>
      </c>
      <c r="M16">
        <v>4</v>
      </c>
      <c r="N16">
        <v>4</v>
      </c>
      <c r="O16">
        <v>1</v>
      </c>
      <c r="P16">
        <v>13</v>
      </c>
      <c r="Q16" t="s">
        <v>42</v>
      </c>
      <c r="R16" t="str" cm="1">
        <f t="array" ref="R16">_xlfn.IFS(N16&lt;=1,"0-1 yrs",N16&lt;=4,"2-4 yrs",N16&lt;=9,"5-9 yrs",N16&gt;9,"10+ yrs")</f>
        <v>2-4 yrs</v>
      </c>
      <c r="S16" t="str" cm="1">
        <f t="array" ref="S16">_xlfn.IFS(B16&lt;=25,"20-25",B16&lt;=35,"26-35",B16&lt;=45,"36-45",B16&gt;45,"46+")</f>
        <v>36-45</v>
      </c>
      <c r="T16" t="str" cm="1">
        <f t="array" ref="T16">_xlfn.IFS(J16&lt;3500,"&lt;3.5K",J16&lt;5500,"3.5-5.5K",J16&lt;7500,"5.5-7.5K",J16&gt;=7500,"7.5K+")</f>
        <v>7.5K+</v>
      </c>
      <c r="U16">
        <f t="shared" si="0"/>
        <v>1</v>
      </c>
    </row>
    <row r="17" spans="1:21" x14ac:dyDescent="0.25">
      <c r="A17">
        <v>1120</v>
      </c>
      <c r="B17">
        <v>55</v>
      </c>
      <c r="C17" t="s">
        <v>23</v>
      </c>
      <c r="D17" t="s">
        <v>17</v>
      </c>
      <c r="E17" t="s">
        <v>18</v>
      </c>
      <c r="F17" t="s">
        <v>29</v>
      </c>
      <c r="G17" t="s">
        <v>20</v>
      </c>
      <c r="H17" t="s">
        <v>30</v>
      </c>
      <c r="I17">
        <v>20</v>
      </c>
      <c r="J17" s="2">
        <v>15857</v>
      </c>
      <c r="K17" t="s">
        <v>42</v>
      </c>
      <c r="L17">
        <v>2</v>
      </c>
      <c r="M17">
        <v>2</v>
      </c>
      <c r="N17">
        <v>19</v>
      </c>
      <c r="O17">
        <v>17</v>
      </c>
      <c r="P17">
        <v>29</v>
      </c>
      <c r="Q17" t="s">
        <v>22</v>
      </c>
      <c r="R17" t="str" cm="1">
        <f t="array" ref="R17">_xlfn.IFS(N17&lt;=1,"0-1 yrs",N17&lt;=4,"2-4 yrs",N17&lt;=9,"5-9 yrs",N17&gt;9,"10+ yrs")</f>
        <v>10+ yrs</v>
      </c>
      <c r="S17" t="str" cm="1">
        <f t="array" ref="S17">_xlfn.IFS(B17&lt;=25,"20-25",B17&lt;=35,"26-35",B17&lt;=45,"36-45",B17&gt;45,"46+")</f>
        <v>46+</v>
      </c>
      <c r="T17" t="str" cm="1">
        <f t="array" ref="T17">_xlfn.IFS(J17&lt;3500,"&lt;3.5K",J17&lt;5500,"3.5-5.5K",J17&lt;7500,"5.5-7.5K",J17&gt;=7500,"7.5K+")</f>
        <v>7.5K+</v>
      </c>
      <c r="U17">
        <f t="shared" si="0"/>
        <v>0</v>
      </c>
    </row>
    <row r="18" spans="1:21" x14ac:dyDescent="0.25">
      <c r="A18">
        <v>1698</v>
      </c>
      <c r="B18">
        <v>34</v>
      </c>
      <c r="C18" t="s">
        <v>16</v>
      </c>
      <c r="D18" t="s">
        <v>17</v>
      </c>
      <c r="E18" t="s">
        <v>18</v>
      </c>
      <c r="F18" t="s">
        <v>38</v>
      </c>
      <c r="G18" t="s">
        <v>37</v>
      </c>
      <c r="H18" t="s">
        <v>34</v>
      </c>
      <c r="I18">
        <v>5</v>
      </c>
      <c r="J18" s="2">
        <v>11798</v>
      </c>
      <c r="K18" t="s">
        <v>42</v>
      </c>
      <c r="L18">
        <v>1</v>
      </c>
      <c r="M18">
        <v>3</v>
      </c>
      <c r="N18">
        <v>3</v>
      </c>
      <c r="O18">
        <v>3</v>
      </c>
      <c r="P18">
        <v>8</v>
      </c>
      <c r="Q18" t="s">
        <v>22</v>
      </c>
      <c r="R18" t="str" cm="1">
        <f t="array" ref="R18">_xlfn.IFS(N18&lt;=1,"0-1 yrs",N18&lt;=4,"2-4 yrs",N18&lt;=9,"5-9 yrs",N18&gt;9,"10+ yrs")</f>
        <v>2-4 yrs</v>
      </c>
      <c r="S18" t="str" cm="1">
        <f t="array" ref="S18">_xlfn.IFS(B18&lt;=25,"20-25",B18&lt;=35,"26-35",B18&lt;=45,"36-45",B18&gt;45,"46+")</f>
        <v>26-35</v>
      </c>
      <c r="T18" t="str" cm="1">
        <f t="array" ref="T18">_xlfn.IFS(J18&lt;3500,"&lt;3.5K",J18&lt;5500,"3.5-5.5K",J18&lt;7500,"5.5-7.5K",J18&gt;=7500,"7.5K+")</f>
        <v>7.5K+</v>
      </c>
      <c r="U18">
        <f t="shared" si="0"/>
        <v>0</v>
      </c>
    </row>
    <row r="19" spans="1:21" x14ac:dyDescent="0.25">
      <c r="A19">
        <v>1622</v>
      </c>
      <c r="B19">
        <v>21</v>
      </c>
      <c r="C19" t="s">
        <v>16</v>
      </c>
      <c r="D19" t="s">
        <v>17</v>
      </c>
      <c r="E19" t="s">
        <v>18</v>
      </c>
      <c r="F19" t="s">
        <v>36</v>
      </c>
      <c r="G19" t="s">
        <v>33</v>
      </c>
      <c r="H19" t="s">
        <v>30</v>
      </c>
      <c r="I19">
        <v>7</v>
      </c>
      <c r="J19" s="2">
        <v>10297</v>
      </c>
      <c r="K19" t="s">
        <v>22</v>
      </c>
      <c r="L19">
        <v>1</v>
      </c>
      <c r="M19">
        <v>1</v>
      </c>
      <c r="N19">
        <v>0</v>
      </c>
      <c r="O19">
        <v>0</v>
      </c>
      <c r="P19">
        <v>0</v>
      </c>
      <c r="Q19" t="s">
        <v>22</v>
      </c>
      <c r="R19" t="str" cm="1">
        <f t="array" ref="R19">_xlfn.IFS(N19&lt;=1,"0-1 yrs",N19&lt;=4,"2-4 yrs",N19&lt;=9,"5-9 yrs",N19&gt;9,"10+ yrs")</f>
        <v>0-1 yrs</v>
      </c>
      <c r="S19" t="str" cm="1">
        <f t="array" ref="S19">_xlfn.IFS(B19&lt;=25,"20-25",B19&lt;=35,"26-35",B19&lt;=45,"36-45",B19&gt;45,"46+")</f>
        <v>20-25</v>
      </c>
      <c r="T19" t="str" cm="1">
        <f t="array" ref="T19">_xlfn.IFS(J19&lt;3500,"&lt;3.5K",J19&lt;5500,"3.5-5.5K",J19&lt;7500,"5.5-7.5K",J19&gt;=7500,"7.5K+")</f>
        <v>7.5K+</v>
      </c>
      <c r="U19">
        <f t="shared" si="0"/>
        <v>0</v>
      </c>
    </row>
    <row r="20" spans="1:21" x14ac:dyDescent="0.25">
      <c r="A20">
        <v>1483</v>
      </c>
      <c r="B20">
        <v>31</v>
      </c>
      <c r="C20" t="s">
        <v>23</v>
      </c>
      <c r="D20" t="s">
        <v>27</v>
      </c>
      <c r="E20" t="s">
        <v>31</v>
      </c>
      <c r="F20" t="s">
        <v>36</v>
      </c>
      <c r="G20" t="s">
        <v>33</v>
      </c>
      <c r="H20" t="s">
        <v>34</v>
      </c>
      <c r="I20">
        <v>10</v>
      </c>
      <c r="J20" s="2">
        <v>4292</v>
      </c>
      <c r="K20" t="s">
        <v>42</v>
      </c>
      <c r="L20">
        <v>1</v>
      </c>
      <c r="M20">
        <v>4</v>
      </c>
      <c r="N20">
        <v>0</v>
      </c>
      <c r="O20">
        <v>0</v>
      </c>
      <c r="P20">
        <v>0</v>
      </c>
      <c r="Q20" t="s">
        <v>42</v>
      </c>
      <c r="R20" t="str" cm="1">
        <f t="array" ref="R20">_xlfn.IFS(N20&lt;=1,"0-1 yrs",N20&lt;=4,"2-4 yrs",N20&lt;=9,"5-9 yrs",N20&gt;9,"10+ yrs")</f>
        <v>0-1 yrs</v>
      </c>
      <c r="S20" t="str" cm="1">
        <f t="array" ref="S20">_xlfn.IFS(B20&lt;=25,"20-25",B20&lt;=35,"26-35",B20&lt;=45,"36-45",B20&gt;45,"46+")</f>
        <v>26-35</v>
      </c>
      <c r="T20" t="str" cm="1">
        <f t="array" ref="T20">_xlfn.IFS(J20&lt;3500,"&lt;3.5K",J20&lt;5500,"3.5-5.5K",J20&lt;7500,"5.5-7.5K",J20&gt;=7500,"7.5K+")</f>
        <v>3.5-5.5K</v>
      </c>
      <c r="U20">
        <f t="shared" si="0"/>
        <v>1</v>
      </c>
    </row>
    <row r="21" spans="1:21" x14ac:dyDescent="0.25">
      <c r="A21">
        <v>1579</v>
      </c>
      <c r="B21">
        <v>32</v>
      </c>
      <c r="C21" t="s">
        <v>16</v>
      </c>
      <c r="D21" t="s">
        <v>24</v>
      </c>
      <c r="E21" t="s">
        <v>45</v>
      </c>
      <c r="F21" t="s">
        <v>32</v>
      </c>
      <c r="G21" t="s">
        <v>37</v>
      </c>
      <c r="H21" t="s">
        <v>21</v>
      </c>
      <c r="I21">
        <v>3</v>
      </c>
      <c r="J21" s="2">
        <v>6984</v>
      </c>
      <c r="K21" t="s">
        <v>22</v>
      </c>
      <c r="L21">
        <v>4</v>
      </c>
      <c r="M21">
        <v>4</v>
      </c>
      <c r="N21">
        <v>1</v>
      </c>
      <c r="O21">
        <v>0</v>
      </c>
      <c r="P21">
        <v>7</v>
      </c>
      <c r="Q21" t="s">
        <v>22</v>
      </c>
      <c r="R21" t="str" cm="1">
        <f t="array" ref="R21">_xlfn.IFS(N21&lt;=1,"0-1 yrs",N21&lt;=4,"2-4 yrs",N21&lt;=9,"5-9 yrs",N21&gt;9,"10+ yrs")</f>
        <v>0-1 yrs</v>
      </c>
      <c r="S21" t="str" cm="1">
        <f t="array" ref="S21">_xlfn.IFS(B21&lt;=25,"20-25",B21&lt;=35,"26-35",B21&lt;=45,"36-45",B21&gt;45,"46+")</f>
        <v>26-35</v>
      </c>
      <c r="T21" t="str" cm="1">
        <f t="array" ref="T21">_xlfn.IFS(J21&lt;3500,"&lt;3.5K",J21&lt;5500,"3.5-5.5K",J21&lt;7500,"5.5-7.5K",J21&gt;=7500,"7.5K+")</f>
        <v>5.5-7.5K</v>
      </c>
      <c r="U21">
        <f t="shared" si="0"/>
        <v>0</v>
      </c>
    </row>
    <row r="22" spans="1:21" x14ac:dyDescent="0.25">
      <c r="A22">
        <v>1785</v>
      </c>
      <c r="B22">
        <v>24</v>
      </c>
      <c r="C22" t="s">
        <v>23</v>
      </c>
      <c r="D22" t="s">
        <v>17</v>
      </c>
      <c r="E22" t="s">
        <v>35</v>
      </c>
      <c r="F22" t="s">
        <v>29</v>
      </c>
      <c r="G22" t="s">
        <v>33</v>
      </c>
      <c r="H22" t="s">
        <v>30</v>
      </c>
      <c r="I22">
        <v>20</v>
      </c>
      <c r="J22" s="2">
        <v>5312</v>
      </c>
      <c r="K22" t="s">
        <v>22</v>
      </c>
      <c r="L22">
        <v>1</v>
      </c>
      <c r="M22">
        <v>4</v>
      </c>
      <c r="N22">
        <v>0</v>
      </c>
      <c r="O22">
        <v>0</v>
      </c>
      <c r="P22">
        <v>0</v>
      </c>
      <c r="Q22" t="s">
        <v>42</v>
      </c>
      <c r="R22" t="str" cm="1">
        <f t="array" ref="R22">_xlfn.IFS(N22&lt;=1,"0-1 yrs",N22&lt;=4,"2-4 yrs",N22&lt;=9,"5-9 yrs",N22&gt;9,"10+ yrs")</f>
        <v>0-1 yrs</v>
      </c>
      <c r="S22" t="str" cm="1">
        <f t="array" ref="S22">_xlfn.IFS(B22&lt;=25,"20-25",B22&lt;=35,"26-35",B22&lt;=45,"36-45",B22&gt;45,"46+")</f>
        <v>20-25</v>
      </c>
      <c r="T22" t="str" cm="1">
        <f t="array" ref="T22">_xlfn.IFS(J22&lt;3500,"&lt;3.5K",J22&lt;5500,"3.5-5.5K",J22&lt;7500,"5.5-7.5K",J22&gt;=7500,"7.5K+")</f>
        <v>3.5-5.5K</v>
      </c>
      <c r="U22">
        <f t="shared" si="0"/>
        <v>1</v>
      </c>
    </row>
    <row r="23" spans="1:21" x14ac:dyDescent="0.25">
      <c r="A23">
        <v>1326</v>
      </c>
      <c r="B23">
        <v>47</v>
      </c>
      <c r="C23" t="s">
        <v>16</v>
      </c>
      <c r="D23" t="s">
        <v>17</v>
      </c>
      <c r="E23" t="s">
        <v>18</v>
      </c>
      <c r="F23" t="s">
        <v>26</v>
      </c>
      <c r="G23" t="s">
        <v>37</v>
      </c>
      <c r="H23" t="s">
        <v>30</v>
      </c>
      <c r="I23">
        <v>21</v>
      </c>
      <c r="J23" s="2">
        <v>12813</v>
      </c>
      <c r="K23" t="s">
        <v>42</v>
      </c>
      <c r="L23">
        <v>2</v>
      </c>
      <c r="M23">
        <v>3</v>
      </c>
      <c r="N23">
        <v>20</v>
      </c>
      <c r="O23">
        <v>12</v>
      </c>
      <c r="P23">
        <v>20</v>
      </c>
      <c r="Q23" t="s">
        <v>42</v>
      </c>
      <c r="R23" t="str" cm="1">
        <f t="array" ref="R23">_xlfn.IFS(N23&lt;=1,"0-1 yrs",N23&lt;=4,"2-4 yrs",N23&lt;=9,"5-9 yrs",N23&gt;9,"10+ yrs")</f>
        <v>10+ yrs</v>
      </c>
      <c r="S23" t="str" cm="1">
        <f t="array" ref="S23">_xlfn.IFS(B23&lt;=25,"20-25",B23&lt;=35,"26-35",B23&lt;=45,"36-45",B23&gt;45,"46+")</f>
        <v>46+</v>
      </c>
      <c r="T23" t="str" cm="1">
        <f t="array" ref="T23">_xlfn.IFS(J23&lt;3500,"&lt;3.5K",J23&lt;5500,"3.5-5.5K",J23&lt;7500,"5.5-7.5K",J23&gt;=7500,"7.5K+")</f>
        <v>7.5K+</v>
      </c>
      <c r="U23">
        <f t="shared" si="0"/>
        <v>1</v>
      </c>
    </row>
    <row r="24" spans="1:21" x14ac:dyDescent="0.25">
      <c r="A24">
        <v>1118</v>
      </c>
      <c r="B24">
        <v>46</v>
      </c>
      <c r="C24" t="s">
        <v>23</v>
      </c>
      <c r="D24" t="s">
        <v>24</v>
      </c>
      <c r="E24" t="s">
        <v>45</v>
      </c>
      <c r="F24" t="s">
        <v>26</v>
      </c>
      <c r="G24" t="s">
        <v>37</v>
      </c>
      <c r="H24" t="s">
        <v>30</v>
      </c>
      <c r="I24">
        <v>12</v>
      </c>
      <c r="J24" s="2">
        <v>9069</v>
      </c>
      <c r="K24" t="s">
        <v>22</v>
      </c>
      <c r="L24">
        <v>4</v>
      </c>
      <c r="M24">
        <v>4</v>
      </c>
      <c r="N24">
        <v>10</v>
      </c>
      <c r="O24">
        <v>10</v>
      </c>
      <c r="P24">
        <v>22</v>
      </c>
      <c r="Q24" t="s">
        <v>22</v>
      </c>
      <c r="R24" t="str" cm="1">
        <f t="array" ref="R24">_xlfn.IFS(N24&lt;=1,"0-1 yrs",N24&lt;=4,"2-4 yrs",N24&lt;=9,"5-9 yrs",N24&gt;9,"10+ yrs")</f>
        <v>10+ yrs</v>
      </c>
      <c r="S24" t="str" cm="1">
        <f t="array" ref="S24">_xlfn.IFS(B24&lt;=25,"20-25",B24&lt;=35,"26-35",B24&lt;=45,"36-45",B24&gt;45,"46+")</f>
        <v>46+</v>
      </c>
      <c r="T24" t="str" cm="1">
        <f t="array" ref="T24">_xlfn.IFS(J24&lt;3500,"&lt;3.5K",J24&lt;5500,"3.5-5.5K",J24&lt;7500,"5.5-7.5K",J24&gt;=7500,"7.5K+")</f>
        <v>7.5K+</v>
      </c>
      <c r="U24">
        <f t="shared" si="0"/>
        <v>0</v>
      </c>
    </row>
    <row r="25" spans="1:21" x14ac:dyDescent="0.25">
      <c r="A25">
        <v>1835</v>
      </c>
      <c r="B25">
        <v>24</v>
      </c>
      <c r="C25" t="s">
        <v>23</v>
      </c>
      <c r="D25" t="s">
        <v>24</v>
      </c>
      <c r="E25" t="s">
        <v>46</v>
      </c>
      <c r="F25" t="s">
        <v>41</v>
      </c>
      <c r="G25" t="s">
        <v>20</v>
      </c>
      <c r="H25" t="s">
        <v>34</v>
      </c>
      <c r="I25">
        <v>21</v>
      </c>
      <c r="J25" s="2">
        <v>5946</v>
      </c>
      <c r="K25" t="s">
        <v>22</v>
      </c>
      <c r="L25">
        <v>4</v>
      </c>
      <c r="M25">
        <v>1</v>
      </c>
      <c r="N25">
        <v>0</v>
      </c>
      <c r="O25">
        <v>0</v>
      </c>
      <c r="P25">
        <v>0</v>
      </c>
      <c r="Q25" t="s">
        <v>22</v>
      </c>
      <c r="R25" t="str" cm="1">
        <f t="array" ref="R25">_xlfn.IFS(N25&lt;=1,"0-1 yrs",N25&lt;=4,"2-4 yrs",N25&lt;=9,"5-9 yrs",N25&gt;9,"10+ yrs")</f>
        <v>0-1 yrs</v>
      </c>
      <c r="S25" t="str" cm="1">
        <f t="array" ref="S25">_xlfn.IFS(B25&lt;=25,"20-25",B25&lt;=35,"26-35",B25&lt;=45,"36-45",B25&gt;45,"46+")</f>
        <v>20-25</v>
      </c>
      <c r="T25" t="str" cm="1">
        <f t="array" ref="T25">_xlfn.IFS(J25&lt;3500,"&lt;3.5K",J25&lt;5500,"3.5-5.5K",J25&lt;7500,"5.5-7.5K",J25&gt;=7500,"7.5K+")</f>
        <v>5.5-7.5K</v>
      </c>
      <c r="U25">
        <f t="shared" si="0"/>
        <v>0</v>
      </c>
    </row>
    <row r="26" spans="1:21" x14ac:dyDescent="0.25">
      <c r="A26">
        <v>1683</v>
      </c>
      <c r="B26">
        <v>58</v>
      </c>
      <c r="C26" t="s">
        <v>16</v>
      </c>
      <c r="D26" t="s">
        <v>17</v>
      </c>
      <c r="E26" t="s">
        <v>35</v>
      </c>
      <c r="F26" t="s">
        <v>32</v>
      </c>
      <c r="G26" t="s">
        <v>20</v>
      </c>
      <c r="H26" t="s">
        <v>30</v>
      </c>
      <c r="I26">
        <v>16</v>
      </c>
      <c r="J26" s="2">
        <v>10067</v>
      </c>
      <c r="K26" t="s">
        <v>22</v>
      </c>
      <c r="L26">
        <v>4</v>
      </c>
      <c r="M26">
        <v>1</v>
      </c>
      <c r="N26">
        <v>15</v>
      </c>
      <c r="O26">
        <v>3</v>
      </c>
      <c r="P26">
        <v>26</v>
      </c>
      <c r="Q26" t="s">
        <v>42</v>
      </c>
      <c r="R26" t="str" cm="1">
        <f t="array" ref="R26">_xlfn.IFS(N26&lt;=1,"0-1 yrs",N26&lt;=4,"2-4 yrs",N26&lt;=9,"5-9 yrs",N26&gt;9,"10+ yrs")</f>
        <v>10+ yrs</v>
      </c>
      <c r="S26" t="str" cm="1">
        <f t="array" ref="S26">_xlfn.IFS(B26&lt;=25,"20-25",B26&lt;=35,"26-35",B26&lt;=45,"36-45",B26&gt;45,"46+")</f>
        <v>46+</v>
      </c>
      <c r="T26" t="str" cm="1">
        <f t="array" ref="T26">_xlfn.IFS(J26&lt;3500,"&lt;3.5K",J26&lt;5500,"3.5-5.5K",J26&lt;7500,"5.5-7.5K",J26&gt;=7500,"7.5K+")</f>
        <v>7.5K+</v>
      </c>
      <c r="U26">
        <f t="shared" si="0"/>
        <v>1</v>
      </c>
    </row>
    <row r="27" spans="1:21" x14ac:dyDescent="0.25">
      <c r="A27">
        <v>1033</v>
      </c>
      <c r="B27">
        <v>31</v>
      </c>
      <c r="C27" t="s">
        <v>23</v>
      </c>
      <c r="D27" t="s">
        <v>27</v>
      </c>
      <c r="E27" t="s">
        <v>43</v>
      </c>
      <c r="F27" t="s">
        <v>29</v>
      </c>
      <c r="G27" t="s">
        <v>37</v>
      </c>
      <c r="H27" t="s">
        <v>21</v>
      </c>
      <c r="I27">
        <v>15</v>
      </c>
      <c r="J27" s="2">
        <v>5683</v>
      </c>
      <c r="K27" t="s">
        <v>42</v>
      </c>
      <c r="L27">
        <v>1</v>
      </c>
      <c r="M27">
        <v>4</v>
      </c>
      <c r="N27">
        <v>7</v>
      </c>
      <c r="O27">
        <v>0</v>
      </c>
      <c r="P27">
        <v>9</v>
      </c>
      <c r="Q27" t="s">
        <v>22</v>
      </c>
      <c r="R27" t="str" cm="1">
        <f t="array" ref="R27">_xlfn.IFS(N27&lt;=1,"0-1 yrs",N27&lt;=4,"2-4 yrs",N27&lt;=9,"5-9 yrs",N27&gt;9,"10+ yrs")</f>
        <v>5-9 yrs</v>
      </c>
      <c r="S27" t="str" cm="1">
        <f t="array" ref="S27">_xlfn.IFS(B27&lt;=25,"20-25",B27&lt;=35,"26-35",B27&lt;=45,"36-45",B27&gt;45,"46+")</f>
        <v>26-35</v>
      </c>
      <c r="T27" t="str" cm="1">
        <f t="array" ref="T27">_xlfn.IFS(J27&lt;3500,"&lt;3.5K",J27&lt;5500,"3.5-5.5K",J27&lt;7500,"5.5-7.5K",J27&gt;=7500,"7.5K+")</f>
        <v>5.5-7.5K</v>
      </c>
      <c r="U27">
        <f t="shared" si="0"/>
        <v>0</v>
      </c>
    </row>
    <row r="28" spans="1:21" x14ac:dyDescent="0.25">
      <c r="A28">
        <v>1862</v>
      </c>
      <c r="B28">
        <v>52</v>
      </c>
      <c r="C28" t="s">
        <v>16</v>
      </c>
      <c r="D28" t="s">
        <v>24</v>
      </c>
      <c r="E28" t="s">
        <v>25</v>
      </c>
      <c r="F28" t="s">
        <v>32</v>
      </c>
      <c r="G28" t="s">
        <v>33</v>
      </c>
      <c r="H28" t="s">
        <v>34</v>
      </c>
      <c r="I28">
        <v>22</v>
      </c>
      <c r="J28" s="2">
        <v>13753</v>
      </c>
      <c r="K28" t="s">
        <v>22</v>
      </c>
      <c r="L28">
        <v>1</v>
      </c>
      <c r="M28">
        <v>4</v>
      </c>
      <c r="N28">
        <v>2</v>
      </c>
      <c r="O28">
        <v>1</v>
      </c>
      <c r="P28">
        <v>25</v>
      </c>
      <c r="Q28" t="s">
        <v>22</v>
      </c>
      <c r="R28" t="str" cm="1">
        <f t="array" ref="R28">_xlfn.IFS(N28&lt;=1,"0-1 yrs",N28&lt;=4,"2-4 yrs",N28&lt;=9,"5-9 yrs",N28&gt;9,"10+ yrs")</f>
        <v>2-4 yrs</v>
      </c>
      <c r="S28" t="str" cm="1">
        <f t="array" ref="S28">_xlfn.IFS(B28&lt;=25,"20-25",B28&lt;=35,"26-35",B28&lt;=45,"36-45",B28&gt;45,"46+")</f>
        <v>46+</v>
      </c>
      <c r="T28" t="str" cm="1">
        <f t="array" ref="T28">_xlfn.IFS(J28&lt;3500,"&lt;3.5K",J28&lt;5500,"3.5-5.5K",J28&lt;7500,"5.5-7.5K",J28&gt;=7500,"7.5K+")</f>
        <v>7.5K+</v>
      </c>
      <c r="U28">
        <f t="shared" si="0"/>
        <v>0</v>
      </c>
    </row>
    <row r="29" spans="1:21" x14ac:dyDescent="0.25">
      <c r="A29">
        <v>1905</v>
      </c>
      <c r="B29">
        <v>45</v>
      </c>
      <c r="C29" t="s">
        <v>23</v>
      </c>
      <c r="D29" t="s">
        <v>24</v>
      </c>
      <c r="E29" t="s">
        <v>25</v>
      </c>
      <c r="F29" t="s">
        <v>32</v>
      </c>
      <c r="G29" t="s">
        <v>20</v>
      </c>
      <c r="H29" t="s">
        <v>21</v>
      </c>
      <c r="I29">
        <v>24</v>
      </c>
      <c r="J29" s="2">
        <v>10440</v>
      </c>
      <c r="K29" t="s">
        <v>22</v>
      </c>
      <c r="L29">
        <v>3</v>
      </c>
      <c r="M29">
        <v>3</v>
      </c>
      <c r="N29">
        <v>5</v>
      </c>
      <c r="O29">
        <v>3</v>
      </c>
      <c r="P29">
        <v>21</v>
      </c>
      <c r="Q29" t="s">
        <v>22</v>
      </c>
      <c r="R29" t="str" cm="1">
        <f t="array" ref="R29">_xlfn.IFS(N29&lt;=1,"0-1 yrs",N29&lt;=4,"2-4 yrs",N29&lt;=9,"5-9 yrs",N29&gt;9,"10+ yrs")</f>
        <v>5-9 yrs</v>
      </c>
      <c r="S29" t="str" cm="1">
        <f t="array" ref="S29">_xlfn.IFS(B29&lt;=25,"20-25",B29&lt;=35,"26-35",B29&lt;=45,"36-45",B29&gt;45,"46+")</f>
        <v>36-45</v>
      </c>
      <c r="T29" t="str" cm="1">
        <f t="array" ref="T29">_xlfn.IFS(J29&lt;3500,"&lt;3.5K",J29&lt;5500,"3.5-5.5K",J29&lt;7500,"5.5-7.5K",J29&gt;=7500,"7.5K+")</f>
        <v>7.5K+</v>
      </c>
      <c r="U29">
        <f t="shared" si="0"/>
        <v>0</v>
      </c>
    </row>
    <row r="30" spans="1:21" x14ac:dyDescent="0.25">
      <c r="A30">
        <v>1002</v>
      </c>
      <c r="B30">
        <v>34</v>
      </c>
      <c r="C30" t="s">
        <v>23</v>
      </c>
      <c r="D30" t="s">
        <v>27</v>
      </c>
      <c r="E30" t="s">
        <v>28</v>
      </c>
      <c r="F30" t="s">
        <v>19</v>
      </c>
      <c r="G30" t="s">
        <v>33</v>
      </c>
      <c r="H30" t="s">
        <v>34</v>
      </c>
      <c r="I30">
        <v>7</v>
      </c>
      <c r="J30" s="2">
        <v>11034</v>
      </c>
      <c r="K30" t="s">
        <v>42</v>
      </c>
      <c r="L30">
        <v>4</v>
      </c>
      <c r="M30">
        <v>3</v>
      </c>
      <c r="N30">
        <v>6</v>
      </c>
      <c r="O30">
        <v>0</v>
      </c>
      <c r="P30">
        <v>6</v>
      </c>
      <c r="Q30" t="s">
        <v>22</v>
      </c>
      <c r="R30" t="str" cm="1">
        <f t="array" ref="R30">_xlfn.IFS(N30&lt;=1,"0-1 yrs",N30&lt;=4,"2-4 yrs",N30&lt;=9,"5-9 yrs",N30&gt;9,"10+ yrs")</f>
        <v>5-9 yrs</v>
      </c>
      <c r="S30" t="str" cm="1">
        <f t="array" ref="S30">_xlfn.IFS(B30&lt;=25,"20-25",B30&lt;=35,"26-35",B30&lt;=45,"36-45",B30&gt;45,"46+")</f>
        <v>26-35</v>
      </c>
      <c r="T30" t="str" cm="1">
        <f t="array" ref="T30">_xlfn.IFS(J30&lt;3500,"&lt;3.5K",J30&lt;5500,"3.5-5.5K",J30&lt;7500,"5.5-7.5K",J30&gt;=7500,"7.5K+")</f>
        <v>7.5K+</v>
      </c>
      <c r="U30">
        <f t="shared" si="0"/>
        <v>0</v>
      </c>
    </row>
    <row r="31" spans="1:21" x14ac:dyDescent="0.25">
      <c r="A31">
        <v>1607</v>
      </c>
      <c r="B31">
        <v>47</v>
      </c>
      <c r="C31" t="s">
        <v>16</v>
      </c>
      <c r="D31" t="s">
        <v>27</v>
      </c>
      <c r="E31" t="s">
        <v>44</v>
      </c>
      <c r="F31" t="s">
        <v>29</v>
      </c>
      <c r="G31" t="s">
        <v>37</v>
      </c>
      <c r="H31" t="s">
        <v>30</v>
      </c>
      <c r="I31">
        <v>28</v>
      </c>
      <c r="J31" s="2">
        <v>9714</v>
      </c>
      <c r="K31" t="s">
        <v>22</v>
      </c>
      <c r="L31">
        <v>3</v>
      </c>
      <c r="M31">
        <v>2</v>
      </c>
      <c r="N31">
        <v>15</v>
      </c>
      <c r="O31">
        <v>3</v>
      </c>
      <c r="P31">
        <v>27</v>
      </c>
      <c r="Q31" t="s">
        <v>22</v>
      </c>
      <c r="R31" t="str" cm="1">
        <f t="array" ref="R31">_xlfn.IFS(N31&lt;=1,"0-1 yrs",N31&lt;=4,"2-4 yrs",N31&lt;=9,"5-9 yrs",N31&gt;9,"10+ yrs")</f>
        <v>10+ yrs</v>
      </c>
      <c r="S31" t="str" cm="1">
        <f t="array" ref="S31">_xlfn.IFS(B31&lt;=25,"20-25",B31&lt;=35,"26-35",B31&lt;=45,"36-45",B31&gt;45,"46+")</f>
        <v>46+</v>
      </c>
      <c r="T31" t="str" cm="1">
        <f t="array" ref="T31">_xlfn.IFS(J31&lt;3500,"&lt;3.5K",J31&lt;5500,"3.5-5.5K",J31&lt;7500,"5.5-7.5K",J31&gt;=7500,"7.5K+")</f>
        <v>7.5K+</v>
      </c>
      <c r="U31">
        <f t="shared" si="0"/>
        <v>0</v>
      </c>
    </row>
    <row r="32" spans="1:21" x14ac:dyDescent="0.25">
      <c r="A32">
        <v>1935</v>
      </c>
      <c r="B32">
        <v>52</v>
      </c>
      <c r="C32" t="s">
        <v>16</v>
      </c>
      <c r="D32" t="s">
        <v>24</v>
      </c>
      <c r="E32" t="s">
        <v>25</v>
      </c>
      <c r="F32" t="s">
        <v>19</v>
      </c>
      <c r="G32" t="s">
        <v>37</v>
      </c>
      <c r="H32" t="s">
        <v>34</v>
      </c>
      <c r="I32">
        <v>8</v>
      </c>
      <c r="J32" s="2">
        <v>14847</v>
      </c>
      <c r="K32" t="s">
        <v>42</v>
      </c>
      <c r="L32">
        <v>1</v>
      </c>
      <c r="M32">
        <v>4</v>
      </c>
      <c r="N32">
        <v>6</v>
      </c>
      <c r="O32">
        <v>2</v>
      </c>
      <c r="P32">
        <v>30</v>
      </c>
      <c r="Q32" t="s">
        <v>22</v>
      </c>
      <c r="R32" t="str" cm="1">
        <f t="array" ref="R32">_xlfn.IFS(N32&lt;=1,"0-1 yrs",N32&lt;=4,"2-4 yrs",N32&lt;=9,"5-9 yrs",N32&gt;9,"10+ yrs")</f>
        <v>5-9 yrs</v>
      </c>
      <c r="S32" t="str" cm="1">
        <f t="array" ref="S32">_xlfn.IFS(B32&lt;=25,"20-25",B32&lt;=35,"26-35",B32&lt;=45,"36-45",B32&gt;45,"46+")</f>
        <v>46+</v>
      </c>
      <c r="T32" t="str" cm="1">
        <f t="array" ref="T32">_xlfn.IFS(J32&lt;3500,"&lt;3.5K",J32&lt;5500,"3.5-5.5K",J32&lt;7500,"5.5-7.5K",J32&gt;=7500,"7.5K+")</f>
        <v>7.5K+</v>
      </c>
      <c r="U32">
        <f t="shared" si="0"/>
        <v>0</v>
      </c>
    </row>
    <row r="33" spans="1:21" x14ac:dyDescent="0.25">
      <c r="A33">
        <v>1409</v>
      </c>
      <c r="B33">
        <v>60</v>
      </c>
      <c r="C33" t="s">
        <v>23</v>
      </c>
      <c r="D33" t="s">
        <v>47</v>
      </c>
      <c r="E33" t="s">
        <v>48</v>
      </c>
      <c r="F33" t="s">
        <v>26</v>
      </c>
      <c r="G33" t="s">
        <v>20</v>
      </c>
      <c r="H33" t="s">
        <v>21</v>
      </c>
      <c r="I33">
        <v>17</v>
      </c>
      <c r="J33" s="2">
        <v>12562</v>
      </c>
      <c r="K33" t="s">
        <v>22</v>
      </c>
      <c r="L33">
        <v>3</v>
      </c>
      <c r="M33">
        <v>4</v>
      </c>
      <c r="N33">
        <v>12</v>
      </c>
      <c r="O33">
        <v>4</v>
      </c>
      <c r="P33">
        <v>37</v>
      </c>
      <c r="Q33" t="s">
        <v>22</v>
      </c>
      <c r="R33" t="str" cm="1">
        <f t="array" ref="R33">_xlfn.IFS(N33&lt;=1,"0-1 yrs",N33&lt;=4,"2-4 yrs",N33&lt;=9,"5-9 yrs",N33&gt;9,"10+ yrs")</f>
        <v>10+ yrs</v>
      </c>
      <c r="S33" t="str" cm="1">
        <f t="array" ref="S33">_xlfn.IFS(B33&lt;=25,"20-25",B33&lt;=35,"26-35",B33&lt;=45,"36-45",B33&gt;45,"46+")</f>
        <v>46+</v>
      </c>
      <c r="T33" t="str" cm="1">
        <f t="array" ref="T33">_xlfn.IFS(J33&lt;3500,"&lt;3.5K",J33&lt;5500,"3.5-5.5K",J33&lt;7500,"5.5-7.5K",J33&gt;=7500,"7.5K+")</f>
        <v>7.5K+</v>
      </c>
      <c r="U33">
        <f t="shared" si="0"/>
        <v>0</v>
      </c>
    </row>
    <row r="34" spans="1:21" x14ac:dyDescent="0.25">
      <c r="A34">
        <v>1147</v>
      </c>
      <c r="B34">
        <v>39</v>
      </c>
      <c r="C34" t="s">
        <v>16</v>
      </c>
      <c r="D34" t="s">
        <v>27</v>
      </c>
      <c r="E34" t="s">
        <v>31</v>
      </c>
      <c r="F34" t="s">
        <v>38</v>
      </c>
      <c r="G34" t="s">
        <v>33</v>
      </c>
      <c r="H34" t="s">
        <v>34</v>
      </c>
      <c r="I34">
        <v>5</v>
      </c>
      <c r="J34" s="2">
        <v>7873</v>
      </c>
      <c r="K34" t="s">
        <v>22</v>
      </c>
      <c r="L34">
        <v>2</v>
      </c>
      <c r="M34">
        <v>2</v>
      </c>
      <c r="N34">
        <v>6</v>
      </c>
      <c r="O34">
        <v>4</v>
      </c>
      <c r="P34">
        <v>7</v>
      </c>
      <c r="Q34" t="s">
        <v>22</v>
      </c>
      <c r="R34" t="str" cm="1">
        <f t="array" ref="R34">_xlfn.IFS(N34&lt;=1,"0-1 yrs",N34&lt;=4,"2-4 yrs",N34&lt;=9,"5-9 yrs",N34&gt;9,"10+ yrs")</f>
        <v>5-9 yrs</v>
      </c>
      <c r="S34" t="str" cm="1">
        <f t="array" ref="S34">_xlfn.IFS(B34&lt;=25,"20-25",B34&lt;=35,"26-35",B34&lt;=45,"36-45",B34&gt;45,"46+")</f>
        <v>36-45</v>
      </c>
      <c r="T34" t="str" cm="1">
        <f t="array" ref="T34">_xlfn.IFS(J34&lt;3500,"&lt;3.5K",J34&lt;5500,"3.5-5.5K",J34&lt;7500,"5.5-7.5K",J34&gt;=7500,"7.5K+")</f>
        <v>7.5K+</v>
      </c>
      <c r="U34">
        <f t="shared" si="0"/>
        <v>0</v>
      </c>
    </row>
    <row r="35" spans="1:21" x14ac:dyDescent="0.25">
      <c r="A35">
        <v>1964</v>
      </c>
      <c r="B35">
        <v>42</v>
      </c>
      <c r="C35" t="s">
        <v>16</v>
      </c>
      <c r="D35" t="s">
        <v>47</v>
      </c>
      <c r="E35" t="s">
        <v>48</v>
      </c>
      <c r="F35" t="s">
        <v>41</v>
      </c>
      <c r="G35" t="s">
        <v>20</v>
      </c>
      <c r="H35" t="s">
        <v>34</v>
      </c>
      <c r="I35">
        <v>16</v>
      </c>
      <c r="J35" s="2">
        <v>9194</v>
      </c>
      <c r="K35" t="s">
        <v>22</v>
      </c>
      <c r="L35">
        <v>2</v>
      </c>
      <c r="M35">
        <v>2</v>
      </c>
      <c r="N35">
        <v>10</v>
      </c>
      <c r="O35">
        <v>7</v>
      </c>
      <c r="P35">
        <v>19</v>
      </c>
      <c r="Q35" t="s">
        <v>22</v>
      </c>
      <c r="R35" t="str" cm="1">
        <f t="array" ref="R35">_xlfn.IFS(N35&lt;=1,"0-1 yrs",N35&lt;=4,"2-4 yrs",N35&lt;=9,"5-9 yrs",N35&gt;9,"10+ yrs")</f>
        <v>10+ yrs</v>
      </c>
      <c r="S35" t="str" cm="1">
        <f t="array" ref="S35">_xlfn.IFS(B35&lt;=25,"20-25",B35&lt;=35,"26-35",B35&lt;=45,"36-45",B35&gt;45,"46+")</f>
        <v>36-45</v>
      </c>
      <c r="T35" t="str" cm="1">
        <f t="array" ref="T35">_xlfn.IFS(J35&lt;3500,"&lt;3.5K",J35&lt;5500,"3.5-5.5K",J35&lt;7500,"5.5-7.5K",J35&gt;=7500,"7.5K+")</f>
        <v>7.5K+</v>
      </c>
      <c r="U35">
        <f t="shared" si="0"/>
        <v>0</v>
      </c>
    </row>
    <row r="36" spans="1:21" x14ac:dyDescent="0.25">
      <c r="A36">
        <v>1911</v>
      </c>
      <c r="B36">
        <v>36</v>
      </c>
      <c r="C36" t="s">
        <v>16</v>
      </c>
      <c r="D36" t="s">
        <v>24</v>
      </c>
      <c r="E36" t="s">
        <v>45</v>
      </c>
      <c r="F36" t="s">
        <v>38</v>
      </c>
      <c r="G36" t="s">
        <v>33</v>
      </c>
      <c r="H36" t="s">
        <v>21</v>
      </c>
      <c r="I36">
        <v>12</v>
      </c>
      <c r="J36" s="2">
        <v>3219</v>
      </c>
      <c r="K36" t="s">
        <v>22</v>
      </c>
      <c r="L36">
        <v>3</v>
      </c>
      <c r="M36">
        <v>2</v>
      </c>
      <c r="N36">
        <v>4</v>
      </c>
      <c r="O36">
        <v>3</v>
      </c>
      <c r="P36">
        <v>8</v>
      </c>
      <c r="Q36" t="s">
        <v>42</v>
      </c>
      <c r="R36" t="str" cm="1">
        <f t="array" ref="R36">_xlfn.IFS(N36&lt;=1,"0-1 yrs",N36&lt;=4,"2-4 yrs",N36&lt;=9,"5-9 yrs",N36&gt;9,"10+ yrs")</f>
        <v>2-4 yrs</v>
      </c>
      <c r="S36" t="str" cm="1">
        <f t="array" ref="S36">_xlfn.IFS(B36&lt;=25,"20-25",B36&lt;=35,"26-35",B36&lt;=45,"36-45",B36&gt;45,"46+")</f>
        <v>36-45</v>
      </c>
      <c r="T36" t="str" cm="1">
        <f t="array" ref="T36">_xlfn.IFS(J36&lt;3500,"&lt;3.5K",J36&lt;5500,"3.5-5.5K",J36&lt;7500,"5.5-7.5K",J36&gt;=7500,"7.5K+")</f>
        <v>&lt;3.5K</v>
      </c>
      <c r="U36">
        <f t="shared" si="0"/>
        <v>1</v>
      </c>
    </row>
    <row r="37" spans="1:21" x14ac:dyDescent="0.25">
      <c r="A37">
        <v>1687</v>
      </c>
      <c r="B37">
        <v>57</v>
      </c>
      <c r="C37" t="s">
        <v>16</v>
      </c>
      <c r="D37" t="s">
        <v>17</v>
      </c>
      <c r="E37" t="s">
        <v>18</v>
      </c>
      <c r="F37" t="s">
        <v>19</v>
      </c>
      <c r="G37" t="s">
        <v>33</v>
      </c>
      <c r="H37" t="s">
        <v>30</v>
      </c>
      <c r="I37">
        <v>5</v>
      </c>
      <c r="J37" s="2">
        <v>13092</v>
      </c>
      <c r="K37" t="s">
        <v>22</v>
      </c>
      <c r="L37">
        <v>1</v>
      </c>
      <c r="M37">
        <v>2</v>
      </c>
      <c r="N37">
        <v>23</v>
      </c>
      <c r="O37">
        <v>23</v>
      </c>
      <c r="P37">
        <v>29</v>
      </c>
      <c r="Q37" t="s">
        <v>22</v>
      </c>
      <c r="R37" t="str" cm="1">
        <f t="array" ref="R37">_xlfn.IFS(N37&lt;=1,"0-1 yrs",N37&lt;=4,"2-4 yrs",N37&lt;=9,"5-9 yrs",N37&gt;9,"10+ yrs")</f>
        <v>10+ yrs</v>
      </c>
      <c r="S37" t="str" cm="1">
        <f t="array" ref="S37">_xlfn.IFS(B37&lt;=25,"20-25",B37&lt;=35,"26-35",B37&lt;=45,"36-45",B37&gt;45,"46+")</f>
        <v>46+</v>
      </c>
      <c r="T37" t="str" cm="1">
        <f t="array" ref="T37">_xlfn.IFS(J37&lt;3500,"&lt;3.5K",J37&lt;5500,"3.5-5.5K",J37&lt;7500,"5.5-7.5K",J37&gt;=7500,"7.5K+")</f>
        <v>7.5K+</v>
      </c>
      <c r="U37">
        <f t="shared" si="0"/>
        <v>0</v>
      </c>
    </row>
    <row r="38" spans="1:21" x14ac:dyDescent="0.25">
      <c r="A38">
        <v>1049</v>
      </c>
      <c r="B38">
        <v>27</v>
      </c>
      <c r="C38" t="s">
        <v>23</v>
      </c>
      <c r="D38" t="s">
        <v>17</v>
      </c>
      <c r="E38" t="s">
        <v>35</v>
      </c>
      <c r="F38" t="s">
        <v>32</v>
      </c>
      <c r="G38" t="s">
        <v>33</v>
      </c>
      <c r="H38" t="s">
        <v>30</v>
      </c>
      <c r="I38">
        <v>10</v>
      </c>
      <c r="J38" s="2">
        <v>4826</v>
      </c>
      <c r="K38" t="s">
        <v>22</v>
      </c>
      <c r="L38">
        <v>2</v>
      </c>
      <c r="M38">
        <v>2</v>
      </c>
      <c r="N38">
        <v>0</v>
      </c>
      <c r="O38">
        <v>0</v>
      </c>
      <c r="P38">
        <v>5</v>
      </c>
      <c r="Q38" t="s">
        <v>42</v>
      </c>
      <c r="R38" t="str" cm="1">
        <f t="array" ref="R38">_xlfn.IFS(N38&lt;=1,"0-1 yrs",N38&lt;=4,"2-4 yrs",N38&lt;=9,"5-9 yrs",N38&gt;9,"10+ yrs")</f>
        <v>0-1 yrs</v>
      </c>
      <c r="S38" t="str" cm="1">
        <f t="array" ref="S38">_xlfn.IFS(B38&lt;=25,"20-25",B38&lt;=35,"26-35",B38&lt;=45,"36-45",B38&gt;45,"46+")</f>
        <v>26-35</v>
      </c>
      <c r="T38" t="str" cm="1">
        <f t="array" ref="T38">_xlfn.IFS(J38&lt;3500,"&lt;3.5K",J38&lt;5500,"3.5-5.5K",J38&lt;7500,"5.5-7.5K",J38&gt;=7500,"7.5K+")</f>
        <v>3.5-5.5K</v>
      </c>
      <c r="U38">
        <f t="shared" si="0"/>
        <v>1</v>
      </c>
    </row>
    <row r="39" spans="1:21" x14ac:dyDescent="0.25">
      <c r="A39">
        <v>1733</v>
      </c>
      <c r="B39">
        <v>49</v>
      </c>
      <c r="C39" t="s">
        <v>23</v>
      </c>
      <c r="D39" t="s">
        <v>27</v>
      </c>
      <c r="E39" t="s">
        <v>44</v>
      </c>
      <c r="F39" t="s">
        <v>19</v>
      </c>
      <c r="G39" t="s">
        <v>33</v>
      </c>
      <c r="H39" t="s">
        <v>30</v>
      </c>
      <c r="I39">
        <v>5</v>
      </c>
      <c r="J39" s="2">
        <v>11124</v>
      </c>
      <c r="K39" t="s">
        <v>42</v>
      </c>
      <c r="L39">
        <v>1</v>
      </c>
      <c r="M39">
        <v>4</v>
      </c>
      <c r="N39">
        <v>13</v>
      </c>
      <c r="O39">
        <v>7</v>
      </c>
      <c r="P39">
        <v>21</v>
      </c>
      <c r="Q39" t="s">
        <v>22</v>
      </c>
      <c r="R39" t="str" cm="1">
        <f t="array" ref="R39">_xlfn.IFS(N39&lt;=1,"0-1 yrs",N39&lt;=4,"2-4 yrs",N39&lt;=9,"5-9 yrs",N39&gt;9,"10+ yrs")</f>
        <v>10+ yrs</v>
      </c>
      <c r="S39" t="str" cm="1">
        <f t="array" ref="S39">_xlfn.IFS(B39&lt;=25,"20-25",B39&lt;=35,"26-35",B39&lt;=45,"36-45",B39&gt;45,"46+")</f>
        <v>46+</v>
      </c>
      <c r="T39" t="str" cm="1">
        <f t="array" ref="T39">_xlfn.IFS(J39&lt;3500,"&lt;3.5K",J39&lt;5500,"3.5-5.5K",J39&lt;7500,"5.5-7.5K",J39&gt;=7500,"7.5K+")</f>
        <v>7.5K+</v>
      </c>
      <c r="U39">
        <f t="shared" si="0"/>
        <v>0</v>
      </c>
    </row>
    <row r="40" spans="1:21" x14ac:dyDescent="0.25">
      <c r="A40">
        <v>1469</v>
      </c>
      <c r="B40">
        <v>52</v>
      </c>
      <c r="C40" t="s">
        <v>16</v>
      </c>
      <c r="D40" t="s">
        <v>17</v>
      </c>
      <c r="E40" t="s">
        <v>35</v>
      </c>
      <c r="F40" t="s">
        <v>26</v>
      </c>
      <c r="G40" t="s">
        <v>33</v>
      </c>
      <c r="H40" t="s">
        <v>30</v>
      </c>
      <c r="I40">
        <v>21</v>
      </c>
      <c r="J40" s="2">
        <v>8675</v>
      </c>
      <c r="K40" t="s">
        <v>42</v>
      </c>
      <c r="L40">
        <v>3</v>
      </c>
      <c r="M40">
        <v>4</v>
      </c>
      <c r="N40">
        <v>5</v>
      </c>
      <c r="O40">
        <v>4</v>
      </c>
      <c r="P40">
        <v>30</v>
      </c>
      <c r="Q40" t="s">
        <v>22</v>
      </c>
      <c r="R40" t="str" cm="1">
        <f t="array" ref="R40">_xlfn.IFS(N40&lt;=1,"0-1 yrs",N40&lt;=4,"2-4 yrs",N40&lt;=9,"5-9 yrs",N40&gt;9,"10+ yrs")</f>
        <v>5-9 yrs</v>
      </c>
      <c r="S40" t="str" cm="1">
        <f t="array" ref="S40">_xlfn.IFS(B40&lt;=25,"20-25",B40&lt;=35,"26-35",B40&lt;=45,"36-45",B40&gt;45,"46+")</f>
        <v>46+</v>
      </c>
      <c r="T40" t="str" cm="1">
        <f t="array" ref="T40">_xlfn.IFS(J40&lt;3500,"&lt;3.5K",J40&lt;5500,"3.5-5.5K",J40&lt;7500,"5.5-7.5K",J40&gt;=7500,"7.5K+")</f>
        <v>7.5K+</v>
      </c>
      <c r="U40">
        <f t="shared" si="0"/>
        <v>0</v>
      </c>
    </row>
    <row r="41" spans="1:21" x14ac:dyDescent="0.25">
      <c r="A41">
        <v>1375</v>
      </c>
      <c r="B41">
        <v>27</v>
      </c>
      <c r="C41" t="s">
        <v>23</v>
      </c>
      <c r="D41" t="s">
        <v>24</v>
      </c>
      <c r="E41" t="s">
        <v>46</v>
      </c>
      <c r="F41" t="s">
        <v>41</v>
      </c>
      <c r="G41" t="s">
        <v>33</v>
      </c>
      <c r="H41" t="s">
        <v>30</v>
      </c>
      <c r="I41">
        <v>22</v>
      </c>
      <c r="J41" s="2">
        <v>4603</v>
      </c>
      <c r="K41" t="s">
        <v>22</v>
      </c>
      <c r="L41">
        <v>2</v>
      </c>
      <c r="M41">
        <v>3</v>
      </c>
      <c r="N41">
        <v>0</v>
      </c>
      <c r="O41">
        <v>0</v>
      </c>
      <c r="P41">
        <v>1</v>
      </c>
      <c r="Q41" t="s">
        <v>22</v>
      </c>
      <c r="R41" t="str" cm="1">
        <f t="array" ref="R41">_xlfn.IFS(N41&lt;=1,"0-1 yrs",N41&lt;=4,"2-4 yrs",N41&lt;=9,"5-9 yrs",N41&gt;9,"10+ yrs")</f>
        <v>0-1 yrs</v>
      </c>
      <c r="S41" t="str" cm="1">
        <f t="array" ref="S41">_xlfn.IFS(B41&lt;=25,"20-25",B41&lt;=35,"26-35",B41&lt;=45,"36-45",B41&gt;45,"46+")</f>
        <v>26-35</v>
      </c>
      <c r="T41" t="str" cm="1">
        <f t="array" ref="T41">_xlfn.IFS(J41&lt;3500,"&lt;3.5K",J41&lt;5500,"3.5-5.5K",J41&lt;7500,"5.5-7.5K",J41&gt;=7500,"7.5K+")</f>
        <v>3.5-5.5K</v>
      </c>
      <c r="U41">
        <f t="shared" si="0"/>
        <v>0</v>
      </c>
    </row>
    <row r="42" spans="1:21" x14ac:dyDescent="0.25">
      <c r="A42">
        <v>1036</v>
      </c>
      <c r="B42">
        <v>41</v>
      </c>
      <c r="C42" t="s">
        <v>16</v>
      </c>
      <c r="D42" t="s">
        <v>17</v>
      </c>
      <c r="E42" t="s">
        <v>35</v>
      </c>
      <c r="F42" t="s">
        <v>41</v>
      </c>
      <c r="G42" t="s">
        <v>20</v>
      </c>
      <c r="H42" t="s">
        <v>30</v>
      </c>
      <c r="I42">
        <v>12</v>
      </c>
      <c r="J42" s="2">
        <v>6976</v>
      </c>
      <c r="K42" t="s">
        <v>22</v>
      </c>
      <c r="L42">
        <v>1</v>
      </c>
      <c r="M42">
        <v>4</v>
      </c>
      <c r="N42">
        <v>3</v>
      </c>
      <c r="O42">
        <v>3</v>
      </c>
      <c r="P42">
        <v>12</v>
      </c>
      <c r="Q42" t="s">
        <v>22</v>
      </c>
      <c r="R42" t="str" cm="1">
        <f t="array" ref="R42">_xlfn.IFS(N42&lt;=1,"0-1 yrs",N42&lt;=4,"2-4 yrs",N42&lt;=9,"5-9 yrs",N42&gt;9,"10+ yrs")</f>
        <v>2-4 yrs</v>
      </c>
      <c r="S42" t="str" cm="1">
        <f t="array" ref="S42">_xlfn.IFS(B42&lt;=25,"20-25",B42&lt;=35,"26-35",B42&lt;=45,"36-45",B42&gt;45,"46+")</f>
        <v>36-45</v>
      </c>
      <c r="T42" t="str" cm="1">
        <f t="array" ref="T42">_xlfn.IFS(J42&lt;3500,"&lt;3.5K",J42&lt;5500,"3.5-5.5K",J42&lt;7500,"5.5-7.5K",J42&gt;=7500,"7.5K+")</f>
        <v>5.5-7.5K</v>
      </c>
      <c r="U42">
        <f t="shared" si="0"/>
        <v>0</v>
      </c>
    </row>
    <row r="43" spans="1:21" x14ac:dyDescent="0.25">
      <c r="A43">
        <v>1757</v>
      </c>
      <c r="B43">
        <v>55</v>
      </c>
      <c r="C43" t="s">
        <v>16</v>
      </c>
      <c r="D43" t="s">
        <v>27</v>
      </c>
      <c r="E43" t="s">
        <v>44</v>
      </c>
      <c r="F43" t="s">
        <v>29</v>
      </c>
      <c r="G43" t="s">
        <v>20</v>
      </c>
      <c r="H43" t="s">
        <v>21</v>
      </c>
      <c r="I43">
        <v>14</v>
      </c>
      <c r="J43" s="2">
        <v>13285</v>
      </c>
      <c r="K43" t="s">
        <v>22</v>
      </c>
      <c r="L43">
        <v>1</v>
      </c>
      <c r="M43">
        <v>1</v>
      </c>
      <c r="N43">
        <v>16</v>
      </c>
      <c r="O43">
        <v>8</v>
      </c>
      <c r="P43">
        <v>29</v>
      </c>
      <c r="Q43" t="s">
        <v>22</v>
      </c>
      <c r="R43" t="str" cm="1">
        <f t="array" ref="R43">_xlfn.IFS(N43&lt;=1,"0-1 yrs",N43&lt;=4,"2-4 yrs",N43&lt;=9,"5-9 yrs",N43&gt;9,"10+ yrs")</f>
        <v>10+ yrs</v>
      </c>
      <c r="S43" t="str" cm="1">
        <f t="array" ref="S43">_xlfn.IFS(B43&lt;=25,"20-25",B43&lt;=35,"26-35",B43&lt;=45,"36-45",B43&gt;45,"46+")</f>
        <v>46+</v>
      </c>
      <c r="T43" t="str" cm="1">
        <f t="array" ref="T43">_xlfn.IFS(J43&lt;3500,"&lt;3.5K",J43&lt;5500,"3.5-5.5K",J43&lt;7500,"5.5-7.5K",J43&gt;=7500,"7.5K+")</f>
        <v>7.5K+</v>
      </c>
      <c r="U43">
        <f t="shared" si="0"/>
        <v>0</v>
      </c>
    </row>
    <row r="44" spans="1:21" x14ac:dyDescent="0.25">
      <c r="A44">
        <v>1229</v>
      </c>
      <c r="B44">
        <v>31</v>
      </c>
      <c r="C44" t="s">
        <v>23</v>
      </c>
      <c r="D44" t="s">
        <v>38</v>
      </c>
      <c r="E44" t="s">
        <v>49</v>
      </c>
      <c r="F44" t="s">
        <v>29</v>
      </c>
      <c r="G44" t="s">
        <v>33</v>
      </c>
      <c r="H44" t="s">
        <v>34</v>
      </c>
      <c r="I44">
        <v>8</v>
      </c>
      <c r="J44" s="2">
        <v>9834</v>
      </c>
      <c r="K44" t="s">
        <v>22</v>
      </c>
      <c r="L44">
        <v>3</v>
      </c>
      <c r="M44">
        <v>4</v>
      </c>
      <c r="N44">
        <v>1</v>
      </c>
      <c r="O44">
        <v>1</v>
      </c>
      <c r="P44">
        <v>3</v>
      </c>
      <c r="Q44" t="s">
        <v>22</v>
      </c>
      <c r="R44" t="str" cm="1">
        <f t="array" ref="R44">_xlfn.IFS(N44&lt;=1,"0-1 yrs",N44&lt;=4,"2-4 yrs",N44&lt;=9,"5-9 yrs",N44&gt;9,"10+ yrs")</f>
        <v>0-1 yrs</v>
      </c>
      <c r="S44" t="str" cm="1">
        <f t="array" ref="S44">_xlfn.IFS(B44&lt;=25,"20-25",B44&lt;=35,"26-35",B44&lt;=45,"36-45",B44&gt;45,"46+")</f>
        <v>26-35</v>
      </c>
      <c r="T44" t="str" cm="1">
        <f t="array" ref="T44">_xlfn.IFS(J44&lt;3500,"&lt;3.5K",J44&lt;5500,"3.5-5.5K",J44&lt;7500,"5.5-7.5K",J44&gt;=7500,"7.5K+")</f>
        <v>7.5K+</v>
      </c>
      <c r="U44">
        <f t="shared" si="0"/>
        <v>0</v>
      </c>
    </row>
    <row r="45" spans="1:21" x14ac:dyDescent="0.25">
      <c r="A45">
        <v>1540</v>
      </c>
      <c r="B45">
        <v>55</v>
      </c>
      <c r="C45" t="s">
        <v>16</v>
      </c>
      <c r="D45" t="s">
        <v>27</v>
      </c>
      <c r="E45" t="s">
        <v>43</v>
      </c>
      <c r="F45" t="s">
        <v>32</v>
      </c>
      <c r="G45" t="s">
        <v>37</v>
      </c>
      <c r="H45" t="s">
        <v>21</v>
      </c>
      <c r="I45">
        <v>23</v>
      </c>
      <c r="J45" s="2">
        <v>12378</v>
      </c>
      <c r="K45" t="s">
        <v>22</v>
      </c>
      <c r="L45">
        <v>3</v>
      </c>
      <c r="M45">
        <v>3</v>
      </c>
      <c r="N45">
        <v>6</v>
      </c>
      <c r="O45">
        <v>4</v>
      </c>
      <c r="P45">
        <v>35</v>
      </c>
      <c r="Q45" t="s">
        <v>22</v>
      </c>
      <c r="R45" t="str" cm="1">
        <f t="array" ref="R45">_xlfn.IFS(N45&lt;=1,"0-1 yrs",N45&lt;=4,"2-4 yrs",N45&lt;=9,"5-9 yrs",N45&gt;9,"10+ yrs")</f>
        <v>5-9 yrs</v>
      </c>
      <c r="S45" t="str" cm="1">
        <f t="array" ref="S45">_xlfn.IFS(B45&lt;=25,"20-25",B45&lt;=35,"26-35",B45&lt;=45,"36-45",B45&gt;45,"46+")</f>
        <v>46+</v>
      </c>
      <c r="T45" t="str" cm="1">
        <f t="array" ref="T45">_xlfn.IFS(J45&lt;3500,"&lt;3.5K",J45&lt;5500,"3.5-5.5K",J45&lt;7500,"5.5-7.5K",J45&gt;=7500,"7.5K+")</f>
        <v>7.5K+</v>
      </c>
      <c r="U45">
        <f t="shared" si="0"/>
        <v>0</v>
      </c>
    </row>
    <row r="46" spans="1:21" x14ac:dyDescent="0.25">
      <c r="A46">
        <v>1893</v>
      </c>
      <c r="B46">
        <v>54</v>
      </c>
      <c r="C46" t="s">
        <v>16</v>
      </c>
      <c r="D46" t="s">
        <v>27</v>
      </c>
      <c r="E46" t="s">
        <v>31</v>
      </c>
      <c r="F46" t="s">
        <v>29</v>
      </c>
      <c r="G46" t="s">
        <v>33</v>
      </c>
      <c r="H46" t="s">
        <v>30</v>
      </c>
      <c r="I46">
        <v>21</v>
      </c>
      <c r="J46" s="2">
        <v>11729</v>
      </c>
      <c r="K46" t="s">
        <v>22</v>
      </c>
      <c r="L46">
        <v>2</v>
      </c>
      <c r="M46">
        <v>1</v>
      </c>
      <c r="N46">
        <v>16</v>
      </c>
      <c r="O46">
        <v>5</v>
      </c>
      <c r="P46">
        <v>27</v>
      </c>
      <c r="Q46" t="s">
        <v>22</v>
      </c>
      <c r="R46" t="str" cm="1">
        <f t="array" ref="R46">_xlfn.IFS(N46&lt;=1,"0-1 yrs",N46&lt;=4,"2-4 yrs",N46&lt;=9,"5-9 yrs",N46&gt;9,"10+ yrs")</f>
        <v>10+ yrs</v>
      </c>
      <c r="S46" t="str" cm="1">
        <f t="array" ref="S46">_xlfn.IFS(B46&lt;=25,"20-25",B46&lt;=35,"26-35",B46&lt;=45,"36-45",B46&gt;45,"46+")</f>
        <v>46+</v>
      </c>
      <c r="T46" t="str" cm="1">
        <f t="array" ref="T46">_xlfn.IFS(J46&lt;3500,"&lt;3.5K",J46&lt;5500,"3.5-5.5K",J46&lt;7500,"5.5-7.5K",J46&gt;=7500,"7.5K+")</f>
        <v>7.5K+</v>
      </c>
      <c r="U46">
        <f t="shared" si="0"/>
        <v>0</v>
      </c>
    </row>
    <row r="47" spans="1:21" x14ac:dyDescent="0.25">
      <c r="A47">
        <v>1016</v>
      </c>
      <c r="B47">
        <v>48</v>
      </c>
      <c r="C47" t="s">
        <v>23</v>
      </c>
      <c r="D47" t="s">
        <v>17</v>
      </c>
      <c r="E47" t="s">
        <v>40</v>
      </c>
      <c r="F47" t="s">
        <v>26</v>
      </c>
      <c r="G47" t="s">
        <v>20</v>
      </c>
      <c r="H47" t="s">
        <v>34</v>
      </c>
      <c r="I47">
        <v>16</v>
      </c>
      <c r="J47" s="2">
        <v>7485</v>
      </c>
      <c r="K47" t="s">
        <v>42</v>
      </c>
      <c r="L47">
        <v>1</v>
      </c>
      <c r="M47">
        <v>2</v>
      </c>
      <c r="N47">
        <v>3</v>
      </c>
      <c r="O47">
        <v>0</v>
      </c>
      <c r="P47">
        <v>27</v>
      </c>
      <c r="Q47" t="s">
        <v>22</v>
      </c>
      <c r="R47" t="str" cm="1">
        <f t="array" ref="R47">_xlfn.IFS(N47&lt;=1,"0-1 yrs",N47&lt;=4,"2-4 yrs",N47&lt;=9,"5-9 yrs",N47&gt;9,"10+ yrs")</f>
        <v>2-4 yrs</v>
      </c>
      <c r="S47" t="str" cm="1">
        <f t="array" ref="S47">_xlfn.IFS(B47&lt;=25,"20-25",B47&lt;=35,"26-35",B47&lt;=45,"36-45",B47&gt;45,"46+")</f>
        <v>46+</v>
      </c>
      <c r="T47" t="str" cm="1">
        <f t="array" ref="T47">_xlfn.IFS(J47&lt;3500,"&lt;3.5K",J47&lt;5500,"3.5-5.5K",J47&lt;7500,"5.5-7.5K",J47&gt;=7500,"7.5K+")</f>
        <v>5.5-7.5K</v>
      </c>
      <c r="U47">
        <f t="shared" si="0"/>
        <v>0</v>
      </c>
    </row>
    <row r="48" spans="1:21" x14ac:dyDescent="0.25">
      <c r="A48">
        <v>1669</v>
      </c>
      <c r="B48">
        <v>24</v>
      </c>
      <c r="C48" t="s">
        <v>23</v>
      </c>
      <c r="D48" t="s">
        <v>17</v>
      </c>
      <c r="E48" t="s">
        <v>40</v>
      </c>
      <c r="F48" t="s">
        <v>41</v>
      </c>
      <c r="G48" t="s">
        <v>20</v>
      </c>
      <c r="H48" t="s">
        <v>30</v>
      </c>
      <c r="I48">
        <v>23</v>
      </c>
      <c r="J48" s="2">
        <v>6126</v>
      </c>
      <c r="K48" t="s">
        <v>22</v>
      </c>
      <c r="L48">
        <v>4</v>
      </c>
      <c r="M48">
        <v>2</v>
      </c>
      <c r="N48">
        <v>3</v>
      </c>
      <c r="O48">
        <v>1</v>
      </c>
      <c r="P48">
        <v>4</v>
      </c>
      <c r="Q48" t="s">
        <v>22</v>
      </c>
      <c r="R48" t="str" cm="1">
        <f t="array" ref="R48">_xlfn.IFS(N48&lt;=1,"0-1 yrs",N48&lt;=4,"2-4 yrs",N48&lt;=9,"5-9 yrs",N48&gt;9,"10+ yrs")</f>
        <v>2-4 yrs</v>
      </c>
      <c r="S48" t="str" cm="1">
        <f t="array" ref="S48">_xlfn.IFS(B48&lt;=25,"20-25",B48&lt;=35,"26-35",B48&lt;=45,"36-45",B48&gt;45,"46+")</f>
        <v>20-25</v>
      </c>
      <c r="T48" t="str" cm="1">
        <f t="array" ref="T48">_xlfn.IFS(J48&lt;3500,"&lt;3.5K",J48&lt;5500,"3.5-5.5K",J48&lt;7500,"5.5-7.5K",J48&gt;=7500,"7.5K+")</f>
        <v>5.5-7.5K</v>
      </c>
      <c r="U48">
        <f t="shared" si="0"/>
        <v>0</v>
      </c>
    </row>
    <row r="49" spans="1:21" x14ac:dyDescent="0.25">
      <c r="A49">
        <v>1532</v>
      </c>
      <c r="B49">
        <v>52</v>
      </c>
      <c r="C49" t="s">
        <v>23</v>
      </c>
      <c r="D49" t="s">
        <v>17</v>
      </c>
      <c r="E49" t="s">
        <v>35</v>
      </c>
      <c r="F49" t="s">
        <v>29</v>
      </c>
      <c r="G49" t="s">
        <v>20</v>
      </c>
      <c r="H49" t="s">
        <v>34</v>
      </c>
      <c r="I49">
        <v>23</v>
      </c>
      <c r="J49" s="2">
        <v>10172</v>
      </c>
      <c r="K49" t="s">
        <v>42</v>
      </c>
      <c r="L49">
        <v>3</v>
      </c>
      <c r="M49">
        <v>2</v>
      </c>
      <c r="N49">
        <v>17</v>
      </c>
      <c r="O49">
        <v>5</v>
      </c>
      <c r="P49">
        <v>30</v>
      </c>
      <c r="Q49" t="s">
        <v>22</v>
      </c>
      <c r="R49" t="str" cm="1">
        <f t="array" ref="R49">_xlfn.IFS(N49&lt;=1,"0-1 yrs",N49&lt;=4,"2-4 yrs",N49&lt;=9,"5-9 yrs",N49&gt;9,"10+ yrs")</f>
        <v>10+ yrs</v>
      </c>
      <c r="S49" t="str" cm="1">
        <f t="array" ref="S49">_xlfn.IFS(B49&lt;=25,"20-25",B49&lt;=35,"26-35",B49&lt;=45,"36-45",B49&gt;45,"46+")</f>
        <v>46+</v>
      </c>
      <c r="T49" t="str" cm="1">
        <f t="array" ref="T49">_xlfn.IFS(J49&lt;3500,"&lt;3.5K",J49&lt;5500,"3.5-5.5K",J49&lt;7500,"5.5-7.5K",J49&gt;=7500,"7.5K+")</f>
        <v>7.5K+</v>
      </c>
      <c r="U49">
        <f t="shared" si="0"/>
        <v>0</v>
      </c>
    </row>
    <row r="50" spans="1:21" x14ac:dyDescent="0.25">
      <c r="A50">
        <v>1045</v>
      </c>
      <c r="B50">
        <v>55</v>
      </c>
      <c r="C50" t="s">
        <v>16</v>
      </c>
      <c r="D50" t="s">
        <v>24</v>
      </c>
      <c r="E50" t="s">
        <v>25</v>
      </c>
      <c r="F50" t="s">
        <v>41</v>
      </c>
      <c r="G50" t="s">
        <v>33</v>
      </c>
      <c r="H50" t="s">
        <v>34</v>
      </c>
      <c r="I50">
        <v>21</v>
      </c>
      <c r="J50" s="2">
        <v>15617</v>
      </c>
      <c r="K50" t="s">
        <v>22</v>
      </c>
      <c r="L50">
        <v>4</v>
      </c>
      <c r="M50">
        <v>2</v>
      </c>
      <c r="N50">
        <v>2</v>
      </c>
      <c r="O50">
        <v>0</v>
      </c>
      <c r="P50">
        <v>35</v>
      </c>
      <c r="Q50" t="s">
        <v>22</v>
      </c>
      <c r="R50" t="str" cm="1">
        <f t="array" ref="R50">_xlfn.IFS(N50&lt;=1,"0-1 yrs",N50&lt;=4,"2-4 yrs",N50&lt;=9,"5-9 yrs",N50&gt;9,"10+ yrs")</f>
        <v>2-4 yrs</v>
      </c>
      <c r="S50" t="str" cm="1">
        <f t="array" ref="S50">_xlfn.IFS(B50&lt;=25,"20-25",B50&lt;=35,"26-35",B50&lt;=45,"36-45",B50&gt;45,"46+")</f>
        <v>46+</v>
      </c>
      <c r="T50" t="str" cm="1">
        <f t="array" ref="T50">_xlfn.IFS(J50&lt;3500,"&lt;3.5K",J50&lt;5500,"3.5-5.5K",J50&lt;7500,"5.5-7.5K",J50&gt;=7500,"7.5K+")</f>
        <v>7.5K+</v>
      </c>
      <c r="U50">
        <f t="shared" si="0"/>
        <v>0</v>
      </c>
    </row>
    <row r="51" spans="1:21" x14ac:dyDescent="0.25">
      <c r="A51">
        <v>1304</v>
      </c>
      <c r="B51">
        <v>60</v>
      </c>
      <c r="C51" t="s">
        <v>16</v>
      </c>
      <c r="D51" t="s">
        <v>17</v>
      </c>
      <c r="E51" t="s">
        <v>35</v>
      </c>
      <c r="F51" t="s">
        <v>36</v>
      </c>
      <c r="G51" t="s">
        <v>37</v>
      </c>
      <c r="H51" t="s">
        <v>21</v>
      </c>
      <c r="I51">
        <v>12</v>
      </c>
      <c r="J51" s="2">
        <v>12060</v>
      </c>
      <c r="K51" t="s">
        <v>42</v>
      </c>
      <c r="L51">
        <v>1</v>
      </c>
      <c r="M51">
        <v>1</v>
      </c>
      <c r="N51">
        <v>4</v>
      </c>
      <c r="O51">
        <v>3</v>
      </c>
      <c r="P51">
        <v>38</v>
      </c>
      <c r="Q51" t="s">
        <v>42</v>
      </c>
      <c r="R51" t="str" cm="1">
        <f t="array" ref="R51">_xlfn.IFS(N51&lt;=1,"0-1 yrs",N51&lt;=4,"2-4 yrs",N51&lt;=9,"5-9 yrs",N51&gt;9,"10+ yrs")</f>
        <v>2-4 yrs</v>
      </c>
      <c r="S51" t="str" cm="1">
        <f t="array" ref="S51">_xlfn.IFS(B51&lt;=25,"20-25",B51&lt;=35,"26-35",B51&lt;=45,"36-45",B51&gt;45,"46+")</f>
        <v>46+</v>
      </c>
      <c r="T51" t="str" cm="1">
        <f t="array" ref="T51">_xlfn.IFS(J51&lt;3500,"&lt;3.5K",J51&lt;5500,"3.5-5.5K",J51&lt;7500,"5.5-7.5K",J51&gt;=7500,"7.5K+")</f>
        <v>7.5K+</v>
      </c>
      <c r="U51">
        <f t="shared" si="0"/>
        <v>1</v>
      </c>
    </row>
    <row r="52" spans="1:21" x14ac:dyDescent="0.25">
      <c r="A52">
        <v>1539</v>
      </c>
      <c r="B52">
        <v>37</v>
      </c>
      <c r="C52" t="s">
        <v>23</v>
      </c>
      <c r="D52" t="s">
        <v>47</v>
      </c>
      <c r="E52" t="s">
        <v>50</v>
      </c>
      <c r="F52" t="s">
        <v>19</v>
      </c>
      <c r="G52" t="s">
        <v>33</v>
      </c>
      <c r="H52" t="s">
        <v>21</v>
      </c>
      <c r="I52">
        <v>18</v>
      </c>
      <c r="J52" s="2">
        <v>5255</v>
      </c>
      <c r="K52" t="s">
        <v>42</v>
      </c>
      <c r="L52">
        <v>3</v>
      </c>
      <c r="M52">
        <v>1</v>
      </c>
      <c r="N52">
        <v>3</v>
      </c>
      <c r="O52">
        <v>2</v>
      </c>
      <c r="P52">
        <v>5</v>
      </c>
      <c r="Q52" t="s">
        <v>22</v>
      </c>
      <c r="R52" t="str" cm="1">
        <f t="array" ref="R52">_xlfn.IFS(N52&lt;=1,"0-1 yrs",N52&lt;=4,"2-4 yrs",N52&lt;=9,"5-9 yrs",N52&gt;9,"10+ yrs")</f>
        <v>2-4 yrs</v>
      </c>
      <c r="S52" t="str" cm="1">
        <f t="array" ref="S52">_xlfn.IFS(B52&lt;=25,"20-25",B52&lt;=35,"26-35",B52&lt;=45,"36-45",B52&gt;45,"46+")</f>
        <v>36-45</v>
      </c>
      <c r="T52" t="str" cm="1">
        <f t="array" ref="T52">_xlfn.IFS(J52&lt;3500,"&lt;3.5K",J52&lt;5500,"3.5-5.5K",J52&lt;7500,"5.5-7.5K",J52&gt;=7500,"7.5K+")</f>
        <v>3.5-5.5K</v>
      </c>
      <c r="U52">
        <f t="shared" si="0"/>
        <v>0</v>
      </c>
    </row>
    <row r="53" spans="1:21" x14ac:dyDescent="0.25">
      <c r="A53">
        <v>1306</v>
      </c>
      <c r="B53">
        <v>52</v>
      </c>
      <c r="C53" t="s">
        <v>23</v>
      </c>
      <c r="D53" t="s">
        <v>17</v>
      </c>
      <c r="E53" t="s">
        <v>18</v>
      </c>
      <c r="F53" t="s">
        <v>19</v>
      </c>
      <c r="G53" t="s">
        <v>20</v>
      </c>
      <c r="H53" t="s">
        <v>21</v>
      </c>
      <c r="I53">
        <v>6</v>
      </c>
      <c r="J53" s="2">
        <v>12919</v>
      </c>
      <c r="K53" t="s">
        <v>22</v>
      </c>
      <c r="L53">
        <v>3</v>
      </c>
      <c r="M53">
        <v>2</v>
      </c>
      <c r="N53">
        <v>5</v>
      </c>
      <c r="O53">
        <v>5</v>
      </c>
      <c r="P53">
        <v>24</v>
      </c>
      <c r="Q53" t="s">
        <v>42</v>
      </c>
      <c r="R53" t="str" cm="1">
        <f t="array" ref="R53">_xlfn.IFS(N53&lt;=1,"0-1 yrs",N53&lt;=4,"2-4 yrs",N53&lt;=9,"5-9 yrs",N53&gt;9,"10+ yrs")</f>
        <v>5-9 yrs</v>
      </c>
      <c r="S53" t="str" cm="1">
        <f t="array" ref="S53">_xlfn.IFS(B53&lt;=25,"20-25",B53&lt;=35,"26-35",B53&lt;=45,"36-45",B53&gt;45,"46+")</f>
        <v>46+</v>
      </c>
      <c r="T53" t="str" cm="1">
        <f t="array" ref="T53">_xlfn.IFS(J53&lt;3500,"&lt;3.5K",J53&lt;5500,"3.5-5.5K",J53&lt;7500,"5.5-7.5K",J53&gt;=7500,"7.5K+")</f>
        <v>7.5K+</v>
      </c>
      <c r="U53">
        <f t="shared" si="0"/>
        <v>1</v>
      </c>
    </row>
    <row r="54" spans="1:21" x14ac:dyDescent="0.25">
      <c r="A54">
        <v>1416</v>
      </c>
      <c r="B54">
        <v>47</v>
      </c>
      <c r="C54" t="s">
        <v>23</v>
      </c>
      <c r="D54" t="s">
        <v>17</v>
      </c>
      <c r="E54" t="s">
        <v>40</v>
      </c>
      <c r="F54" t="s">
        <v>36</v>
      </c>
      <c r="G54" t="s">
        <v>37</v>
      </c>
      <c r="H54" t="s">
        <v>34</v>
      </c>
      <c r="I54">
        <v>26</v>
      </c>
      <c r="J54" s="2">
        <v>10710</v>
      </c>
      <c r="K54" t="s">
        <v>22</v>
      </c>
      <c r="L54">
        <v>2</v>
      </c>
      <c r="M54">
        <v>3</v>
      </c>
      <c r="N54">
        <v>12</v>
      </c>
      <c r="O54">
        <v>5</v>
      </c>
      <c r="P54">
        <v>18</v>
      </c>
      <c r="Q54" t="s">
        <v>22</v>
      </c>
      <c r="R54" t="str" cm="1">
        <f t="array" ref="R54">_xlfn.IFS(N54&lt;=1,"0-1 yrs",N54&lt;=4,"2-4 yrs",N54&lt;=9,"5-9 yrs",N54&gt;9,"10+ yrs")</f>
        <v>10+ yrs</v>
      </c>
      <c r="S54" t="str" cm="1">
        <f t="array" ref="S54">_xlfn.IFS(B54&lt;=25,"20-25",B54&lt;=35,"26-35",B54&lt;=45,"36-45",B54&gt;45,"46+")</f>
        <v>46+</v>
      </c>
      <c r="T54" t="str" cm="1">
        <f t="array" ref="T54">_xlfn.IFS(J54&lt;3500,"&lt;3.5K",J54&lt;5500,"3.5-5.5K",J54&lt;7500,"5.5-7.5K",J54&gt;=7500,"7.5K+")</f>
        <v>7.5K+</v>
      </c>
      <c r="U54">
        <f t="shared" si="0"/>
        <v>0</v>
      </c>
    </row>
    <row r="55" spans="1:21" x14ac:dyDescent="0.25">
      <c r="A55">
        <v>1047</v>
      </c>
      <c r="B55">
        <v>54</v>
      </c>
      <c r="C55" t="s">
        <v>16</v>
      </c>
      <c r="D55" t="s">
        <v>17</v>
      </c>
      <c r="E55" t="s">
        <v>40</v>
      </c>
      <c r="F55" t="s">
        <v>32</v>
      </c>
      <c r="G55" t="s">
        <v>20</v>
      </c>
      <c r="H55" t="s">
        <v>34</v>
      </c>
      <c r="I55">
        <v>27</v>
      </c>
      <c r="J55" s="2">
        <v>10668</v>
      </c>
      <c r="K55" t="s">
        <v>22</v>
      </c>
      <c r="L55">
        <v>3</v>
      </c>
      <c r="M55">
        <v>3</v>
      </c>
      <c r="N55">
        <v>6</v>
      </c>
      <c r="O55">
        <v>1</v>
      </c>
      <c r="P55">
        <v>34</v>
      </c>
      <c r="Q55" t="s">
        <v>22</v>
      </c>
      <c r="R55" t="str" cm="1">
        <f t="array" ref="R55">_xlfn.IFS(N55&lt;=1,"0-1 yrs",N55&lt;=4,"2-4 yrs",N55&lt;=9,"5-9 yrs",N55&gt;9,"10+ yrs")</f>
        <v>5-9 yrs</v>
      </c>
      <c r="S55" t="str" cm="1">
        <f t="array" ref="S55">_xlfn.IFS(B55&lt;=25,"20-25",B55&lt;=35,"26-35",B55&lt;=45,"36-45",B55&gt;45,"46+")</f>
        <v>46+</v>
      </c>
      <c r="T55" t="str" cm="1">
        <f t="array" ref="T55">_xlfn.IFS(J55&lt;3500,"&lt;3.5K",J55&lt;5500,"3.5-5.5K",J55&lt;7500,"5.5-7.5K",J55&gt;=7500,"7.5K+")</f>
        <v>7.5K+</v>
      </c>
      <c r="U55">
        <f t="shared" si="0"/>
        <v>0</v>
      </c>
    </row>
    <row r="56" spans="1:21" x14ac:dyDescent="0.25">
      <c r="A56">
        <v>1865</v>
      </c>
      <c r="B56">
        <v>42</v>
      </c>
      <c r="C56" t="s">
        <v>16</v>
      </c>
      <c r="D56" t="s">
        <v>17</v>
      </c>
      <c r="E56" t="s">
        <v>35</v>
      </c>
      <c r="F56" t="s">
        <v>41</v>
      </c>
      <c r="G56" t="s">
        <v>20</v>
      </c>
      <c r="H56" t="s">
        <v>30</v>
      </c>
      <c r="I56">
        <v>13</v>
      </c>
      <c r="J56" s="2">
        <v>7729</v>
      </c>
      <c r="K56" t="s">
        <v>22</v>
      </c>
      <c r="L56">
        <v>4</v>
      </c>
      <c r="M56">
        <v>1</v>
      </c>
      <c r="N56">
        <v>9</v>
      </c>
      <c r="O56">
        <v>6</v>
      </c>
      <c r="P56">
        <v>20</v>
      </c>
      <c r="Q56" t="s">
        <v>42</v>
      </c>
      <c r="R56" t="str" cm="1">
        <f t="array" ref="R56">_xlfn.IFS(N56&lt;=1,"0-1 yrs",N56&lt;=4,"2-4 yrs",N56&lt;=9,"5-9 yrs",N56&gt;9,"10+ yrs")</f>
        <v>5-9 yrs</v>
      </c>
      <c r="S56" t="str" cm="1">
        <f t="array" ref="S56">_xlfn.IFS(B56&lt;=25,"20-25",B56&lt;=35,"26-35",B56&lt;=45,"36-45",B56&gt;45,"46+")</f>
        <v>36-45</v>
      </c>
      <c r="T56" t="str" cm="1">
        <f t="array" ref="T56">_xlfn.IFS(J56&lt;3500,"&lt;3.5K",J56&lt;5500,"3.5-5.5K",J56&lt;7500,"5.5-7.5K",J56&gt;=7500,"7.5K+")</f>
        <v>7.5K+</v>
      </c>
      <c r="U56">
        <f t="shared" si="0"/>
        <v>1</v>
      </c>
    </row>
    <row r="57" spans="1:21" x14ac:dyDescent="0.25">
      <c r="A57">
        <v>1877</v>
      </c>
      <c r="B57">
        <v>42</v>
      </c>
      <c r="C57" t="s">
        <v>16</v>
      </c>
      <c r="D57" t="s">
        <v>47</v>
      </c>
      <c r="E57" t="s">
        <v>48</v>
      </c>
      <c r="F57" t="s">
        <v>41</v>
      </c>
      <c r="G57" t="s">
        <v>33</v>
      </c>
      <c r="H57" t="s">
        <v>21</v>
      </c>
      <c r="I57">
        <v>28</v>
      </c>
      <c r="J57" s="2">
        <v>10349</v>
      </c>
      <c r="K57" t="s">
        <v>22</v>
      </c>
      <c r="L57">
        <v>1</v>
      </c>
      <c r="M57">
        <v>4</v>
      </c>
      <c r="N57">
        <v>14</v>
      </c>
      <c r="O57">
        <v>1</v>
      </c>
      <c r="P57">
        <v>22</v>
      </c>
      <c r="Q57" t="s">
        <v>22</v>
      </c>
      <c r="R57" t="str" cm="1">
        <f t="array" ref="R57">_xlfn.IFS(N57&lt;=1,"0-1 yrs",N57&lt;=4,"2-4 yrs",N57&lt;=9,"5-9 yrs",N57&gt;9,"10+ yrs")</f>
        <v>10+ yrs</v>
      </c>
      <c r="S57" t="str" cm="1">
        <f t="array" ref="S57">_xlfn.IFS(B57&lt;=25,"20-25",B57&lt;=35,"26-35",B57&lt;=45,"36-45",B57&gt;45,"46+")</f>
        <v>36-45</v>
      </c>
      <c r="T57" t="str" cm="1">
        <f t="array" ref="T57">_xlfn.IFS(J57&lt;3500,"&lt;3.5K",J57&lt;5500,"3.5-5.5K",J57&lt;7500,"5.5-7.5K",J57&gt;=7500,"7.5K+")</f>
        <v>7.5K+</v>
      </c>
      <c r="U57">
        <f t="shared" si="0"/>
        <v>0</v>
      </c>
    </row>
    <row r="58" spans="1:21" x14ac:dyDescent="0.25">
      <c r="A58">
        <v>1206</v>
      </c>
      <c r="B58">
        <v>29</v>
      </c>
      <c r="C58" t="s">
        <v>23</v>
      </c>
      <c r="D58" t="s">
        <v>47</v>
      </c>
      <c r="E58" t="s">
        <v>48</v>
      </c>
      <c r="F58" t="s">
        <v>38</v>
      </c>
      <c r="G58" t="s">
        <v>20</v>
      </c>
      <c r="H58" t="s">
        <v>34</v>
      </c>
      <c r="I58">
        <v>13</v>
      </c>
      <c r="J58" s="2">
        <v>7577</v>
      </c>
      <c r="K58" t="s">
        <v>22</v>
      </c>
      <c r="L58">
        <v>3</v>
      </c>
      <c r="M58">
        <v>1</v>
      </c>
      <c r="N58">
        <v>3</v>
      </c>
      <c r="O58">
        <v>2</v>
      </c>
      <c r="P58">
        <v>9</v>
      </c>
      <c r="Q58" t="s">
        <v>22</v>
      </c>
      <c r="R58" t="str" cm="1">
        <f t="array" ref="R58">_xlfn.IFS(N58&lt;=1,"0-1 yrs",N58&lt;=4,"2-4 yrs",N58&lt;=9,"5-9 yrs",N58&gt;9,"10+ yrs")</f>
        <v>2-4 yrs</v>
      </c>
      <c r="S58" t="str" cm="1">
        <f t="array" ref="S58">_xlfn.IFS(B58&lt;=25,"20-25",B58&lt;=35,"26-35",B58&lt;=45,"36-45",B58&gt;45,"46+")</f>
        <v>26-35</v>
      </c>
      <c r="T58" t="str" cm="1">
        <f t="array" ref="T58">_xlfn.IFS(J58&lt;3500,"&lt;3.5K",J58&lt;5500,"3.5-5.5K",J58&lt;7500,"5.5-7.5K",J58&gt;=7500,"7.5K+")</f>
        <v>7.5K+</v>
      </c>
      <c r="U58">
        <f t="shared" si="0"/>
        <v>0</v>
      </c>
    </row>
    <row r="59" spans="1:21" x14ac:dyDescent="0.25">
      <c r="A59">
        <v>1925</v>
      </c>
      <c r="B59">
        <v>59</v>
      </c>
      <c r="C59" t="s">
        <v>16</v>
      </c>
      <c r="D59" t="s">
        <v>51</v>
      </c>
      <c r="E59" t="s">
        <v>45</v>
      </c>
      <c r="F59" t="s">
        <v>29</v>
      </c>
      <c r="G59" t="s">
        <v>37</v>
      </c>
      <c r="H59" t="s">
        <v>30</v>
      </c>
      <c r="I59">
        <v>3</v>
      </c>
      <c r="J59" s="2">
        <v>12056</v>
      </c>
      <c r="K59" t="s">
        <v>42</v>
      </c>
      <c r="L59">
        <v>1</v>
      </c>
      <c r="M59">
        <v>1</v>
      </c>
      <c r="N59">
        <v>25</v>
      </c>
      <c r="O59">
        <v>24</v>
      </c>
      <c r="P59">
        <v>30</v>
      </c>
      <c r="Q59" t="s">
        <v>42</v>
      </c>
      <c r="R59" t="str" cm="1">
        <f t="array" ref="R59">_xlfn.IFS(N59&lt;=1,"0-1 yrs",N59&lt;=4,"2-4 yrs",N59&lt;=9,"5-9 yrs",N59&gt;9,"10+ yrs")</f>
        <v>10+ yrs</v>
      </c>
      <c r="S59" t="str" cm="1">
        <f t="array" ref="S59">_xlfn.IFS(B59&lt;=25,"20-25",B59&lt;=35,"26-35",B59&lt;=45,"36-45",B59&gt;45,"46+")</f>
        <v>46+</v>
      </c>
      <c r="T59" t="str" cm="1">
        <f t="array" ref="T59">_xlfn.IFS(J59&lt;3500,"&lt;3.5K",J59&lt;5500,"3.5-5.5K",J59&lt;7500,"5.5-7.5K",J59&gt;=7500,"7.5K+")</f>
        <v>7.5K+</v>
      </c>
      <c r="U59">
        <f t="shared" si="0"/>
        <v>1</v>
      </c>
    </row>
    <row r="60" spans="1:21" x14ac:dyDescent="0.25">
      <c r="A60">
        <v>1769</v>
      </c>
      <c r="B60">
        <v>44</v>
      </c>
      <c r="C60" t="s">
        <v>23</v>
      </c>
      <c r="D60" t="s">
        <v>27</v>
      </c>
      <c r="E60" t="s">
        <v>43</v>
      </c>
      <c r="F60" t="s">
        <v>38</v>
      </c>
      <c r="G60" t="s">
        <v>20</v>
      </c>
      <c r="H60" t="s">
        <v>30</v>
      </c>
      <c r="I60">
        <v>19</v>
      </c>
      <c r="J60" s="2">
        <v>9384</v>
      </c>
      <c r="K60" t="s">
        <v>22</v>
      </c>
      <c r="L60">
        <v>1</v>
      </c>
      <c r="M60">
        <v>2</v>
      </c>
      <c r="N60">
        <v>4</v>
      </c>
      <c r="O60">
        <v>3</v>
      </c>
      <c r="P60">
        <v>20</v>
      </c>
      <c r="Q60" t="s">
        <v>22</v>
      </c>
      <c r="R60" t="str" cm="1">
        <f t="array" ref="R60">_xlfn.IFS(N60&lt;=1,"0-1 yrs",N60&lt;=4,"2-4 yrs",N60&lt;=9,"5-9 yrs",N60&gt;9,"10+ yrs")</f>
        <v>2-4 yrs</v>
      </c>
      <c r="S60" t="str" cm="1">
        <f t="array" ref="S60">_xlfn.IFS(B60&lt;=25,"20-25",B60&lt;=35,"26-35",B60&lt;=45,"36-45",B60&gt;45,"46+")</f>
        <v>36-45</v>
      </c>
      <c r="T60" t="str" cm="1">
        <f t="array" ref="T60">_xlfn.IFS(J60&lt;3500,"&lt;3.5K",J60&lt;5500,"3.5-5.5K",J60&lt;7500,"5.5-7.5K",J60&gt;=7500,"7.5K+")</f>
        <v>7.5K+</v>
      </c>
      <c r="U60">
        <f t="shared" si="0"/>
        <v>0</v>
      </c>
    </row>
    <row r="61" spans="1:21" x14ac:dyDescent="0.25">
      <c r="A61">
        <v>1883</v>
      </c>
      <c r="B61">
        <v>39</v>
      </c>
      <c r="C61" t="s">
        <v>16</v>
      </c>
      <c r="D61" t="s">
        <v>17</v>
      </c>
      <c r="E61" t="s">
        <v>40</v>
      </c>
      <c r="F61" t="s">
        <v>38</v>
      </c>
      <c r="G61" t="s">
        <v>33</v>
      </c>
      <c r="H61" t="s">
        <v>21</v>
      </c>
      <c r="I61">
        <v>29</v>
      </c>
      <c r="J61" s="2">
        <v>7950</v>
      </c>
      <c r="K61" t="s">
        <v>22</v>
      </c>
      <c r="L61">
        <v>1</v>
      </c>
      <c r="M61">
        <v>1</v>
      </c>
      <c r="N61">
        <v>4</v>
      </c>
      <c r="O61">
        <v>4</v>
      </c>
      <c r="P61">
        <v>11</v>
      </c>
      <c r="Q61" t="s">
        <v>22</v>
      </c>
      <c r="R61" t="str" cm="1">
        <f t="array" ref="R61">_xlfn.IFS(N61&lt;=1,"0-1 yrs",N61&lt;=4,"2-4 yrs",N61&lt;=9,"5-9 yrs",N61&gt;9,"10+ yrs")</f>
        <v>2-4 yrs</v>
      </c>
      <c r="S61" t="str" cm="1">
        <f t="array" ref="S61">_xlfn.IFS(B61&lt;=25,"20-25",B61&lt;=35,"26-35",B61&lt;=45,"36-45",B61&gt;45,"46+")</f>
        <v>36-45</v>
      </c>
      <c r="T61" t="str" cm="1">
        <f t="array" ref="T61">_xlfn.IFS(J61&lt;3500,"&lt;3.5K",J61&lt;5500,"3.5-5.5K",J61&lt;7500,"5.5-7.5K",J61&gt;=7500,"7.5K+")</f>
        <v>7.5K+</v>
      </c>
      <c r="U61">
        <f t="shared" si="0"/>
        <v>0</v>
      </c>
    </row>
    <row r="62" spans="1:21" x14ac:dyDescent="0.25">
      <c r="A62">
        <v>1199</v>
      </c>
      <c r="B62">
        <v>39</v>
      </c>
      <c r="C62" t="s">
        <v>23</v>
      </c>
      <c r="D62" t="s">
        <v>27</v>
      </c>
      <c r="E62" t="s">
        <v>31</v>
      </c>
      <c r="F62" t="s">
        <v>19</v>
      </c>
      <c r="G62" t="s">
        <v>37</v>
      </c>
      <c r="H62" t="s">
        <v>30</v>
      </c>
      <c r="I62">
        <v>20</v>
      </c>
      <c r="J62" s="2">
        <v>6111</v>
      </c>
      <c r="K62" t="s">
        <v>42</v>
      </c>
      <c r="L62">
        <v>1</v>
      </c>
      <c r="M62">
        <v>4</v>
      </c>
      <c r="N62">
        <v>3</v>
      </c>
      <c r="O62">
        <v>0</v>
      </c>
      <c r="P62">
        <v>12</v>
      </c>
      <c r="Q62" t="s">
        <v>22</v>
      </c>
      <c r="R62" t="str" cm="1">
        <f t="array" ref="R62">_xlfn.IFS(N62&lt;=1,"0-1 yrs",N62&lt;=4,"2-4 yrs",N62&lt;=9,"5-9 yrs",N62&gt;9,"10+ yrs")</f>
        <v>2-4 yrs</v>
      </c>
      <c r="S62" t="str" cm="1">
        <f t="array" ref="S62">_xlfn.IFS(B62&lt;=25,"20-25",B62&lt;=35,"26-35",B62&lt;=45,"36-45",B62&gt;45,"46+")</f>
        <v>36-45</v>
      </c>
      <c r="T62" t="str" cm="1">
        <f t="array" ref="T62">_xlfn.IFS(J62&lt;3500,"&lt;3.5K",J62&lt;5500,"3.5-5.5K",J62&lt;7500,"5.5-7.5K",J62&gt;=7500,"7.5K+")</f>
        <v>5.5-7.5K</v>
      </c>
      <c r="U62">
        <f t="shared" si="0"/>
        <v>0</v>
      </c>
    </row>
    <row r="63" spans="1:21" x14ac:dyDescent="0.25">
      <c r="A63">
        <v>1242</v>
      </c>
      <c r="B63">
        <v>43</v>
      </c>
      <c r="C63" t="s">
        <v>23</v>
      </c>
      <c r="D63" t="s">
        <v>17</v>
      </c>
      <c r="E63" t="s">
        <v>18</v>
      </c>
      <c r="F63" t="s">
        <v>26</v>
      </c>
      <c r="G63" t="s">
        <v>20</v>
      </c>
      <c r="H63" t="s">
        <v>21</v>
      </c>
      <c r="I63">
        <v>9</v>
      </c>
      <c r="J63" s="2">
        <v>10152</v>
      </c>
      <c r="K63" t="s">
        <v>22</v>
      </c>
      <c r="L63">
        <v>4</v>
      </c>
      <c r="M63">
        <v>1</v>
      </c>
      <c r="N63">
        <v>4</v>
      </c>
      <c r="O63">
        <v>2</v>
      </c>
      <c r="P63">
        <v>12</v>
      </c>
      <c r="Q63" t="s">
        <v>22</v>
      </c>
      <c r="R63" t="str" cm="1">
        <f t="array" ref="R63">_xlfn.IFS(N63&lt;=1,"0-1 yrs",N63&lt;=4,"2-4 yrs",N63&lt;=9,"5-9 yrs",N63&gt;9,"10+ yrs")</f>
        <v>2-4 yrs</v>
      </c>
      <c r="S63" t="str" cm="1">
        <f t="array" ref="S63">_xlfn.IFS(B63&lt;=25,"20-25",B63&lt;=35,"26-35",B63&lt;=45,"36-45",B63&gt;45,"46+")</f>
        <v>36-45</v>
      </c>
      <c r="T63" t="str" cm="1">
        <f t="array" ref="T63">_xlfn.IFS(J63&lt;3500,"&lt;3.5K",J63&lt;5500,"3.5-5.5K",J63&lt;7500,"5.5-7.5K",J63&gt;=7500,"7.5K+")</f>
        <v>7.5K+</v>
      </c>
      <c r="U63">
        <f t="shared" si="0"/>
        <v>0</v>
      </c>
    </row>
    <row r="64" spans="1:21" x14ac:dyDescent="0.25">
      <c r="A64">
        <v>1802</v>
      </c>
      <c r="B64">
        <v>50</v>
      </c>
      <c r="C64" t="s">
        <v>23</v>
      </c>
      <c r="D64" t="s">
        <v>24</v>
      </c>
      <c r="E64" t="s">
        <v>25</v>
      </c>
      <c r="F64" t="s">
        <v>41</v>
      </c>
      <c r="G64" t="s">
        <v>33</v>
      </c>
      <c r="H64" t="s">
        <v>34</v>
      </c>
      <c r="I64">
        <v>14</v>
      </c>
      <c r="J64" s="2">
        <v>12379</v>
      </c>
      <c r="K64" t="s">
        <v>42</v>
      </c>
      <c r="L64">
        <v>2</v>
      </c>
      <c r="M64">
        <v>4</v>
      </c>
      <c r="N64">
        <v>14</v>
      </c>
      <c r="O64">
        <v>11</v>
      </c>
      <c r="P64">
        <v>14</v>
      </c>
      <c r="Q64" t="s">
        <v>42</v>
      </c>
      <c r="R64" t="str" cm="1">
        <f t="array" ref="R64">_xlfn.IFS(N64&lt;=1,"0-1 yrs",N64&lt;=4,"2-4 yrs",N64&lt;=9,"5-9 yrs",N64&gt;9,"10+ yrs")</f>
        <v>10+ yrs</v>
      </c>
      <c r="S64" t="str" cm="1">
        <f t="array" ref="S64">_xlfn.IFS(B64&lt;=25,"20-25",B64&lt;=35,"26-35",B64&lt;=45,"36-45",B64&gt;45,"46+")</f>
        <v>46+</v>
      </c>
      <c r="T64" t="str" cm="1">
        <f t="array" ref="T64">_xlfn.IFS(J64&lt;3500,"&lt;3.5K",J64&lt;5500,"3.5-5.5K",J64&lt;7500,"5.5-7.5K",J64&gt;=7500,"7.5K+")</f>
        <v>7.5K+</v>
      </c>
      <c r="U64">
        <f t="shared" si="0"/>
        <v>1</v>
      </c>
    </row>
    <row r="65" spans="1:21" x14ac:dyDescent="0.25">
      <c r="A65">
        <v>1525</v>
      </c>
      <c r="B65">
        <v>47</v>
      </c>
      <c r="C65" t="s">
        <v>23</v>
      </c>
      <c r="D65" t="s">
        <v>17</v>
      </c>
      <c r="E65" t="s">
        <v>18</v>
      </c>
      <c r="F65" t="s">
        <v>41</v>
      </c>
      <c r="G65" t="s">
        <v>37</v>
      </c>
      <c r="H65" t="s">
        <v>30</v>
      </c>
      <c r="I65">
        <v>12</v>
      </c>
      <c r="J65" s="2">
        <v>12329</v>
      </c>
      <c r="K65" t="s">
        <v>22</v>
      </c>
      <c r="L65">
        <v>4</v>
      </c>
      <c r="M65">
        <v>2</v>
      </c>
      <c r="N65">
        <v>1</v>
      </c>
      <c r="O65">
        <v>1</v>
      </c>
      <c r="P65">
        <v>23</v>
      </c>
      <c r="Q65" t="s">
        <v>22</v>
      </c>
      <c r="R65" t="str" cm="1">
        <f t="array" ref="R65">_xlfn.IFS(N65&lt;=1,"0-1 yrs",N65&lt;=4,"2-4 yrs",N65&lt;=9,"5-9 yrs",N65&gt;9,"10+ yrs")</f>
        <v>0-1 yrs</v>
      </c>
      <c r="S65" t="str" cm="1">
        <f t="array" ref="S65">_xlfn.IFS(B65&lt;=25,"20-25",B65&lt;=35,"26-35",B65&lt;=45,"36-45",B65&gt;45,"46+")</f>
        <v>46+</v>
      </c>
      <c r="T65" t="str" cm="1">
        <f t="array" ref="T65">_xlfn.IFS(J65&lt;3500,"&lt;3.5K",J65&lt;5500,"3.5-5.5K",J65&lt;7500,"5.5-7.5K",J65&gt;=7500,"7.5K+")</f>
        <v>7.5K+</v>
      </c>
      <c r="U65">
        <f t="shared" si="0"/>
        <v>0</v>
      </c>
    </row>
    <row r="66" spans="1:21" x14ac:dyDescent="0.25">
      <c r="A66">
        <v>1249</v>
      </c>
      <c r="B66">
        <v>43</v>
      </c>
      <c r="C66" t="s">
        <v>23</v>
      </c>
      <c r="D66" t="s">
        <v>17</v>
      </c>
      <c r="E66" t="s">
        <v>40</v>
      </c>
      <c r="F66" t="s">
        <v>32</v>
      </c>
      <c r="G66" t="s">
        <v>33</v>
      </c>
      <c r="H66" t="s">
        <v>21</v>
      </c>
      <c r="I66">
        <v>29</v>
      </c>
      <c r="J66" s="2">
        <v>8428</v>
      </c>
      <c r="K66" t="s">
        <v>42</v>
      </c>
      <c r="L66">
        <v>1</v>
      </c>
      <c r="M66">
        <v>2</v>
      </c>
      <c r="N66">
        <v>16</v>
      </c>
      <c r="O66">
        <v>6</v>
      </c>
      <c r="P66">
        <v>23</v>
      </c>
      <c r="Q66" t="s">
        <v>42</v>
      </c>
      <c r="R66" t="str" cm="1">
        <f t="array" ref="R66">_xlfn.IFS(N66&lt;=1,"0-1 yrs",N66&lt;=4,"2-4 yrs",N66&lt;=9,"5-9 yrs",N66&gt;9,"10+ yrs")</f>
        <v>10+ yrs</v>
      </c>
      <c r="S66" t="str" cm="1">
        <f t="array" ref="S66">_xlfn.IFS(B66&lt;=25,"20-25",B66&lt;=35,"26-35",B66&lt;=45,"36-45",B66&gt;45,"46+")</f>
        <v>36-45</v>
      </c>
      <c r="T66" t="str" cm="1">
        <f t="array" ref="T66">_xlfn.IFS(J66&lt;3500,"&lt;3.5K",J66&lt;5500,"3.5-5.5K",J66&lt;7500,"5.5-7.5K",J66&gt;=7500,"7.5K+")</f>
        <v>7.5K+</v>
      </c>
      <c r="U66">
        <f t="shared" si="0"/>
        <v>1</v>
      </c>
    </row>
    <row r="67" spans="1:21" x14ac:dyDescent="0.25">
      <c r="A67">
        <v>1337</v>
      </c>
      <c r="B67">
        <v>59</v>
      </c>
      <c r="C67" t="s">
        <v>16</v>
      </c>
      <c r="D67" t="s">
        <v>38</v>
      </c>
      <c r="E67" t="s">
        <v>49</v>
      </c>
      <c r="F67" t="s">
        <v>19</v>
      </c>
      <c r="G67" t="s">
        <v>20</v>
      </c>
      <c r="H67" t="s">
        <v>30</v>
      </c>
      <c r="I67">
        <v>5</v>
      </c>
      <c r="J67" s="2">
        <v>16831</v>
      </c>
      <c r="K67" t="s">
        <v>22</v>
      </c>
      <c r="L67">
        <v>2</v>
      </c>
      <c r="M67">
        <v>4</v>
      </c>
      <c r="N67">
        <v>21</v>
      </c>
      <c r="O67">
        <v>17</v>
      </c>
      <c r="P67">
        <v>35</v>
      </c>
      <c r="Q67" t="s">
        <v>22</v>
      </c>
      <c r="R67" t="str" cm="1">
        <f t="array" ref="R67">_xlfn.IFS(N67&lt;=1,"0-1 yrs",N67&lt;=4,"2-4 yrs",N67&lt;=9,"5-9 yrs",N67&gt;9,"10+ yrs")</f>
        <v>10+ yrs</v>
      </c>
      <c r="S67" t="str" cm="1">
        <f t="array" ref="S67">_xlfn.IFS(B67&lt;=25,"20-25",B67&lt;=35,"26-35",B67&lt;=45,"36-45",B67&gt;45,"46+")</f>
        <v>46+</v>
      </c>
      <c r="T67" t="str" cm="1">
        <f t="array" ref="T67">_xlfn.IFS(J67&lt;3500,"&lt;3.5K",J67&lt;5500,"3.5-5.5K",J67&lt;7500,"5.5-7.5K",J67&gt;=7500,"7.5K+")</f>
        <v>7.5K+</v>
      </c>
      <c r="U67">
        <f t="shared" ref="U67:U130" si="1">IF(Q67="Yes",1,0)</f>
        <v>0</v>
      </c>
    </row>
    <row r="68" spans="1:21" x14ac:dyDescent="0.25">
      <c r="A68">
        <v>1266</v>
      </c>
      <c r="B68">
        <v>41</v>
      </c>
      <c r="C68" t="s">
        <v>23</v>
      </c>
      <c r="D68" t="s">
        <v>24</v>
      </c>
      <c r="E68" t="s">
        <v>52</v>
      </c>
      <c r="F68" t="s">
        <v>41</v>
      </c>
      <c r="G68" t="s">
        <v>33</v>
      </c>
      <c r="H68" t="s">
        <v>30</v>
      </c>
      <c r="I68">
        <v>17</v>
      </c>
      <c r="J68" s="2">
        <v>10287</v>
      </c>
      <c r="K68" t="s">
        <v>22</v>
      </c>
      <c r="L68">
        <v>4</v>
      </c>
      <c r="M68">
        <v>4</v>
      </c>
      <c r="N68">
        <v>20</v>
      </c>
      <c r="O68">
        <v>18</v>
      </c>
      <c r="P68">
        <v>21</v>
      </c>
      <c r="Q68" t="s">
        <v>22</v>
      </c>
      <c r="R68" t="str" cm="1">
        <f t="array" ref="R68">_xlfn.IFS(N68&lt;=1,"0-1 yrs",N68&lt;=4,"2-4 yrs",N68&lt;=9,"5-9 yrs",N68&gt;9,"10+ yrs")</f>
        <v>10+ yrs</v>
      </c>
      <c r="S68" t="str" cm="1">
        <f t="array" ref="S68">_xlfn.IFS(B68&lt;=25,"20-25",B68&lt;=35,"26-35",B68&lt;=45,"36-45",B68&gt;45,"46+")</f>
        <v>36-45</v>
      </c>
      <c r="T68" t="str" cm="1">
        <f t="array" ref="T68">_xlfn.IFS(J68&lt;3500,"&lt;3.5K",J68&lt;5500,"3.5-5.5K",J68&lt;7500,"5.5-7.5K",J68&gt;=7500,"7.5K+")</f>
        <v>7.5K+</v>
      </c>
      <c r="U68">
        <f t="shared" si="1"/>
        <v>0</v>
      </c>
    </row>
    <row r="69" spans="1:21" x14ac:dyDescent="0.25">
      <c r="A69">
        <v>1891</v>
      </c>
      <c r="B69">
        <v>47</v>
      </c>
      <c r="C69" t="s">
        <v>23</v>
      </c>
      <c r="D69" t="s">
        <v>17</v>
      </c>
      <c r="E69" t="s">
        <v>35</v>
      </c>
      <c r="F69" t="s">
        <v>26</v>
      </c>
      <c r="G69" t="s">
        <v>20</v>
      </c>
      <c r="H69" t="s">
        <v>21</v>
      </c>
      <c r="I69">
        <v>23</v>
      </c>
      <c r="J69" s="2">
        <v>4896</v>
      </c>
      <c r="K69" t="s">
        <v>42</v>
      </c>
      <c r="L69">
        <v>4</v>
      </c>
      <c r="M69">
        <v>1</v>
      </c>
      <c r="N69">
        <v>2</v>
      </c>
      <c r="O69">
        <v>0</v>
      </c>
      <c r="P69">
        <v>14</v>
      </c>
      <c r="Q69" t="s">
        <v>42</v>
      </c>
      <c r="R69" t="str" cm="1">
        <f t="array" ref="R69">_xlfn.IFS(N69&lt;=1,"0-1 yrs",N69&lt;=4,"2-4 yrs",N69&lt;=9,"5-9 yrs",N69&gt;9,"10+ yrs")</f>
        <v>2-4 yrs</v>
      </c>
      <c r="S69" t="str" cm="1">
        <f t="array" ref="S69">_xlfn.IFS(B69&lt;=25,"20-25",B69&lt;=35,"26-35",B69&lt;=45,"36-45",B69&gt;45,"46+")</f>
        <v>46+</v>
      </c>
      <c r="T69" t="str" cm="1">
        <f t="array" ref="T69">_xlfn.IFS(J69&lt;3500,"&lt;3.5K",J69&lt;5500,"3.5-5.5K",J69&lt;7500,"5.5-7.5K",J69&gt;=7500,"7.5K+")</f>
        <v>3.5-5.5K</v>
      </c>
      <c r="U69">
        <f t="shared" si="1"/>
        <v>1</v>
      </c>
    </row>
    <row r="70" spans="1:21" x14ac:dyDescent="0.25">
      <c r="A70">
        <v>1289</v>
      </c>
      <c r="B70">
        <v>29</v>
      </c>
      <c r="C70" t="s">
        <v>16</v>
      </c>
      <c r="D70" t="s">
        <v>24</v>
      </c>
      <c r="E70" t="s">
        <v>45</v>
      </c>
      <c r="F70" t="s">
        <v>29</v>
      </c>
      <c r="G70" t="s">
        <v>33</v>
      </c>
      <c r="H70" t="s">
        <v>30</v>
      </c>
      <c r="I70">
        <v>3</v>
      </c>
      <c r="J70" s="2">
        <v>6703</v>
      </c>
      <c r="K70" t="s">
        <v>22</v>
      </c>
      <c r="L70">
        <v>2</v>
      </c>
      <c r="M70">
        <v>4</v>
      </c>
      <c r="N70">
        <v>2</v>
      </c>
      <c r="O70">
        <v>2</v>
      </c>
      <c r="P70">
        <v>2</v>
      </c>
      <c r="Q70" t="s">
        <v>22</v>
      </c>
      <c r="R70" t="str" cm="1">
        <f t="array" ref="R70">_xlfn.IFS(N70&lt;=1,"0-1 yrs",N70&lt;=4,"2-4 yrs",N70&lt;=9,"5-9 yrs",N70&gt;9,"10+ yrs")</f>
        <v>2-4 yrs</v>
      </c>
      <c r="S70" t="str" cm="1">
        <f t="array" ref="S70">_xlfn.IFS(B70&lt;=25,"20-25",B70&lt;=35,"26-35",B70&lt;=45,"36-45",B70&gt;45,"46+")</f>
        <v>26-35</v>
      </c>
      <c r="T70" t="str" cm="1">
        <f t="array" ref="T70">_xlfn.IFS(J70&lt;3500,"&lt;3.5K",J70&lt;5500,"3.5-5.5K",J70&lt;7500,"5.5-7.5K",J70&gt;=7500,"7.5K+")</f>
        <v>5.5-7.5K</v>
      </c>
      <c r="U70">
        <f t="shared" si="1"/>
        <v>0</v>
      </c>
    </row>
    <row r="71" spans="1:21" x14ac:dyDescent="0.25">
      <c r="A71">
        <v>1915</v>
      </c>
      <c r="B71">
        <v>45</v>
      </c>
      <c r="C71" t="s">
        <v>16</v>
      </c>
      <c r="D71" t="s">
        <v>27</v>
      </c>
      <c r="E71" t="s">
        <v>43</v>
      </c>
      <c r="F71" t="s">
        <v>68</v>
      </c>
      <c r="G71" t="s">
        <v>20</v>
      </c>
      <c r="H71" t="s">
        <v>34</v>
      </c>
      <c r="I71">
        <v>18</v>
      </c>
      <c r="J71" s="2">
        <v>11559</v>
      </c>
      <c r="K71" t="s">
        <v>42</v>
      </c>
      <c r="L71">
        <v>2</v>
      </c>
      <c r="M71">
        <v>4</v>
      </c>
      <c r="N71">
        <v>17</v>
      </c>
      <c r="O71">
        <v>9</v>
      </c>
      <c r="P71">
        <v>22</v>
      </c>
      <c r="Q71" t="s">
        <v>22</v>
      </c>
      <c r="R71" t="str" cm="1">
        <f t="array" ref="R71">_xlfn.IFS(N71&lt;=1,"0-1 yrs",N71&lt;=4,"2-4 yrs",N71&lt;=9,"5-9 yrs",N71&gt;9,"10+ yrs")</f>
        <v>10+ yrs</v>
      </c>
      <c r="S71" t="str" cm="1">
        <f t="array" ref="S71">_xlfn.IFS(B71&lt;=25,"20-25",B71&lt;=35,"26-35",B71&lt;=45,"36-45",B71&gt;45,"46+")</f>
        <v>36-45</v>
      </c>
      <c r="T71" t="str" cm="1">
        <f t="array" ref="T71">_xlfn.IFS(J71&lt;3500,"&lt;3.5K",J71&lt;5500,"3.5-5.5K",J71&lt;7500,"5.5-7.5K",J71&gt;=7500,"7.5K+")</f>
        <v>7.5K+</v>
      </c>
      <c r="U71">
        <f t="shared" si="1"/>
        <v>0</v>
      </c>
    </row>
    <row r="72" spans="1:21" x14ac:dyDescent="0.25">
      <c r="A72">
        <v>1342</v>
      </c>
      <c r="B72">
        <v>30</v>
      </c>
      <c r="C72" t="s">
        <v>16</v>
      </c>
      <c r="D72" t="s">
        <v>24</v>
      </c>
      <c r="E72" t="s">
        <v>25</v>
      </c>
      <c r="F72" t="s">
        <v>41</v>
      </c>
      <c r="G72" t="s">
        <v>37</v>
      </c>
      <c r="H72" t="s">
        <v>21</v>
      </c>
      <c r="I72">
        <v>14</v>
      </c>
      <c r="J72" s="2">
        <v>8699</v>
      </c>
      <c r="K72" t="s">
        <v>22</v>
      </c>
      <c r="L72">
        <v>3</v>
      </c>
      <c r="M72">
        <v>3</v>
      </c>
      <c r="N72">
        <v>0</v>
      </c>
      <c r="O72">
        <v>0</v>
      </c>
      <c r="P72">
        <v>0</v>
      </c>
      <c r="Q72" t="s">
        <v>22</v>
      </c>
      <c r="R72" t="str" cm="1">
        <f t="array" ref="R72">_xlfn.IFS(N72&lt;=1,"0-1 yrs",N72&lt;=4,"2-4 yrs",N72&lt;=9,"5-9 yrs",N72&gt;9,"10+ yrs")</f>
        <v>0-1 yrs</v>
      </c>
      <c r="S72" t="str" cm="1">
        <f t="array" ref="S72">_xlfn.IFS(B72&lt;=25,"20-25",B72&lt;=35,"26-35",B72&lt;=45,"36-45",B72&gt;45,"46+")</f>
        <v>26-35</v>
      </c>
      <c r="T72" t="str" cm="1">
        <f t="array" ref="T72">_xlfn.IFS(J72&lt;3500,"&lt;3.5K",J72&lt;5500,"3.5-5.5K",J72&lt;7500,"5.5-7.5K",J72&gt;=7500,"7.5K+")</f>
        <v>7.5K+</v>
      </c>
      <c r="U72">
        <f t="shared" si="1"/>
        <v>0</v>
      </c>
    </row>
    <row r="73" spans="1:21" x14ac:dyDescent="0.25">
      <c r="A73">
        <v>1185</v>
      </c>
      <c r="B73">
        <v>57</v>
      </c>
      <c r="C73" t="s">
        <v>23</v>
      </c>
      <c r="D73" t="s">
        <v>17</v>
      </c>
      <c r="E73" t="s">
        <v>18</v>
      </c>
      <c r="F73" t="s">
        <v>19</v>
      </c>
      <c r="G73" t="s">
        <v>37</v>
      </c>
      <c r="H73" t="s">
        <v>21</v>
      </c>
      <c r="I73">
        <v>26</v>
      </c>
      <c r="J73" s="2">
        <v>11339</v>
      </c>
      <c r="K73" t="s">
        <v>22</v>
      </c>
      <c r="L73">
        <v>2</v>
      </c>
      <c r="M73">
        <v>2</v>
      </c>
      <c r="N73">
        <v>19</v>
      </c>
      <c r="O73">
        <v>13</v>
      </c>
      <c r="P73">
        <v>29</v>
      </c>
      <c r="Q73" t="s">
        <v>42</v>
      </c>
      <c r="R73" t="str" cm="1">
        <f t="array" ref="R73">_xlfn.IFS(N73&lt;=1,"0-1 yrs",N73&lt;=4,"2-4 yrs",N73&lt;=9,"5-9 yrs",N73&gt;9,"10+ yrs")</f>
        <v>10+ yrs</v>
      </c>
      <c r="S73" t="str" cm="1">
        <f t="array" ref="S73">_xlfn.IFS(B73&lt;=25,"20-25",B73&lt;=35,"26-35",B73&lt;=45,"36-45",B73&gt;45,"46+")</f>
        <v>46+</v>
      </c>
      <c r="T73" t="str" cm="1">
        <f t="array" ref="T73">_xlfn.IFS(J73&lt;3500,"&lt;3.5K",J73&lt;5500,"3.5-5.5K",J73&lt;7500,"5.5-7.5K",J73&gt;=7500,"7.5K+")</f>
        <v>7.5K+</v>
      </c>
      <c r="U73">
        <f t="shared" si="1"/>
        <v>1</v>
      </c>
    </row>
    <row r="74" spans="1:21" x14ac:dyDescent="0.25">
      <c r="A74">
        <v>1965</v>
      </c>
      <c r="B74">
        <v>30</v>
      </c>
      <c r="C74" t="s">
        <v>23</v>
      </c>
      <c r="D74" t="s">
        <v>47</v>
      </c>
      <c r="E74" t="s">
        <v>53</v>
      </c>
      <c r="F74" t="s">
        <v>32</v>
      </c>
      <c r="G74" t="s">
        <v>20</v>
      </c>
      <c r="H74" t="s">
        <v>30</v>
      </c>
      <c r="I74">
        <v>26</v>
      </c>
      <c r="J74" s="2">
        <v>10965</v>
      </c>
      <c r="K74" t="s">
        <v>22</v>
      </c>
      <c r="L74">
        <v>3</v>
      </c>
      <c r="M74">
        <v>3</v>
      </c>
      <c r="N74">
        <v>3</v>
      </c>
      <c r="O74">
        <v>0</v>
      </c>
      <c r="P74">
        <v>3</v>
      </c>
      <c r="Q74" t="s">
        <v>22</v>
      </c>
      <c r="R74" t="str" cm="1">
        <f t="array" ref="R74">_xlfn.IFS(N74&lt;=1,"0-1 yrs",N74&lt;=4,"2-4 yrs",N74&lt;=9,"5-9 yrs",N74&gt;9,"10+ yrs")</f>
        <v>2-4 yrs</v>
      </c>
      <c r="S74" t="str" cm="1">
        <f t="array" ref="S74">_xlfn.IFS(B74&lt;=25,"20-25",B74&lt;=35,"26-35",B74&lt;=45,"36-45",B74&gt;45,"46+")</f>
        <v>26-35</v>
      </c>
      <c r="T74" t="str" cm="1">
        <f t="array" ref="T74">_xlfn.IFS(J74&lt;3500,"&lt;3.5K",J74&lt;5500,"3.5-5.5K",J74&lt;7500,"5.5-7.5K",J74&gt;=7500,"7.5K+")</f>
        <v>7.5K+</v>
      </c>
      <c r="U74">
        <f t="shared" si="1"/>
        <v>0</v>
      </c>
    </row>
    <row r="75" spans="1:21" x14ac:dyDescent="0.25">
      <c r="A75">
        <v>1516</v>
      </c>
      <c r="B75">
        <v>43</v>
      </c>
      <c r="C75" t="s">
        <v>16</v>
      </c>
      <c r="D75" t="s">
        <v>47</v>
      </c>
      <c r="E75" t="s">
        <v>48</v>
      </c>
      <c r="F75" t="s">
        <v>29</v>
      </c>
      <c r="G75" t="s">
        <v>33</v>
      </c>
      <c r="H75" t="s">
        <v>34</v>
      </c>
      <c r="I75">
        <v>16</v>
      </c>
      <c r="J75" s="2">
        <v>9617</v>
      </c>
      <c r="K75" t="s">
        <v>22</v>
      </c>
      <c r="L75">
        <v>1</v>
      </c>
      <c r="M75">
        <v>2</v>
      </c>
      <c r="N75">
        <v>6</v>
      </c>
      <c r="O75">
        <v>3</v>
      </c>
      <c r="P75">
        <v>17</v>
      </c>
      <c r="Q75" t="s">
        <v>22</v>
      </c>
      <c r="R75" t="str" cm="1">
        <f t="array" ref="R75">_xlfn.IFS(N75&lt;=1,"0-1 yrs",N75&lt;=4,"2-4 yrs",N75&lt;=9,"5-9 yrs",N75&gt;9,"10+ yrs")</f>
        <v>5-9 yrs</v>
      </c>
      <c r="S75" t="str" cm="1">
        <f t="array" ref="S75">_xlfn.IFS(B75&lt;=25,"20-25",B75&lt;=35,"26-35",B75&lt;=45,"36-45",B75&gt;45,"46+")</f>
        <v>36-45</v>
      </c>
      <c r="T75" t="str" cm="1">
        <f t="array" ref="T75">_xlfn.IFS(J75&lt;3500,"&lt;3.5K",J75&lt;5500,"3.5-5.5K",J75&lt;7500,"5.5-7.5K",J75&gt;=7500,"7.5K+")</f>
        <v>7.5K+</v>
      </c>
      <c r="U75">
        <f t="shared" si="1"/>
        <v>0</v>
      </c>
    </row>
    <row r="76" spans="1:21" x14ac:dyDescent="0.25">
      <c r="A76">
        <v>1355</v>
      </c>
      <c r="B76">
        <v>40</v>
      </c>
      <c r="C76" t="s">
        <v>23</v>
      </c>
      <c r="D76" t="s">
        <v>47</v>
      </c>
      <c r="E76" t="s">
        <v>48</v>
      </c>
      <c r="F76" t="s">
        <v>41</v>
      </c>
      <c r="G76" t="s">
        <v>20</v>
      </c>
      <c r="H76" t="s">
        <v>30</v>
      </c>
      <c r="I76">
        <v>17</v>
      </c>
      <c r="J76" s="2">
        <v>7701</v>
      </c>
      <c r="K76" t="s">
        <v>42</v>
      </c>
      <c r="L76">
        <v>4</v>
      </c>
      <c r="M76">
        <v>1</v>
      </c>
      <c r="N76">
        <v>1</v>
      </c>
      <c r="O76">
        <v>0</v>
      </c>
      <c r="P76">
        <v>9</v>
      </c>
      <c r="Q76" t="s">
        <v>42</v>
      </c>
      <c r="R76" t="str" cm="1">
        <f t="array" ref="R76">_xlfn.IFS(N76&lt;=1,"0-1 yrs",N76&lt;=4,"2-4 yrs",N76&lt;=9,"5-9 yrs",N76&gt;9,"10+ yrs")</f>
        <v>0-1 yrs</v>
      </c>
      <c r="S76" t="str" cm="1">
        <f t="array" ref="S76">_xlfn.IFS(B76&lt;=25,"20-25",B76&lt;=35,"26-35",B76&lt;=45,"36-45",B76&gt;45,"46+")</f>
        <v>36-45</v>
      </c>
      <c r="T76" t="str" cm="1">
        <f t="array" ref="T76">_xlfn.IFS(J76&lt;3500,"&lt;3.5K",J76&lt;5500,"3.5-5.5K",J76&lt;7500,"5.5-7.5K",J76&gt;=7500,"7.5K+")</f>
        <v>7.5K+</v>
      </c>
      <c r="U76">
        <f t="shared" si="1"/>
        <v>1</v>
      </c>
    </row>
    <row r="77" spans="1:21" x14ac:dyDescent="0.25">
      <c r="A77">
        <v>1578</v>
      </c>
      <c r="B77">
        <v>52</v>
      </c>
      <c r="C77" t="s">
        <v>16</v>
      </c>
      <c r="D77" t="s">
        <v>17</v>
      </c>
      <c r="E77" t="s">
        <v>40</v>
      </c>
      <c r="F77" t="s">
        <v>38</v>
      </c>
      <c r="G77" t="s">
        <v>37</v>
      </c>
      <c r="H77" t="s">
        <v>21</v>
      </c>
      <c r="I77">
        <v>3</v>
      </c>
      <c r="J77" s="2">
        <v>9003</v>
      </c>
      <c r="K77" t="s">
        <v>22</v>
      </c>
      <c r="L77">
        <v>2</v>
      </c>
      <c r="M77">
        <v>1</v>
      </c>
      <c r="N77">
        <v>14</v>
      </c>
      <c r="O77">
        <v>2</v>
      </c>
      <c r="P77">
        <v>28</v>
      </c>
      <c r="Q77" t="s">
        <v>22</v>
      </c>
      <c r="R77" t="str" cm="1">
        <f t="array" ref="R77">_xlfn.IFS(N77&lt;=1,"0-1 yrs",N77&lt;=4,"2-4 yrs",N77&lt;=9,"5-9 yrs",N77&gt;9,"10+ yrs")</f>
        <v>10+ yrs</v>
      </c>
      <c r="S77" t="str" cm="1">
        <f t="array" ref="S77">_xlfn.IFS(B77&lt;=25,"20-25",B77&lt;=35,"26-35",B77&lt;=45,"36-45",B77&gt;45,"46+")</f>
        <v>46+</v>
      </c>
      <c r="T77" t="str" cm="1">
        <f t="array" ref="T77">_xlfn.IFS(J77&lt;3500,"&lt;3.5K",J77&lt;5500,"3.5-5.5K",J77&lt;7500,"5.5-7.5K",J77&gt;=7500,"7.5K+")</f>
        <v>7.5K+</v>
      </c>
      <c r="U77">
        <f t="shared" si="1"/>
        <v>0</v>
      </c>
    </row>
    <row r="78" spans="1:21" x14ac:dyDescent="0.25">
      <c r="A78">
        <v>1830</v>
      </c>
      <c r="B78">
        <v>44</v>
      </c>
      <c r="C78" t="s">
        <v>23</v>
      </c>
      <c r="D78" t="s">
        <v>17</v>
      </c>
      <c r="E78" t="s">
        <v>18</v>
      </c>
      <c r="F78" t="s">
        <v>26</v>
      </c>
      <c r="G78" t="s">
        <v>20</v>
      </c>
      <c r="H78" t="s">
        <v>30</v>
      </c>
      <c r="I78">
        <v>21</v>
      </c>
      <c r="J78" s="2">
        <v>11923</v>
      </c>
      <c r="K78" t="s">
        <v>42</v>
      </c>
      <c r="L78">
        <v>3</v>
      </c>
      <c r="M78">
        <v>4</v>
      </c>
      <c r="N78">
        <v>12</v>
      </c>
      <c r="O78">
        <v>6</v>
      </c>
      <c r="P78">
        <v>19</v>
      </c>
      <c r="Q78" t="s">
        <v>42</v>
      </c>
      <c r="R78" t="str" cm="1">
        <f t="array" ref="R78">_xlfn.IFS(N78&lt;=1,"0-1 yrs",N78&lt;=4,"2-4 yrs",N78&lt;=9,"5-9 yrs",N78&gt;9,"10+ yrs")</f>
        <v>10+ yrs</v>
      </c>
      <c r="S78" t="str" cm="1">
        <f t="array" ref="S78">_xlfn.IFS(B78&lt;=25,"20-25",B78&lt;=35,"26-35",B78&lt;=45,"36-45",B78&gt;45,"46+")</f>
        <v>36-45</v>
      </c>
      <c r="T78" t="str" cm="1">
        <f t="array" ref="T78">_xlfn.IFS(J78&lt;3500,"&lt;3.5K",J78&lt;5500,"3.5-5.5K",J78&lt;7500,"5.5-7.5K",J78&gt;=7500,"7.5K+")</f>
        <v>7.5K+</v>
      </c>
      <c r="U78">
        <f t="shared" si="1"/>
        <v>1</v>
      </c>
    </row>
    <row r="79" spans="1:21" x14ac:dyDescent="0.25">
      <c r="A79">
        <v>1091</v>
      </c>
      <c r="B79">
        <v>30</v>
      </c>
      <c r="C79" t="s">
        <v>23</v>
      </c>
      <c r="D79" t="s">
        <v>24</v>
      </c>
      <c r="E79" t="s">
        <v>25</v>
      </c>
      <c r="F79" t="s">
        <v>32</v>
      </c>
      <c r="G79" t="s">
        <v>33</v>
      </c>
      <c r="H79" t="s">
        <v>34</v>
      </c>
      <c r="I79">
        <v>27</v>
      </c>
      <c r="J79" s="2">
        <v>11815</v>
      </c>
      <c r="K79" t="s">
        <v>22</v>
      </c>
      <c r="L79">
        <v>3</v>
      </c>
      <c r="M79">
        <v>3</v>
      </c>
      <c r="N79">
        <v>8</v>
      </c>
      <c r="O79">
        <v>8</v>
      </c>
      <c r="P79">
        <v>10</v>
      </c>
      <c r="Q79" t="s">
        <v>22</v>
      </c>
      <c r="R79" t="str" cm="1">
        <f t="array" ref="R79">_xlfn.IFS(N79&lt;=1,"0-1 yrs",N79&lt;=4,"2-4 yrs",N79&lt;=9,"5-9 yrs",N79&gt;9,"10+ yrs")</f>
        <v>5-9 yrs</v>
      </c>
      <c r="S79" t="str" cm="1">
        <f t="array" ref="S79">_xlfn.IFS(B79&lt;=25,"20-25",B79&lt;=35,"26-35",B79&lt;=45,"36-45",B79&gt;45,"46+")</f>
        <v>26-35</v>
      </c>
      <c r="T79" t="str" cm="1">
        <f t="array" ref="T79">_xlfn.IFS(J79&lt;3500,"&lt;3.5K",J79&lt;5500,"3.5-5.5K",J79&lt;7500,"5.5-7.5K",J79&gt;=7500,"7.5K+")</f>
        <v>7.5K+</v>
      </c>
      <c r="U79">
        <f t="shared" si="1"/>
        <v>0</v>
      </c>
    </row>
    <row r="80" spans="1:21" x14ac:dyDescent="0.25">
      <c r="A80">
        <v>1663</v>
      </c>
      <c r="B80">
        <v>42</v>
      </c>
      <c r="C80" t="s">
        <v>16</v>
      </c>
      <c r="D80" t="s">
        <v>38</v>
      </c>
      <c r="E80" t="s">
        <v>49</v>
      </c>
      <c r="F80" t="s">
        <v>32</v>
      </c>
      <c r="G80" t="s">
        <v>20</v>
      </c>
      <c r="H80" t="s">
        <v>34</v>
      </c>
      <c r="I80">
        <v>5</v>
      </c>
      <c r="J80" s="2">
        <v>11114</v>
      </c>
      <c r="K80" t="s">
        <v>22</v>
      </c>
      <c r="L80">
        <v>1</v>
      </c>
      <c r="M80">
        <v>1</v>
      </c>
      <c r="N80">
        <v>15</v>
      </c>
      <c r="O80">
        <v>11</v>
      </c>
      <c r="P80">
        <v>20</v>
      </c>
      <c r="Q80" t="s">
        <v>22</v>
      </c>
      <c r="R80" t="str" cm="1">
        <f t="array" ref="R80">_xlfn.IFS(N80&lt;=1,"0-1 yrs",N80&lt;=4,"2-4 yrs",N80&lt;=9,"5-9 yrs",N80&gt;9,"10+ yrs")</f>
        <v>10+ yrs</v>
      </c>
      <c r="S80" t="str" cm="1">
        <f t="array" ref="S80">_xlfn.IFS(B80&lt;=25,"20-25",B80&lt;=35,"26-35",B80&lt;=45,"36-45",B80&gt;45,"46+")</f>
        <v>36-45</v>
      </c>
      <c r="T80" t="str" cm="1">
        <f t="array" ref="T80">_xlfn.IFS(J80&lt;3500,"&lt;3.5K",J80&lt;5500,"3.5-5.5K",J80&lt;7500,"5.5-7.5K",J80&gt;=7500,"7.5K+")</f>
        <v>7.5K+</v>
      </c>
      <c r="U80">
        <f t="shared" si="1"/>
        <v>0</v>
      </c>
    </row>
    <row r="81" spans="1:21" x14ac:dyDescent="0.25">
      <c r="A81">
        <v>1221</v>
      </c>
      <c r="B81">
        <v>40</v>
      </c>
      <c r="C81" t="s">
        <v>23</v>
      </c>
      <c r="D81" t="s">
        <v>47</v>
      </c>
      <c r="E81" t="s">
        <v>53</v>
      </c>
      <c r="F81" t="s">
        <v>32</v>
      </c>
      <c r="G81" t="s">
        <v>37</v>
      </c>
      <c r="H81" t="s">
        <v>34</v>
      </c>
      <c r="I81">
        <v>23</v>
      </c>
      <c r="J81" s="2">
        <v>16275</v>
      </c>
      <c r="K81" t="s">
        <v>22</v>
      </c>
      <c r="L81">
        <v>2</v>
      </c>
      <c r="M81">
        <v>4</v>
      </c>
      <c r="N81">
        <v>19</v>
      </c>
      <c r="O81">
        <v>11</v>
      </c>
      <c r="P81">
        <v>20</v>
      </c>
      <c r="Q81" t="s">
        <v>22</v>
      </c>
      <c r="R81" t="str" cm="1">
        <f t="array" ref="R81">_xlfn.IFS(N81&lt;=1,"0-1 yrs",N81&lt;=4,"2-4 yrs",N81&lt;=9,"5-9 yrs",N81&gt;9,"10+ yrs")</f>
        <v>10+ yrs</v>
      </c>
      <c r="S81" t="str" cm="1">
        <f t="array" ref="S81">_xlfn.IFS(B81&lt;=25,"20-25",B81&lt;=35,"26-35",B81&lt;=45,"36-45",B81&gt;45,"46+")</f>
        <v>36-45</v>
      </c>
      <c r="T81" t="str" cm="1">
        <f t="array" ref="T81">_xlfn.IFS(J81&lt;3500,"&lt;3.5K",J81&lt;5500,"3.5-5.5K",J81&lt;7500,"5.5-7.5K",J81&gt;=7500,"7.5K+")</f>
        <v>7.5K+</v>
      </c>
      <c r="U81">
        <f t="shared" si="1"/>
        <v>0</v>
      </c>
    </row>
    <row r="82" spans="1:21" x14ac:dyDescent="0.25">
      <c r="A82">
        <v>1280</v>
      </c>
      <c r="B82">
        <v>55</v>
      </c>
      <c r="C82" t="s">
        <v>16</v>
      </c>
      <c r="D82" t="s">
        <v>17</v>
      </c>
      <c r="E82" t="s">
        <v>35</v>
      </c>
      <c r="F82" t="s">
        <v>36</v>
      </c>
      <c r="G82" t="s">
        <v>37</v>
      </c>
      <c r="H82" t="s">
        <v>34</v>
      </c>
      <c r="I82">
        <v>1</v>
      </c>
      <c r="J82" s="2">
        <v>12613</v>
      </c>
      <c r="K82" t="s">
        <v>22</v>
      </c>
      <c r="L82">
        <v>4</v>
      </c>
      <c r="M82">
        <v>4</v>
      </c>
      <c r="N82">
        <v>8</v>
      </c>
      <c r="O82">
        <v>6</v>
      </c>
      <c r="P82">
        <v>35</v>
      </c>
      <c r="Q82" t="s">
        <v>22</v>
      </c>
      <c r="R82" t="str" cm="1">
        <f t="array" ref="R82">_xlfn.IFS(N82&lt;=1,"0-1 yrs",N82&lt;=4,"2-4 yrs",N82&lt;=9,"5-9 yrs",N82&gt;9,"10+ yrs")</f>
        <v>5-9 yrs</v>
      </c>
      <c r="S82" t="str" cm="1">
        <f t="array" ref="S82">_xlfn.IFS(B82&lt;=25,"20-25",B82&lt;=35,"26-35",B82&lt;=45,"36-45",B82&gt;45,"46+")</f>
        <v>46+</v>
      </c>
      <c r="T82" t="str" cm="1">
        <f t="array" ref="T82">_xlfn.IFS(J82&lt;3500,"&lt;3.5K",J82&lt;5500,"3.5-5.5K",J82&lt;7500,"5.5-7.5K",J82&gt;=7500,"7.5K+")</f>
        <v>7.5K+</v>
      </c>
      <c r="U82">
        <f t="shared" si="1"/>
        <v>0</v>
      </c>
    </row>
    <row r="83" spans="1:21" x14ac:dyDescent="0.25">
      <c r="A83">
        <v>1352</v>
      </c>
      <c r="B83">
        <v>59</v>
      </c>
      <c r="C83" t="s">
        <v>16</v>
      </c>
      <c r="D83" t="s">
        <v>27</v>
      </c>
      <c r="E83" t="s">
        <v>43</v>
      </c>
      <c r="F83" t="s">
        <v>38</v>
      </c>
      <c r="G83" t="s">
        <v>37</v>
      </c>
      <c r="H83" t="s">
        <v>34</v>
      </c>
      <c r="I83">
        <v>1</v>
      </c>
      <c r="J83" s="2">
        <v>11866</v>
      </c>
      <c r="K83" t="s">
        <v>22</v>
      </c>
      <c r="L83">
        <v>1</v>
      </c>
      <c r="M83">
        <v>3</v>
      </c>
      <c r="N83">
        <v>9</v>
      </c>
      <c r="O83">
        <v>0</v>
      </c>
      <c r="P83">
        <v>39</v>
      </c>
      <c r="Q83" t="s">
        <v>22</v>
      </c>
      <c r="R83" t="str" cm="1">
        <f t="array" ref="R83">_xlfn.IFS(N83&lt;=1,"0-1 yrs",N83&lt;=4,"2-4 yrs",N83&lt;=9,"5-9 yrs",N83&gt;9,"10+ yrs")</f>
        <v>5-9 yrs</v>
      </c>
      <c r="S83" t="str" cm="1">
        <f t="array" ref="S83">_xlfn.IFS(B83&lt;=25,"20-25",B83&lt;=35,"26-35",B83&lt;=45,"36-45",B83&gt;45,"46+")</f>
        <v>46+</v>
      </c>
      <c r="T83" t="str" cm="1">
        <f t="array" ref="T83">_xlfn.IFS(J83&lt;3500,"&lt;3.5K",J83&lt;5500,"3.5-5.5K",J83&lt;7500,"5.5-7.5K",J83&gt;=7500,"7.5K+")</f>
        <v>7.5K+</v>
      </c>
      <c r="U83">
        <f t="shared" si="1"/>
        <v>0</v>
      </c>
    </row>
    <row r="84" spans="1:21" x14ac:dyDescent="0.25">
      <c r="A84">
        <v>1868</v>
      </c>
      <c r="B84">
        <v>35</v>
      </c>
      <c r="C84" t="s">
        <v>23</v>
      </c>
      <c r="D84" t="s">
        <v>27</v>
      </c>
      <c r="E84" t="s">
        <v>28</v>
      </c>
      <c r="F84" t="s">
        <v>19</v>
      </c>
      <c r="G84" t="s">
        <v>33</v>
      </c>
      <c r="H84" t="s">
        <v>21</v>
      </c>
      <c r="I84">
        <v>12</v>
      </c>
      <c r="J84" s="2">
        <v>13098</v>
      </c>
      <c r="K84" t="s">
        <v>42</v>
      </c>
      <c r="L84">
        <v>1</v>
      </c>
      <c r="M84">
        <v>3</v>
      </c>
      <c r="N84">
        <v>6</v>
      </c>
      <c r="O84">
        <v>0</v>
      </c>
      <c r="P84">
        <v>9</v>
      </c>
      <c r="Q84" t="s">
        <v>22</v>
      </c>
      <c r="R84" t="str" cm="1">
        <f t="array" ref="R84">_xlfn.IFS(N84&lt;=1,"0-1 yrs",N84&lt;=4,"2-4 yrs",N84&lt;=9,"5-9 yrs",N84&gt;9,"10+ yrs")</f>
        <v>5-9 yrs</v>
      </c>
      <c r="S84" t="str" cm="1">
        <f t="array" ref="S84">_xlfn.IFS(B84&lt;=25,"20-25",B84&lt;=35,"26-35",B84&lt;=45,"36-45",B84&gt;45,"46+")</f>
        <v>26-35</v>
      </c>
      <c r="T84" t="str" cm="1">
        <f t="array" ref="T84">_xlfn.IFS(J84&lt;3500,"&lt;3.5K",J84&lt;5500,"3.5-5.5K",J84&lt;7500,"5.5-7.5K",J84&gt;=7500,"7.5K+")</f>
        <v>7.5K+</v>
      </c>
      <c r="U84">
        <f t="shared" si="1"/>
        <v>0</v>
      </c>
    </row>
    <row r="85" spans="1:21" x14ac:dyDescent="0.25">
      <c r="A85">
        <v>1157</v>
      </c>
      <c r="B85">
        <v>42</v>
      </c>
      <c r="C85" t="s">
        <v>23</v>
      </c>
      <c r="D85" t="s">
        <v>24</v>
      </c>
      <c r="E85" t="s">
        <v>52</v>
      </c>
      <c r="F85" t="s">
        <v>36</v>
      </c>
      <c r="G85" t="s">
        <v>20</v>
      </c>
      <c r="H85" t="s">
        <v>34</v>
      </c>
      <c r="I85">
        <v>22</v>
      </c>
      <c r="J85" s="2">
        <v>11333</v>
      </c>
      <c r="K85" t="s">
        <v>22</v>
      </c>
      <c r="L85">
        <v>1</v>
      </c>
      <c r="M85">
        <v>1</v>
      </c>
      <c r="N85">
        <v>15</v>
      </c>
      <c r="O85">
        <v>5</v>
      </c>
      <c r="P85">
        <v>21</v>
      </c>
      <c r="Q85" t="s">
        <v>42</v>
      </c>
      <c r="R85" t="str" cm="1">
        <f t="array" ref="R85">_xlfn.IFS(N85&lt;=1,"0-1 yrs",N85&lt;=4,"2-4 yrs",N85&lt;=9,"5-9 yrs",N85&gt;9,"10+ yrs")</f>
        <v>10+ yrs</v>
      </c>
      <c r="S85" t="str" cm="1">
        <f t="array" ref="S85">_xlfn.IFS(B85&lt;=25,"20-25",B85&lt;=35,"26-35",B85&lt;=45,"36-45",B85&gt;45,"46+")</f>
        <v>36-45</v>
      </c>
      <c r="T85" t="str" cm="1">
        <f t="array" ref="T85">_xlfn.IFS(J85&lt;3500,"&lt;3.5K",J85&lt;5500,"3.5-5.5K",J85&lt;7500,"5.5-7.5K",J85&gt;=7500,"7.5K+")</f>
        <v>7.5K+</v>
      </c>
      <c r="U85">
        <f t="shared" si="1"/>
        <v>1</v>
      </c>
    </row>
    <row r="86" spans="1:21" x14ac:dyDescent="0.25">
      <c r="A86">
        <v>1601</v>
      </c>
      <c r="B86">
        <v>48</v>
      </c>
      <c r="C86" t="s">
        <v>23</v>
      </c>
      <c r="D86" t="s">
        <v>17</v>
      </c>
      <c r="E86" t="s">
        <v>40</v>
      </c>
      <c r="F86" t="s">
        <v>38</v>
      </c>
      <c r="G86" t="s">
        <v>37</v>
      </c>
      <c r="H86" t="s">
        <v>34</v>
      </c>
      <c r="I86">
        <v>28</v>
      </c>
      <c r="J86" s="2">
        <v>8403</v>
      </c>
      <c r="K86" t="s">
        <v>22</v>
      </c>
      <c r="L86">
        <v>2</v>
      </c>
      <c r="M86">
        <v>3</v>
      </c>
      <c r="N86">
        <v>6</v>
      </c>
      <c r="O86">
        <v>0</v>
      </c>
      <c r="P86">
        <v>20</v>
      </c>
      <c r="Q86" t="s">
        <v>22</v>
      </c>
      <c r="R86" t="str" cm="1">
        <f t="array" ref="R86">_xlfn.IFS(N86&lt;=1,"0-1 yrs",N86&lt;=4,"2-4 yrs",N86&lt;=9,"5-9 yrs",N86&gt;9,"10+ yrs")</f>
        <v>5-9 yrs</v>
      </c>
      <c r="S86" t="str" cm="1">
        <f t="array" ref="S86">_xlfn.IFS(B86&lt;=25,"20-25",B86&lt;=35,"26-35",B86&lt;=45,"36-45",B86&gt;45,"46+")</f>
        <v>46+</v>
      </c>
      <c r="T86" t="str" cm="1">
        <f t="array" ref="T86">_xlfn.IFS(J86&lt;3500,"&lt;3.5K",J86&lt;5500,"3.5-5.5K",J86&lt;7500,"5.5-7.5K",J86&gt;=7500,"7.5K+")</f>
        <v>7.5K+</v>
      </c>
      <c r="U86">
        <f t="shared" si="1"/>
        <v>0</v>
      </c>
    </row>
    <row r="87" spans="1:21" x14ac:dyDescent="0.25">
      <c r="A87">
        <v>1958</v>
      </c>
      <c r="B87">
        <v>33</v>
      </c>
      <c r="C87" t="s">
        <v>23</v>
      </c>
      <c r="D87" t="s">
        <v>38</v>
      </c>
      <c r="E87" t="s">
        <v>49</v>
      </c>
      <c r="F87" t="s">
        <v>36</v>
      </c>
      <c r="G87" t="s">
        <v>20</v>
      </c>
      <c r="H87" t="s">
        <v>21</v>
      </c>
      <c r="I87">
        <v>6</v>
      </c>
      <c r="J87" s="2">
        <v>9463</v>
      </c>
      <c r="K87" t="s">
        <v>22</v>
      </c>
      <c r="L87">
        <v>1</v>
      </c>
      <c r="M87">
        <v>3</v>
      </c>
      <c r="N87">
        <v>0</v>
      </c>
      <c r="O87">
        <v>0</v>
      </c>
      <c r="P87">
        <v>0</v>
      </c>
      <c r="Q87" t="s">
        <v>42</v>
      </c>
      <c r="R87" t="str" cm="1">
        <f t="array" ref="R87">_xlfn.IFS(N87&lt;=1,"0-1 yrs",N87&lt;=4,"2-4 yrs",N87&lt;=9,"5-9 yrs",N87&gt;9,"10+ yrs")</f>
        <v>0-1 yrs</v>
      </c>
      <c r="S87" t="str" cm="1">
        <f t="array" ref="S87">_xlfn.IFS(B87&lt;=25,"20-25",B87&lt;=35,"26-35",B87&lt;=45,"36-45",B87&gt;45,"46+")</f>
        <v>26-35</v>
      </c>
      <c r="T87" t="str" cm="1">
        <f t="array" ref="T87">_xlfn.IFS(J87&lt;3500,"&lt;3.5K",J87&lt;5500,"3.5-5.5K",J87&lt;7500,"5.5-7.5K",J87&gt;=7500,"7.5K+")</f>
        <v>7.5K+</v>
      </c>
      <c r="U87">
        <f t="shared" si="1"/>
        <v>1</v>
      </c>
    </row>
    <row r="88" spans="1:21" x14ac:dyDescent="0.25">
      <c r="A88">
        <v>1864</v>
      </c>
      <c r="B88">
        <v>40</v>
      </c>
      <c r="C88" t="s">
        <v>16</v>
      </c>
      <c r="D88" t="s">
        <v>27</v>
      </c>
      <c r="E88" t="s">
        <v>43</v>
      </c>
      <c r="F88" t="s">
        <v>26</v>
      </c>
      <c r="G88" t="s">
        <v>20</v>
      </c>
      <c r="H88" t="s">
        <v>21</v>
      </c>
      <c r="I88">
        <v>16</v>
      </c>
      <c r="J88" s="2">
        <v>8639</v>
      </c>
      <c r="K88" t="s">
        <v>22</v>
      </c>
      <c r="L88">
        <v>3</v>
      </c>
      <c r="M88">
        <v>2</v>
      </c>
      <c r="N88">
        <v>20</v>
      </c>
      <c r="O88">
        <v>19</v>
      </c>
      <c r="P88">
        <v>20</v>
      </c>
      <c r="Q88" t="s">
        <v>22</v>
      </c>
      <c r="R88" t="str" cm="1">
        <f t="array" ref="R88">_xlfn.IFS(N88&lt;=1,"0-1 yrs",N88&lt;=4,"2-4 yrs",N88&lt;=9,"5-9 yrs",N88&gt;9,"10+ yrs")</f>
        <v>10+ yrs</v>
      </c>
      <c r="S88" t="str" cm="1">
        <f t="array" ref="S88">_xlfn.IFS(B88&lt;=25,"20-25",B88&lt;=35,"26-35",B88&lt;=45,"36-45",B88&gt;45,"46+")</f>
        <v>36-45</v>
      </c>
      <c r="T88" t="str" cm="1">
        <f t="array" ref="T88">_xlfn.IFS(J88&lt;3500,"&lt;3.5K",J88&lt;5500,"3.5-5.5K",J88&lt;7500,"5.5-7.5K",J88&gt;=7500,"7.5K+")</f>
        <v>7.5K+</v>
      </c>
      <c r="U88">
        <f t="shared" si="1"/>
        <v>0</v>
      </c>
    </row>
    <row r="89" spans="1:21" x14ac:dyDescent="0.25">
      <c r="A89">
        <v>1996</v>
      </c>
      <c r="B89">
        <v>47</v>
      </c>
      <c r="C89" t="s">
        <v>16</v>
      </c>
      <c r="D89" t="s">
        <v>27</v>
      </c>
      <c r="E89" t="s">
        <v>31</v>
      </c>
      <c r="F89" t="s">
        <v>36</v>
      </c>
      <c r="G89" t="s">
        <v>20</v>
      </c>
      <c r="H89" t="s">
        <v>21</v>
      </c>
      <c r="I89">
        <v>16</v>
      </c>
      <c r="J89" s="2">
        <v>7895</v>
      </c>
      <c r="K89" t="s">
        <v>42</v>
      </c>
      <c r="L89">
        <v>1</v>
      </c>
      <c r="M89">
        <v>4</v>
      </c>
      <c r="N89">
        <v>11</v>
      </c>
      <c r="O89">
        <v>10</v>
      </c>
      <c r="P89">
        <v>20</v>
      </c>
      <c r="Q89" t="s">
        <v>22</v>
      </c>
      <c r="R89" t="str" cm="1">
        <f t="array" ref="R89">_xlfn.IFS(N89&lt;=1,"0-1 yrs",N89&lt;=4,"2-4 yrs",N89&lt;=9,"5-9 yrs",N89&gt;9,"10+ yrs")</f>
        <v>10+ yrs</v>
      </c>
      <c r="S89" t="str" cm="1">
        <f t="array" ref="S89">_xlfn.IFS(B89&lt;=25,"20-25",B89&lt;=35,"26-35",B89&lt;=45,"36-45",B89&gt;45,"46+")</f>
        <v>46+</v>
      </c>
      <c r="T89" t="str" cm="1">
        <f t="array" ref="T89">_xlfn.IFS(J89&lt;3500,"&lt;3.5K",J89&lt;5500,"3.5-5.5K",J89&lt;7500,"5.5-7.5K",J89&gt;=7500,"7.5K+")</f>
        <v>7.5K+</v>
      </c>
      <c r="U89">
        <f t="shared" si="1"/>
        <v>0</v>
      </c>
    </row>
    <row r="90" spans="1:21" x14ac:dyDescent="0.25">
      <c r="A90">
        <v>1348</v>
      </c>
      <c r="B90">
        <v>29</v>
      </c>
      <c r="C90" t="s">
        <v>23</v>
      </c>
      <c r="D90" t="s">
        <v>24</v>
      </c>
      <c r="E90" t="s">
        <v>52</v>
      </c>
      <c r="F90" t="s">
        <v>19</v>
      </c>
      <c r="G90" t="s">
        <v>33</v>
      </c>
      <c r="H90" t="s">
        <v>21</v>
      </c>
      <c r="I90">
        <v>13</v>
      </c>
      <c r="J90" s="2">
        <v>7928</v>
      </c>
      <c r="K90" t="s">
        <v>22</v>
      </c>
      <c r="L90">
        <v>2</v>
      </c>
      <c r="M90">
        <v>4</v>
      </c>
      <c r="N90">
        <v>6</v>
      </c>
      <c r="O90">
        <v>3</v>
      </c>
      <c r="P90">
        <v>9</v>
      </c>
      <c r="Q90" t="s">
        <v>22</v>
      </c>
      <c r="R90" t="str" cm="1">
        <f t="array" ref="R90">_xlfn.IFS(N90&lt;=1,"0-1 yrs",N90&lt;=4,"2-4 yrs",N90&lt;=9,"5-9 yrs",N90&gt;9,"10+ yrs")</f>
        <v>5-9 yrs</v>
      </c>
      <c r="S90" t="str" cm="1">
        <f t="array" ref="S90">_xlfn.IFS(B90&lt;=25,"20-25",B90&lt;=35,"26-35",B90&lt;=45,"36-45",B90&gt;45,"46+")</f>
        <v>26-35</v>
      </c>
      <c r="T90" t="str" cm="1">
        <f t="array" ref="T90">_xlfn.IFS(J90&lt;3500,"&lt;3.5K",J90&lt;5500,"3.5-5.5K",J90&lt;7500,"5.5-7.5K",J90&gt;=7500,"7.5K+")</f>
        <v>7.5K+</v>
      </c>
      <c r="U90">
        <f t="shared" si="1"/>
        <v>0</v>
      </c>
    </row>
    <row r="91" spans="1:21" x14ac:dyDescent="0.25">
      <c r="A91">
        <v>1589</v>
      </c>
      <c r="B91">
        <v>37</v>
      </c>
      <c r="C91" t="s">
        <v>16</v>
      </c>
      <c r="D91" t="s">
        <v>47</v>
      </c>
      <c r="E91" t="s">
        <v>48</v>
      </c>
      <c r="F91" t="s">
        <v>32</v>
      </c>
      <c r="G91" t="s">
        <v>33</v>
      </c>
      <c r="H91" t="s">
        <v>30</v>
      </c>
      <c r="I91">
        <v>24</v>
      </c>
      <c r="J91" s="2">
        <v>9763</v>
      </c>
      <c r="K91" t="s">
        <v>42</v>
      </c>
      <c r="L91">
        <v>3</v>
      </c>
      <c r="M91">
        <v>1</v>
      </c>
      <c r="N91">
        <v>0</v>
      </c>
      <c r="O91">
        <v>0</v>
      </c>
      <c r="P91">
        <v>9</v>
      </c>
      <c r="Q91" t="s">
        <v>42</v>
      </c>
      <c r="R91" t="str" cm="1">
        <f t="array" ref="R91">_xlfn.IFS(N91&lt;=1,"0-1 yrs",N91&lt;=4,"2-4 yrs",N91&lt;=9,"5-9 yrs",N91&gt;9,"10+ yrs")</f>
        <v>0-1 yrs</v>
      </c>
      <c r="S91" t="str" cm="1">
        <f t="array" ref="S91">_xlfn.IFS(B91&lt;=25,"20-25",B91&lt;=35,"26-35",B91&lt;=45,"36-45",B91&gt;45,"46+")</f>
        <v>36-45</v>
      </c>
      <c r="T91" t="str" cm="1">
        <f t="array" ref="T91">_xlfn.IFS(J91&lt;3500,"&lt;3.5K",J91&lt;5500,"3.5-5.5K",J91&lt;7500,"5.5-7.5K",J91&gt;=7500,"7.5K+")</f>
        <v>7.5K+</v>
      </c>
      <c r="U91">
        <f t="shared" si="1"/>
        <v>1</v>
      </c>
    </row>
    <row r="92" spans="1:21" x14ac:dyDescent="0.25">
      <c r="A92">
        <v>1700</v>
      </c>
      <c r="B92">
        <v>24</v>
      </c>
      <c r="C92" t="s">
        <v>23</v>
      </c>
      <c r="D92" t="s">
        <v>17</v>
      </c>
      <c r="E92" t="s">
        <v>18</v>
      </c>
      <c r="F92" t="s">
        <v>38</v>
      </c>
      <c r="G92" t="s">
        <v>37</v>
      </c>
      <c r="H92" t="s">
        <v>34</v>
      </c>
      <c r="I92">
        <v>6</v>
      </c>
      <c r="J92" s="2">
        <v>10295</v>
      </c>
      <c r="K92" t="s">
        <v>42</v>
      </c>
      <c r="L92">
        <v>2</v>
      </c>
      <c r="M92">
        <v>3</v>
      </c>
      <c r="N92">
        <v>1</v>
      </c>
      <c r="O92">
        <v>1</v>
      </c>
      <c r="P92">
        <v>1</v>
      </c>
      <c r="Q92" t="s">
        <v>22</v>
      </c>
      <c r="R92" t="str" cm="1">
        <f t="array" ref="R92">_xlfn.IFS(N92&lt;=1,"0-1 yrs",N92&lt;=4,"2-4 yrs",N92&lt;=9,"5-9 yrs",N92&gt;9,"10+ yrs")</f>
        <v>0-1 yrs</v>
      </c>
      <c r="S92" t="str" cm="1">
        <f t="array" ref="S92">_xlfn.IFS(B92&lt;=25,"20-25",B92&lt;=35,"26-35",B92&lt;=45,"36-45",B92&gt;45,"46+")</f>
        <v>20-25</v>
      </c>
      <c r="T92" t="str" cm="1">
        <f t="array" ref="T92">_xlfn.IFS(J92&lt;3500,"&lt;3.5K",J92&lt;5500,"3.5-5.5K",J92&lt;7500,"5.5-7.5K",J92&gt;=7500,"7.5K+")</f>
        <v>7.5K+</v>
      </c>
      <c r="U92">
        <f t="shared" si="1"/>
        <v>0</v>
      </c>
    </row>
    <row r="93" spans="1:21" x14ac:dyDescent="0.25">
      <c r="A93">
        <v>1780</v>
      </c>
      <c r="B93">
        <v>54</v>
      </c>
      <c r="C93" t="s">
        <v>16</v>
      </c>
      <c r="D93" t="s">
        <v>47</v>
      </c>
      <c r="E93" t="s">
        <v>53</v>
      </c>
      <c r="F93" t="s">
        <v>41</v>
      </c>
      <c r="G93" t="s">
        <v>37</v>
      </c>
      <c r="H93" t="s">
        <v>34</v>
      </c>
      <c r="I93">
        <v>19</v>
      </c>
      <c r="J93" s="2">
        <v>14645</v>
      </c>
      <c r="K93" t="s">
        <v>22</v>
      </c>
      <c r="L93">
        <v>2</v>
      </c>
      <c r="M93">
        <v>3</v>
      </c>
      <c r="N93">
        <v>0</v>
      </c>
      <c r="O93">
        <v>0</v>
      </c>
      <c r="P93">
        <v>30</v>
      </c>
      <c r="Q93" t="s">
        <v>22</v>
      </c>
      <c r="R93" t="str" cm="1">
        <f t="array" ref="R93">_xlfn.IFS(N93&lt;=1,"0-1 yrs",N93&lt;=4,"2-4 yrs",N93&lt;=9,"5-9 yrs",N93&gt;9,"10+ yrs")</f>
        <v>0-1 yrs</v>
      </c>
      <c r="S93" t="str" cm="1">
        <f t="array" ref="S93">_xlfn.IFS(B93&lt;=25,"20-25",B93&lt;=35,"26-35",B93&lt;=45,"36-45",B93&gt;45,"46+")</f>
        <v>46+</v>
      </c>
      <c r="T93" t="str" cm="1">
        <f t="array" ref="T93">_xlfn.IFS(J93&lt;3500,"&lt;3.5K",J93&lt;5500,"3.5-5.5K",J93&lt;7500,"5.5-7.5K",J93&gt;=7500,"7.5K+")</f>
        <v>7.5K+</v>
      </c>
      <c r="U93">
        <f t="shared" si="1"/>
        <v>0</v>
      </c>
    </row>
    <row r="94" spans="1:21" x14ac:dyDescent="0.25">
      <c r="A94">
        <v>1558</v>
      </c>
      <c r="B94">
        <v>22</v>
      </c>
      <c r="C94" t="s">
        <v>23</v>
      </c>
      <c r="D94" t="s">
        <v>47</v>
      </c>
      <c r="E94" t="s">
        <v>50</v>
      </c>
      <c r="F94" t="s">
        <v>32</v>
      </c>
      <c r="G94" t="s">
        <v>33</v>
      </c>
      <c r="H94" t="s">
        <v>34</v>
      </c>
      <c r="I94">
        <v>18</v>
      </c>
      <c r="J94" s="2">
        <v>5935</v>
      </c>
      <c r="K94" t="s">
        <v>22</v>
      </c>
      <c r="L94">
        <v>3</v>
      </c>
      <c r="M94">
        <v>2</v>
      </c>
      <c r="N94">
        <v>1</v>
      </c>
      <c r="O94">
        <v>0</v>
      </c>
      <c r="P94">
        <v>1</v>
      </c>
      <c r="Q94" t="s">
        <v>42</v>
      </c>
      <c r="R94" t="str" cm="1">
        <f t="array" ref="R94">_xlfn.IFS(N94&lt;=1,"0-1 yrs",N94&lt;=4,"2-4 yrs",N94&lt;=9,"5-9 yrs",N94&gt;9,"10+ yrs")</f>
        <v>0-1 yrs</v>
      </c>
      <c r="S94" t="str" cm="1">
        <f t="array" ref="S94">_xlfn.IFS(B94&lt;=25,"20-25",B94&lt;=35,"26-35",B94&lt;=45,"36-45",B94&gt;45,"46+")</f>
        <v>20-25</v>
      </c>
      <c r="T94" t="str" cm="1">
        <f t="array" ref="T94">_xlfn.IFS(J94&lt;3500,"&lt;3.5K",J94&lt;5500,"3.5-5.5K",J94&lt;7500,"5.5-7.5K",J94&gt;=7500,"7.5K+")</f>
        <v>5.5-7.5K</v>
      </c>
      <c r="U94">
        <f t="shared" si="1"/>
        <v>1</v>
      </c>
    </row>
    <row r="95" spans="1:21" x14ac:dyDescent="0.25">
      <c r="A95">
        <v>1462</v>
      </c>
      <c r="B95">
        <v>24</v>
      </c>
      <c r="C95" t="s">
        <v>23</v>
      </c>
      <c r="D95" t="s">
        <v>17</v>
      </c>
      <c r="E95" t="s">
        <v>40</v>
      </c>
      <c r="F95" t="s">
        <v>26</v>
      </c>
      <c r="G95" t="s">
        <v>33</v>
      </c>
      <c r="H95" t="s">
        <v>30</v>
      </c>
      <c r="I95">
        <v>20</v>
      </c>
      <c r="J95" s="2">
        <v>5203</v>
      </c>
      <c r="K95" t="s">
        <v>42</v>
      </c>
      <c r="L95">
        <v>4</v>
      </c>
      <c r="M95">
        <v>3</v>
      </c>
      <c r="N95">
        <v>0</v>
      </c>
      <c r="O95">
        <v>0</v>
      </c>
      <c r="P95">
        <v>0</v>
      </c>
      <c r="Q95" t="s">
        <v>22</v>
      </c>
      <c r="R95" t="str" cm="1">
        <f t="array" ref="R95">_xlfn.IFS(N95&lt;=1,"0-1 yrs",N95&lt;=4,"2-4 yrs",N95&lt;=9,"5-9 yrs",N95&gt;9,"10+ yrs")</f>
        <v>0-1 yrs</v>
      </c>
      <c r="S95" t="str" cm="1">
        <f t="array" ref="S95">_xlfn.IFS(B95&lt;=25,"20-25",B95&lt;=35,"26-35",B95&lt;=45,"36-45",B95&gt;45,"46+")</f>
        <v>20-25</v>
      </c>
      <c r="T95" t="str" cm="1">
        <f t="array" ref="T95">_xlfn.IFS(J95&lt;3500,"&lt;3.5K",J95&lt;5500,"3.5-5.5K",J95&lt;7500,"5.5-7.5K",J95&gt;=7500,"7.5K+")</f>
        <v>3.5-5.5K</v>
      </c>
      <c r="U95">
        <f t="shared" si="1"/>
        <v>0</v>
      </c>
    </row>
    <row r="96" spans="1:21" x14ac:dyDescent="0.25">
      <c r="A96">
        <v>1341</v>
      </c>
      <c r="B96">
        <v>32</v>
      </c>
      <c r="C96" t="s">
        <v>16</v>
      </c>
      <c r="D96" t="s">
        <v>17</v>
      </c>
      <c r="E96" t="s">
        <v>35</v>
      </c>
      <c r="F96" t="s">
        <v>36</v>
      </c>
      <c r="G96" t="s">
        <v>33</v>
      </c>
      <c r="H96" t="s">
        <v>34</v>
      </c>
      <c r="I96">
        <v>23</v>
      </c>
      <c r="J96" s="2">
        <v>8918</v>
      </c>
      <c r="K96" t="s">
        <v>22</v>
      </c>
      <c r="L96">
        <v>1</v>
      </c>
      <c r="M96">
        <v>3</v>
      </c>
      <c r="N96">
        <v>9</v>
      </c>
      <c r="O96">
        <v>2</v>
      </c>
      <c r="P96">
        <v>10</v>
      </c>
      <c r="Q96" t="s">
        <v>22</v>
      </c>
      <c r="R96" t="str" cm="1">
        <f t="array" ref="R96">_xlfn.IFS(N96&lt;=1,"0-1 yrs",N96&lt;=4,"2-4 yrs",N96&lt;=9,"5-9 yrs",N96&gt;9,"10+ yrs")</f>
        <v>5-9 yrs</v>
      </c>
      <c r="S96" t="str" cm="1">
        <f t="array" ref="S96">_xlfn.IFS(B96&lt;=25,"20-25",B96&lt;=35,"26-35",B96&lt;=45,"36-45",B96&gt;45,"46+")</f>
        <v>26-35</v>
      </c>
      <c r="T96" t="str" cm="1">
        <f t="array" ref="T96">_xlfn.IFS(J96&lt;3500,"&lt;3.5K",J96&lt;5500,"3.5-5.5K",J96&lt;7500,"5.5-7.5K",J96&gt;=7500,"7.5K+")</f>
        <v>7.5K+</v>
      </c>
      <c r="U96">
        <f t="shared" si="1"/>
        <v>0</v>
      </c>
    </row>
    <row r="97" spans="1:21" x14ac:dyDescent="0.25">
      <c r="A97">
        <v>1803</v>
      </c>
      <c r="B97">
        <v>32</v>
      </c>
      <c r="C97" t="s">
        <v>23</v>
      </c>
      <c r="D97" t="s">
        <v>24</v>
      </c>
      <c r="E97" t="s">
        <v>52</v>
      </c>
      <c r="F97" t="s">
        <v>32</v>
      </c>
      <c r="G97" t="s">
        <v>20</v>
      </c>
      <c r="H97" t="s">
        <v>30</v>
      </c>
      <c r="I97">
        <v>21</v>
      </c>
      <c r="J97" s="2">
        <v>4867</v>
      </c>
      <c r="K97" t="s">
        <v>42</v>
      </c>
      <c r="L97">
        <v>4</v>
      </c>
      <c r="M97">
        <v>2</v>
      </c>
      <c r="N97">
        <v>2</v>
      </c>
      <c r="O97">
        <v>0</v>
      </c>
      <c r="P97">
        <v>5</v>
      </c>
      <c r="Q97" t="s">
        <v>22</v>
      </c>
      <c r="R97" t="str" cm="1">
        <f t="array" ref="R97">_xlfn.IFS(N97&lt;=1,"0-1 yrs",N97&lt;=4,"2-4 yrs",N97&lt;=9,"5-9 yrs",N97&gt;9,"10+ yrs")</f>
        <v>2-4 yrs</v>
      </c>
      <c r="S97" t="str" cm="1">
        <f t="array" ref="S97">_xlfn.IFS(B97&lt;=25,"20-25",B97&lt;=35,"26-35",B97&lt;=45,"36-45",B97&gt;45,"46+")</f>
        <v>26-35</v>
      </c>
      <c r="T97" t="str" cm="1">
        <f t="array" ref="T97">_xlfn.IFS(J97&lt;3500,"&lt;3.5K",J97&lt;5500,"3.5-5.5K",J97&lt;7500,"5.5-7.5K",J97&gt;=7500,"7.5K+")</f>
        <v>3.5-5.5K</v>
      </c>
      <c r="U97">
        <f t="shared" si="1"/>
        <v>0</v>
      </c>
    </row>
    <row r="98" spans="1:21" x14ac:dyDescent="0.25">
      <c r="A98">
        <v>1851</v>
      </c>
      <c r="B98">
        <v>24</v>
      </c>
      <c r="C98" t="s">
        <v>23</v>
      </c>
      <c r="D98" t="s">
        <v>17</v>
      </c>
      <c r="E98" t="s">
        <v>35</v>
      </c>
      <c r="F98" t="s">
        <v>41</v>
      </c>
      <c r="G98" t="s">
        <v>37</v>
      </c>
      <c r="H98" t="s">
        <v>21</v>
      </c>
      <c r="I98">
        <v>15</v>
      </c>
      <c r="J98" s="2">
        <v>5770</v>
      </c>
      <c r="K98" t="s">
        <v>22</v>
      </c>
      <c r="L98">
        <v>3</v>
      </c>
      <c r="M98">
        <v>3</v>
      </c>
      <c r="N98">
        <v>0</v>
      </c>
      <c r="O98">
        <v>0</v>
      </c>
      <c r="P98">
        <v>0</v>
      </c>
      <c r="Q98" t="s">
        <v>42</v>
      </c>
      <c r="R98" t="str" cm="1">
        <f t="array" ref="R98">_xlfn.IFS(N98&lt;=1,"0-1 yrs",N98&lt;=4,"2-4 yrs",N98&lt;=9,"5-9 yrs",N98&gt;9,"10+ yrs")</f>
        <v>0-1 yrs</v>
      </c>
      <c r="S98" t="str" cm="1">
        <f t="array" ref="S98">_xlfn.IFS(B98&lt;=25,"20-25",B98&lt;=35,"26-35",B98&lt;=45,"36-45",B98&gt;45,"46+")</f>
        <v>20-25</v>
      </c>
      <c r="T98" t="str" cm="1">
        <f t="array" ref="T98">_xlfn.IFS(J98&lt;3500,"&lt;3.5K",J98&lt;5500,"3.5-5.5K",J98&lt;7500,"5.5-7.5K",J98&gt;=7500,"7.5K+")</f>
        <v>5.5-7.5K</v>
      </c>
      <c r="U98">
        <f t="shared" si="1"/>
        <v>1</v>
      </c>
    </row>
    <row r="99" spans="1:21" x14ac:dyDescent="0.25">
      <c r="A99">
        <v>1133</v>
      </c>
      <c r="B99">
        <v>59</v>
      </c>
      <c r="C99" t="s">
        <v>16</v>
      </c>
      <c r="D99" t="s">
        <v>24</v>
      </c>
      <c r="E99" t="s">
        <v>25</v>
      </c>
      <c r="F99" t="s">
        <v>38</v>
      </c>
      <c r="G99" t="s">
        <v>20</v>
      </c>
      <c r="H99" t="s">
        <v>21</v>
      </c>
      <c r="I99">
        <v>23</v>
      </c>
      <c r="J99" s="2">
        <v>13408</v>
      </c>
      <c r="K99" t="s">
        <v>22</v>
      </c>
      <c r="L99">
        <v>2</v>
      </c>
      <c r="M99">
        <v>3</v>
      </c>
      <c r="N99">
        <v>8</v>
      </c>
      <c r="O99">
        <v>8</v>
      </c>
      <c r="P99">
        <v>22</v>
      </c>
      <c r="Q99" t="s">
        <v>22</v>
      </c>
      <c r="R99" t="str" cm="1">
        <f t="array" ref="R99">_xlfn.IFS(N99&lt;=1,"0-1 yrs",N99&lt;=4,"2-4 yrs",N99&lt;=9,"5-9 yrs",N99&gt;9,"10+ yrs")</f>
        <v>5-9 yrs</v>
      </c>
      <c r="S99" t="str" cm="1">
        <f t="array" ref="S99">_xlfn.IFS(B99&lt;=25,"20-25",B99&lt;=35,"26-35",B99&lt;=45,"36-45",B99&gt;45,"46+")</f>
        <v>46+</v>
      </c>
      <c r="T99" t="str" cm="1">
        <f t="array" ref="T99">_xlfn.IFS(J99&lt;3500,"&lt;3.5K",J99&lt;5500,"3.5-5.5K",J99&lt;7500,"5.5-7.5K",J99&gt;=7500,"7.5K+")</f>
        <v>7.5K+</v>
      </c>
      <c r="U99">
        <f t="shared" si="1"/>
        <v>0</v>
      </c>
    </row>
    <row r="100" spans="1:21" x14ac:dyDescent="0.25">
      <c r="A100">
        <v>1665</v>
      </c>
      <c r="B100">
        <v>58</v>
      </c>
      <c r="C100" t="s">
        <v>23</v>
      </c>
      <c r="D100" t="s">
        <v>27</v>
      </c>
      <c r="E100" t="s">
        <v>28</v>
      </c>
      <c r="F100" t="s">
        <v>29</v>
      </c>
      <c r="G100" t="s">
        <v>37</v>
      </c>
      <c r="H100" t="s">
        <v>34</v>
      </c>
      <c r="I100">
        <v>18</v>
      </c>
      <c r="J100" s="2">
        <v>14685</v>
      </c>
      <c r="K100" t="s">
        <v>22</v>
      </c>
      <c r="L100">
        <v>4</v>
      </c>
      <c r="M100">
        <v>4</v>
      </c>
      <c r="N100">
        <v>25</v>
      </c>
      <c r="O100">
        <v>20</v>
      </c>
      <c r="P100">
        <v>35</v>
      </c>
      <c r="Q100" t="s">
        <v>22</v>
      </c>
      <c r="R100" t="str" cm="1">
        <f t="array" ref="R100">_xlfn.IFS(N100&lt;=1,"0-1 yrs",N100&lt;=4,"2-4 yrs",N100&lt;=9,"5-9 yrs",N100&gt;9,"10+ yrs")</f>
        <v>10+ yrs</v>
      </c>
      <c r="S100" t="str" cm="1">
        <f t="array" ref="S100">_xlfn.IFS(B100&lt;=25,"20-25",B100&lt;=35,"26-35",B100&lt;=45,"36-45",B100&gt;45,"46+")</f>
        <v>46+</v>
      </c>
      <c r="T100" t="str" cm="1">
        <f t="array" ref="T100">_xlfn.IFS(J100&lt;3500,"&lt;3.5K",J100&lt;5500,"3.5-5.5K",J100&lt;7500,"5.5-7.5K",J100&gt;=7500,"7.5K+")</f>
        <v>7.5K+</v>
      </c>
      <c r="U100">
        <f t="shared" si="1"/>
        <v>0</v>
      </c>
    </row>
    <row r="101" spans="1:21" x14ac:dyDescent="0.25">
      <c r="A101">
        <v>1037</v>
      </c>
      <c r="B101">
        <v>51</v>
      </c>
      <c r="C101" t="s">
        <v>16</v>
      </c>
      <c r="D101" t="s">
        <v>27</v>
      </c>
      <c r="E101" t="s">
        <v>43</v>
      </c>
      <c r="F101" t="s">
        <v>32</v>
      </c>
      <c r="G101" t="s">
        <v>37</v>
      </c>
      <c r="H101" t="s">
        <v>30</v>
      </c>
      <c r="I101">
        <v>27</v>
      </c>
      <c r="J101" s="2">
        <v>12610</v>
      </c>
      <c r="K101" t="s">
        <v>22</v>
      </c>
      <c r="L101">
        <v>3</v>
      </c>
      <c r="M101">
        <v>4</v>
      </c>
      <c r="N101">
        <v>0</v>
      </c>
      <c r="O101">
        <v>0</v>
      </c>
      <c r="P101">
        <v>28</v>
      </c>
      <c r="Q101" t="s">
        <v>22</v>
      </c>
      <c r="R101" t="str" cm="1">
        <f t="array" ref="R101">_xlfn.IFS(N101&lt;=1,"0-1 yrs",N101&lt;=4,"2-4 yrs",N101&lt;=9,"5-9 yrs",N101&gt;9,"10+ yrs")</f>
        <v>0-1 yrs</v>
      </c>
      <c r="S101" t="str" cm="1">
        <f t="array" ref="S101">_xlfn.IFS(B101&lt;=25,"20-25",B101&lt;=35,"26-35",B101&lt;=45,"36-45",B101&gt;45,"46+")</f>
        <v>46+</v>
      </c>
      <c r="T101" t="str" cm="1">
        <f t="array" ref="T101">_xlfn.IFS(J101&lt;3500,"&lt;3.5K",J101&lt;5500,"3.5-5.5K",J101&lt;7500,"5.5-7.5K",J101&gt;=7500,"7.5K+")</f>
        <v>7.5K+</v>
      </c>
      <c r="U101">
        <f t="shared" si="1"/>
        <v>0</v>
      </c>
    </row>
    <row r="102" spans="1:21" x14ac:dyDescent="0.25">
      <c r="A102">
        <v>1729</v>
      </c>
      <c r="B102">
        <v>27</v>
      </c>
      <c r="C102" t="s">
        <v>23</v>
      </c>
      <c r="D102" t="s">
        <v>17</v>
      </c>
      <c r="E102" t="s">
        <v>18</v>
      </c>
      <c r="F102" t="s">
        <v>26</v>
      </c>
      <c r="G102" t="s">
        <v>37</v>
      </c>
      <c r="H102" t="s">
        <v>30</v>
      </c>
      <c r="I102">
        <v>29</v>
      </c>
      <c r="J102" s="2">
        <v>10352</v>
      </c>
      <c r="K102" t="s">
        <v>42</v>
      </c>
      <c r="L102">
        <v>1</v>
      </c>
      <c r="M102">
        <v>3</v>
      </c>
      <c r="N102">
        <v>6</v>
      </c>
      <c r="O102">
        <v>2</v>
      </c>
      <c r="P102">
        <v>7</v>
      </c>
      <c r="Q102" t="s">
        <v>42</v>
      </c>
      <c r="R102" t="str" cm="1">
        <f t="array" ref="R102">_xlfn.IFS(N102&lt;=1,"0-1 yrs",N102&lt;=4,"2-4 yrs",N102&lt;=9,"5-9 yrs",N102&gt;9,"10+ yrs")</f>
        <v>5-9 yrs</v>
      </c>
      <c r="S102" t="str" cm="1">
        <f t="array" ref="S102">_xlfn.IFS(B102&lt;=25,"20-25",B102&lt;=35,"26-35",B102&lt;=45,"36-45",B102&gt;45,"46+")</f>
        <v>26-35</v>
      </c>
      <c r="T102" t="str" cm="1">
        <f t="array" ref="T102">_xlfn.IFS(J102&lt;3500,"&lt;3.5K",J102&lt;5500,"3.5-5.5K",J102&lt;7500,"5.5-7.5K",J102&gt;=7500,"7.5K+")</f>
        <v>7.5K+</v>
      </c>
      <c r="U102">
        <f t="shared" si="1"/>
        <v>1</v>
      </c>
    </row>
    <row r="103" spans="1:21" x14ac:dyDescent="0.25">
      <c r="A103">
        <v>1923</v>
      </c>
      <c r="B103">
        <v>32</v>
      </c>
      <c r="C103" t="s">
        <v>16</v>
      </c>
      <c r="D103" t="s">
        <v>47</v>
      </c>
      <c r="E103" t="s">
        <v>50</v>
      </c>
      <c r="F103" t="s">
        <v>29</v>
      </c>
      <c r="G103" t="s">
        <v>37</v>
      </c>
      <c r="H103" t="s">
        <v>30</v>
      </c>
      <c r="I103">
        <v>11</v>
      </c>
      <c r="J103" s="2">
        <v>6947</v>
      </c>
      <c r="K103" t="s">
        <v>22</v>
      </c>
      <c r="L103">
        <v>1</v>
      </c>
      <c r="M103">
        <v>1</v>
      </c>
      <c r="N103">
        <v>0</v>
      </c>
      <c r="O103">
        <v>0</v>
      </c>
      <c r="P103">
        <v>8</v>
      </c>
      <c r="Q103" t="s">
        <v>22</v>
      </c>
      <c r="R103" t="str" cm="1">
        <f t="array" ref="R103">_xlfn.IFS(N103&lt;=1,"0-1 yrs",N103&lt;=4,"2-4 yrs",N103&lt;=9,"5-9 yrs",N103&gt;9,"10+ yrs")</f>
        <v>0-1 yrs</v>
      </c>
      <c r="S103" t="str" cm="1">
        <f t="array" ref="S103">_xlfn.IFS(B103&lt;=25,"20-25",B103&lt;=35,"26-35",B103&lt;=45,"36-45",B103&gt;45,"46+")</f>
        <v>26-35</v>
      </c>
      <c r="T103" t="str" cm="1">
        <f t="array" ref="T103">_xlfn.IFS(J103&lt;3500,"&lt;3.5K",J103&lt;5500,"3.5-5.5K",J103&lt;7500,"5.5-7.5K",J103&gt;=7500,"7.5K+")</f>
        <v>5.5-7.5K</v>
      </c>
      <c r="U103">
        <f t="shared" si="1"/>
        <v>0</v>
      </c>
    </row>
    <row r="104" spans="1:21" x14ac:dyDescent="0.25">
      <c r="A104">
        <v>1468</v>
      </c>
      <c r="B104">
        <v>37</v>
      </c>
      <c r="C104" t="s">
        <v>16</v>
      </c>
      <c r="D104" t="s">
        <v>24</v>
      </c>
      <c r="E104" t="s">
        <v>45</v>
      </c>
      <c r="F104" t="s">
        <v>36</v>
      </c>
      <c r="G104" t="s">
        <v>37</v>
      </c>
      <c r="H104" t="s">
        <v>30</v>
      </c>
      <c r="I104">
        <v>4</v>
      </c>
      <c r="J104" s="2">
        <v>8861</v>
      </c>
      <c r="K104" t="s">
        <v>22</v>
      </c>
      <c r="L104">
        <v>4</v>
      </c>
      <c r="M104">
        <v>4</v>
      </c>
      <c r="N104">
        <v>0</v>
      </c>
      <c r="O104">
        <v>0</v>
      </c>
      <c r="P104">
        <v>17</v>
      </c>
      <c r="Q104" t="s">
        <v>22</v>
      </c>
      <c r="R104" t="str" cm="1">
        <f t="array" ref="R104">_xlfn.IFS(N104&lt;=1,"0-1 yrs",N104&lt;=4,"2-4 yrs",N104&lt;=9,"5-9 yrs",N104&gt;9,"10+ yrs")</f>
        <v>0-1 yrs</v>
      </c>
      <c r="S104" t="str" cm="1">
        <f t="array" ref="S104">_xlfn.IFS(B104&lt;=25,"20-25",B104&lt;=35,"26-35",B104&lt;=45,"36-45",B104&gt;45,"46+")</f>
        <v>36-45</v>
      </c>
      <c r="T104" t="str" cm="1">
        <f t="array" ref="T104">_xlfn.IFS(J104&lt;3500,"&lt;3.5K",J104&lt;5500,"3.5-5.5K",J104&lt;7500,"5.5-7.5K",J104&gt;=7500,"7.5K+")</f>
        <v>7.5K+</v>
      </c>
      <c r="U104">
        <f t="shared" si="1"/>
        <v>0</v>
      </c>
    </row>
    <row r="105" spans="1:21" x14ac:dyDescent="0.25">
      <c r="A105">
        <v>1370</v>
      </c>
      <c r="B105">
        <v>41</v>
      </c>
      <c r="C105" t="s">
        <v>23</v>
      </c>
      <c r="D105" t="s">
        <v>27</v>
      </c>
      <c r="E105" t="s">
        <v>44</v>
      </c>
      <c r="F105" t="s">
        <v>36</v>
      </c>
      <c r="G105" t="s">
        <v>33</v>
      </c>
      <c r="H105" t="s">
        <v>21</v>
      </c>
      <c r="I105">
        <v>24</v>
      </c>
      <c r="J105" s="2">
        <v>9127</v>
      </c>
      <c r="K105" t="s">
        <v>22</v>
      </c>
      <c r="L105">
        <v>3</v>
      </c>
      <c r="M105">
        <v>2</v>
      </c>
      <c r="N105">
        <v>13</v>
      </c>
      <c r="O105">
        <v>2</v>
      </c>
      <c r="P105">
        <v>18</v>
      </c>
      <c r="Q105" t="s">
        <v>22</v>
      </c>
      <c r="R105" t="str" cm="1">
        <f t="array" ref="R105">_xlfn.IFS(N105&lt;=1,"0-1 yrs",N105&lt;=4,"2-4 yrs",N105&lt;=9,"5-9 yrs",N105&gt;9,"10+ yrs")</f>
        <v>10+ yrs</v>
      </c>
      <c r="S105" t="str" cm="1">
        <f t="array" ref="S105">_xlfn.IFS(B105&lt;=25,"20-25",B105&lt;=35,"26-35",B105&lt;=45,"36-45",B105&gt;45,"46+")</f>
        <v>36-45</v>
      </c>
      <c r="T105" t="str" cm="1">
        <f t="array" ref="T105">_xlfn.IFS(J105&lt;3500,"&lt;3.5K",J105&lt;5500,"3.5-5.5K",J105&lt;7500,"5.5-7.5K",J105&gt;=7500,"7.5K+")</f>
        <v>7.5K+</v>
      </c>
      <c r="U105">
        <f t="shared" si="1"/>
        <v>0</v>
      </c>
    </row>
    <row r="106" spans="1:21" x14ac:dyDescent="0.25">
      <c r="A106">
        <v>1887</v>
      </c>
      <c r="B106">
        <v>38</v>
      </c>
      <c r="C106" t="s">
        <v>23</v>
      </c>
      <c r="D106" t="s">
        <v>27</v>
      </c>
      <c r="E106" t="s">
        <v>28</v>
      </c>
      <c r="F106" t="s">
        <v>29</v>
      </c>
      <c r="G106" t="s">
        <v>37</v>
      </c>
      <c r="H106" t="s">
        <v>30</v>
      </c>
      <c r="I106">
        <v>15</v>
      </c>
      <c r="J106" s="2">
        <v>11869</v>
      </c>
      <c r="K106" t="s">
        <v>22</v>
      </c>
      <c r="L106">
        <v>3</v>
      </c>
      <c r="M106">
        <v>3</v>
      </c>
      <c r="N106">
        <v>7</v>
      </c>
      <c r="O106">
        <v>4</v>
      </c>
      <c r="P106">
        <v>15</v>
      </c>
      <c r="Q106" t="s">
        <v>22</v>
      </c>
      <c r="R106" t="str" cm="1">
        <f t="array" ref="R106">_xlfn.IFS(N106&lt;=1,"0-1 yrs",N106&lt;=4,"2-4 yrs",N106&lt;=9,"5-9 yrs",N106&gt;9,"10+ yrs")</f>
        <v>5-9 yrs</v>
      </c>
      <c r="S106" t="str" cm="1">
        <f t="array" ref="S106">_xlfn.IFS(B106&lt;=25,"20-25",B106&lt;=35,"26-35",B106&lt;=45,"36-45",B106&gt;45,"46+")</f>
        <v>36-45</v>
      </c>
      <c r="T106" t="str" cm="1">
        <f t="array" ref="T106">_xlfn.IFS(J106&lt;3500,"&lt;3.5K",J106&lt;5500,"3.5-5.5K",J106&lt;7500,"5.5-7.5K",J106&gt;=7500,"7.5K+")</f>
        <v>7.5K+</v>
      </c>
      <c r="U106">
        <f t="shared" si="1"/>
        <v>0</v>
      </c>
    </row>
    <row r="107" spans="1:21" x14ac:dyDescent="0.25">
      <c r="A107">
        <v>1380</v>
      </c>
      <c r="B107">
        <v>33</v>
      </c>
      <c r="C107" t="s">
        <v>23</v>
      </c>
      <c r="D107" t="s">
        <v>27</v>
      </c>
      <c r="E107" t="s">
        <v>43</v>
      </c>
      <c r="F107" t="s">
        <v>19</v>
      </c>
      <c r="G107" t="s">
        <v>20</v>
      </c>
      <c r="H107" t="s">
        <v>34</v>
      </c>
      <c r="I107">
        <v>20</v>
      </c>
      <c r="J107" s="2">
        <v>6007</v>
      </c>
      <c r="K107" t="s">
        <v>22</v>
      </c>
      <c r="L107">
        <v>3</v>
      </c>
      <c r="M107">
        <v>1</v>
      </c>
      <c r="N107">
        <v>8</v>
      </c>
      <c r="O107">
        <v>1</v>
      </c>
      <c r="P107">
        <v>8</v>
      </c>
      <c r="Q107" t="s">
        <v>22</v>
      </c>
      <c r="R107" t="str" cm="1">
        <f t="array" ref="R107">_xlfn.IFS(N107&lt;=1,"0-1 yrs",N107&lt;=4,"2-4 yrs",N107&lt;=9,"5-9 yrs",N107&gt;9,"10+ yrs")</f>
        <v>5-9 yrs</v>
      </c>
      <c r="S107" t="str" cm="1">
        <f t="array" ref="S107">_xlfn.IFS(B107&lt;=25,"20-25",B107&lt;=35,"26-35",B107&lt;=45,"36-45",B107&gt;45,"46+")</f>
        <v>26-35</v>
      </c>
      <c r="T107" t="str" cm="1">
        <f t="array" ref="T107">_xlfn.IFS(J107&lt;3500,"&lt;3.5K",J107&lt;5500,"3.5-5.5K",J107&lt;7500,"5.5-7.5K",J107&gt;=7500,"7.5K+")</f>
        <v>5.5-7.5K</v>
      </c>
      <c r="U107">
        <f t="shared" si="1"/>
        <v>0</v>
      </c>
    </row>
    <row r="108" spans="1:21" x14ac:dyDescent="0.25">
      <c r="A108">
        <v>1132</v>
      </c>
      <c r="B108">
        <v>23</v>
      </c>
      <c r="C108" t="s">
        <v>16</v>
      </c>
      <c r="D108" t="s">
        <v>27</v>
      </c>
      <c r="E108" t="s">
        <v>28</v>
      </c>
      <c r="F108" t="s">
        <v>29</v>
      </c>
      <c r="G108" t="s">
        <v>20</v>
      </c>
      <c r="H108" t="s">
        <v>30</v>
      </c>
      <c r="I108">
        <v>6</v>
      </c>
      <c r="J108" s="2">
        <v>7971</v>
      </c>
      <c r="K108" t="s">
        <v>22</v>
      </c>
      <c r="L108">
        <v>4</v>
      </c>
      <c r="M108">
        <v>4</v>
      </c>
      <c r="N108">
        <v>0</v>
      </c>
      <c r="O108">
        <v>0</v>
      </c>
      <c r="P108">
        <v>0</v>
      </c>
      <c r="Q108" t="s">
        <v>22</v>
      </c>
      <c r="R108" t="str" cm="1">
        <f t="array" ref="R108">_xlfn.IFS(N108&lt;=1,"0-1 yrs",N108&lt;=4,"2-4 yrs",N108&lt;=9,"5-9 yrs",N108&gt;9,"10+ yrs")</f>
        <v>0-1 yrs</v>
      </c>
      <c r="S108" t="str" cm="1">
        <f t="array" ref="S108">_xlfn.IFS(B108&lt;=25,"20-25",B108&lt;=35,"26-35",B108&lt;=45,"36-45",B108&gt;45,"46+")</f>
        <v>20-25</v>
      </c>
      <c r="T108" t="str" cm="1">
        <f t="array" ref="T108">_xlfn.IFS(J108&lt;3500,"&lt;3.5K",J108&lt;5500,"3.5-5.5K",J108&lt;7500,"5.5-7.5K",J108&gt;=7500,"7.5K+")</f>
        <v>7.5K+</v>
      </c>
      <c r="U108">
        <f t="shared" si="1"/>
        <v>0</v>
      </c>
    </row>
    <row r="109" spans="1:21" x14ac:dyDescent="0.25">
      <c r="A109">
        <v>1291</v>
      </c>
      <c r="B109">
        <v>33</v>
      </c>
      <c r="C109" t="s">
        <v>16</v>
      </c>
      <c r="D109" t="s">
        <v>17</v>
      </c>
      <c r="E109" t="s">
        <v>18</v>
      </c>
      <c r="F109" t="s">
        <v>19</v>
      </c>
      <c r="G109" t="s">
        <v>33</v>
      </c>
      <c r="H109" t="s">
        <v>30</v>
      </c>
      <c r="I109">
        <v>2</v>
      </c>
      <c r="J109" s="2">
        <v>8422</v>
      </c>
      <c r="K109" t="s">
        <v>22</v>
      </c>
      <c r="M109">
        <v>4</v>
      </c>
      <c r="N109">
        <v>0</v>
      </c>
      <c r="O109">
        <v>0</v>
      </c>
      <c r="P109">
        <v>0</v>
      </c>
      <c r="Q109" t="s">
        <v>22</v>
      </c>
      <c r="R109" t="str" cm="1">
        <f t="array" ref="R109">_xlfn.IFS(N109&lt;=1,"0-1 yrs",N109&lt;=4,"2-4 yrs",N109&lt;=9,"5-9 yrs",N109&gt;9,"10+ yrs")</f>
        <v>0-1 yrs</v>
      </c>
      <c r="S109" t="str" cm="1">
        <f t="array" ref="S109">_xlfn.IFS(B109&lt;=25,"20-25",B109&lt;=35,"26-35",B109&lt;=45,"36-45",B109&gt;45,"46+")</f>
        <v>26-35</v>
      </c>
      <c r="T109" t="str" cm="1">
        <f t="array" ref="T109">_xlfn.IFS(J109&lt;3500,"&lt;3.5K",J109&lt;5500,"3.5-5.5K",J109&lt;7500,"5.5-7.5K",J109&gt;=7500,"7.5K+")</f>
        <v>7.5K+</v>
      </c>
      <c r="U109">
        <f t="shared" si="1"/>
        <v>0</v>
      </c>
    </row>
    <row r="110" spans="1:21" x14ac:dyDescent="0.25">
      <c r="A110">
        <v>1541</v>
      </c>
      <c r="B110">
        <v>58</v>
      </c>
      <c r="C110" t="s">
        <v>16</v>
      </c>
      <c r="D110" t="s">
        <v>24</v>
      </c>
      <c r="E110" t="s">
        <v>45</v>
      </c>
      <c r="F110" t="s">
        <v>38</v>
      </c>
      <c r="G110" t="s">
        <v>37</v>
      </c>
      <c r="H110" t="s">
        <v>21</v>
      </c>
      <c r="I110">
        <v>14</v>
      </c>
      <c r="J110" s="2">
        <v>13372</v>
      </c>
      <c r="K110" t="s">
        <v>22</v>
      </c>
      <c r="L110">
        <v>1</v>
      </c>
      <c r="M110">
        <v>1</v>
      </c>
      <c r="N110">
        <v>4</v>
      </c>
      <c r="O110">
        <v>0</v>
      </c>
      <c r="P110">
        <v>28</v>
      </c>
      <c r="Q110" t="s">
        <v>22</v>
      </c>
      <c r="R110" t="str" cm="1">
        <f t="array" ref="R110">_xlfn.IFS(N110&lt;=1,"0-1 yrs",N110&lt;=4,"2-4 yrs",N110&lt;=9,"5-9 yrs",N110&gt;9,"10+ yrs")</f>
        <v>2-4 yrs</v>
      </c>
      <c r="S110" t="str" cm="1">
        <f t="array" ref="S110">_xlfn.IFS(B110&lt;=25,"20-25",B110&lt;=35,"26-35",B110&lt;=45,"36-45",B110&gt;45,"46+")</f>
        <v>46+</v>
      </c>
      <c r="T110" t="str" cm="1">
        <f t="array" ref="T110">_xlfn.IFS(J110&lt;3500,"&lt;3.5K",J110&lt;5500,"3.5-5.5K",J110&lt;7500,"5.5-7.5K",J110&gt;=7500,"7.5K+")</f>
        <v>7.5K+</v>
      </c>
      <c r="U110">
        <f t="shared" si="1"/>
        <v>0</v>
      </c>
    </row>
    <row r="111" spans="1:21" x14ac:dyDescent="0.25">
      <c r="A111">
        <v>1536</v>
      </c>
      <c r="B111">
        <v>27</v>
      </c>
      <c r="C111" t="s">
        <v>23</v>
      </c>
      <c r="D111" t="s">
        <v>27</v>
      </c>
      <c r="E111" t="s">
        <v>28</v>
      </c>
      <c r="F111" t="s">
        <v>36</v>
      </c>
      <c r="G111" t="s">
        <v>20</v>
      </c>
      <c r="H111" t="s">
        <v>30</v>
      </c>
      <c r="I111">
        <v>8</v>
      </c>
      <c r="J111" s="2">
        <v>11176</v>
      </c>
      <c r="K111" t="s">
        <v>22</v>
      </c>
      <c r="L111">
        <v>4</v>
      </c>
      <c r="M111">
        <v>1</v>
      </c>
      <c r="N111">
        <v>2</v>
      </c>
      <c r="O111">
        <v>1</v>
      </c>
      <c r="P111">
        <v>2</v>
      </c>
      <c r="Q111" t="s">
        <v>22</v>
      </c>
      <c r="R111" t="str" cm="1">
        <f t="array" ref="R111">_xlfn.IFS(N111&lt;=1,"0-1 yrs",N111&lt;=4,"2-4 yrs",N111&lt;=9,"5-9 yrs",N111&gt;9,"10+ yrs")</f>
        <v>2-4 yrs</v>
      </c>
      <c r="S111" t="str" cm="1">
        <f t="array" ref="S111">_xlfn.IFS(B111&lt;=25,"20-25",B111&lt;=35,"26-35",B111&lt;=45,"36-45",B111&gt;45,"46+")</f>
        <v>26-35</v>
      </c>
      <c r="T111" t="str" cm="1">
        <f t="array" ref="T111">_xlfn.IFS(J111&lt;3500,"&lt;3.5K",J111&lt;5500,"3.5-5.5K",J111&lt;7500,"5.5-7.5K",J111&gt;=7500,"7.5K+")</f>
        <v>7.5K+</v>
      </c>
      <c r="U111">
        <f t="shared" si="1"/>
        <v>0</v>
      </c>
    </row>
    <row r="112" spans="1:21" x14ac:dyDescent="0.25">
      <c r="A112">
        <v>1051</v>
      </c>
      <c r="B112">
        <v>25</v>
      </c>
      <c r="C112" t="s">
        <v>23</v>
      </c>
      <c r="D112" t="s">
        <v>17</v>
      </c>
      <c r="E112" t="s">
        <v>18</v>
      </c>
      <c r="F112" t="s">
        <v>36</v>
      </c>
      <c r="G112" t="s">
        <v>33</v>
      </c>
      <c r="H112" t="s">
        <v>21</v>
      </c>
      <c r="I112">
        <v>20</v>
      </c>
      <c r="J112" s="2">
        <v>9781</v>
      </c>
      <c r="K112" t="s">
        <v>22</v>
      </c>
      <c r="L112">
        <v>1</v>
      </c>
      <c r="M112">
        <v>4</v>
      </c>
      <c r="N112">
        <v>0</v>
      </c>
      <c r="O112">
        <v>0</v>
      </c>
      <c r="P112">
        <v>2</v>
      </c>
      <c r="Q112" t="s">
        <v>42</v>
      </c>
      <c r="R112" t="str" cm="1">
        <f t="array" ref="R112">_xlfn.IFS(N112&lt;=1,"0-1 yrs",N112&lt;=4,"2-4 yrs",N112&lt;=9,"5-9 yrs",N112&gt;9,"10+ yrs")</f>
        <v>0-1 yrs</v>
      </c>
      <c r="S112" t="str" cm="1">
        <f t="array" ref="S112">_xlfn.IFS(B112&lt;=25,"20-25",B112&lt;=35,"26-35",B112&lt;=45,"36-45",B112&gt;45,"46+")</f>
        <v>20-25</v>
      </c>
      <c r="T112" t="str" cm="1">
        <f t="array" ref="T112">_xlfn.IFS(J112&lt;3500,"&lt;3.5K",J112&lt;5500,"3.5-5.5K",J112&lt;7500,"5.5-7.5K",J112&gt;=7500,"7.5K+")</f>
        <v>7.5K+</v>
      </c>
      <c r="U112">
        <f t="shared" si="1"/>
        <v>1</v>
      </c>
    </row>
    <row r="113" spans="1:21" x14ac:dyDescent="0.25">
      <c r="A113">
        <v>1404</v>
      </c>
      <c r="B113">
        <v>53</v>
      </c>
      <c r="C113" t="s">
        <v>23</v>
      </c>
      <c r="D113" t="s">
        <v>27</v>
      </c>
      <c r="E113" t="s">
        <v>43</v>
      </c>
      <c r="F113" t="s">
        <v>38</v>
      </c>
      <c r="G113" t="s">
        <v>20</v>
      </c>
      <c r="H113" t="s">
        <v>21</v>
      </c>
      <c r="I113">
        <v>4</v>
      </c>
      <c r="J113" s="2">
        <v>12428</v>
      </c>
      <c r="K113" t="s">
        <v>42</v>
      </c>
      <c r="L113">
        <v>1</v>
      </c>
      <c r="M113">
        <v>1</v>
      </c>
      <c r="N113">
        <v>5</v>
      </c>
      <c r="O113">
        <v>2</v>
      </c>
      <c r="P113">
        <v>25</v>
      </c>
      <c r="Q113" t="s">
        <v>22</v>
      </c>
      <c r="R113" t="str" cm="1">
        <f t="array" ref="R113">_xlfn.IFS(N113&lt;=1,"0-1 yrs",N113&lt;=4,"2-4 yrs",N113&lt;=9,"5-9 yrs",N113&gt;9,"10+ yrs")</f>
        <v>5-9 yrs</v>
      </c>
      <c r="S113" t="str" cm="1">
        <f t="array" ref="S113">_xlfn.IFS(B113&lt;=25,"20-25",B113&lt;=35,"26-35",B113&lt;=45,"36-45",B113&gt;45,"46+")</f>
        <v>46+</v>
      </c>
      <c r="T113" t="str" cm="1">
        <f t="array" ref="T113">_xlfn.IFS(J113&lt;3500,"&lt;3.5K",J113&lt;5500,"3.5-5.5K",J113&lt;7500,"5.5-7.5K",J113&gt;=7500,"7.5K+")</f>
        <v>7.5K+</v>
      </c>
      <c r="U113">
        <f t="shared" si="1"/>
        <v>0</v>
      </c>
    </row>
    <row r="114" spans="1:21" x14ac:dyDescent="0.25">
      <c r="A114">
        <v>1161</v>
      </c>
      <c r="B114">
        <v>22</v>
      </c>
      <c r="C114" t="s">
        <v>23</v>
      </c>
      <c r="D114" t="s">
        <v>27</v>
      </c>
      <c r="E114" t="s">
        <v>31</v>
      </c>
      <c r="F114" t="s">
        <v>26</v>
      </c>
      <c r="G114" t="s">
        <v>20</v>
      </c>
      <c r="H114" t="s">
        <v>30</v>
      </c>
      <c r="I114">
        <v>28</v>
      </c>
      <c r="J114" s="2">
        <v>7217</v>
      </c>
      <c r="K114" t="s">
        <v>42</v>
      </c>
      <c r="L114">
        <v>1</v>
      </c>
      <c r="M114">
        <v>2</v>
      </c>
      <c r="N114">
        <v>2</v>
      </c>
      <c r="O114">
        <v>1</v>
      </c>
      <c r="P114">
        <v>2</v>
      </c>
      <c r="Q114" t="s">
        <v>42</v>
      </c>
      <c r="R114" t="str" cm="1">
        <f t="array" ref="R114">_xlfn.IFS(N114&lt;=1,"0-1 yrs",N114&lt;=4,"2-4 yrs",N114&lt;=9,"5-9 yrs",N114&gt;9,"10+ yrs")</f>
        <v>2-4 yrs</v>
      </c>
      <c r="S114" t="str" cm="1">
        <f t="array" ref="S114">_xlfn.IFS(B114&lt;=25,"20-25",B114&lt;=35,"26-35",B114&lt;=45,"36-45",B114&gt;45,"46+")</f>
        <v>20-25</v>
      </c>
      <c r="T114" t="str" cm="1">
        <f t="array" ref="T114">_xlfn.IFS(J114&lt;3500,"&lt;3.5K",J114&lt;5500,"3.5-5.5K",J114&lt;7500,"5.5-7.5K",J114&gt;=7500,"7.5K+")</f>
        <v>5.5-7.5K</v>
      </c>
      <c r="U114">
        <f t="shared" si="1"/>
        <v>1</v>
      </c>
    </row>
    <row r="115" spans="1:21" x14ac:dyDescent="0.25">
      <c r="A115">
        <v>1463</v>
      </c>
      <c r="B115">
        <v>49</v>
      </c>
      <c r="C115" t="s">
        <v>16</v>
      </c>
      <c r="D115" t="s">
        <v>27</v>
      </c>
      <c r="E115" t="s">
        <v>28</v>
      </c>
      <c r="F115" t="s">
        <v>41</v>
      </c>
      <c r="G115" t="s">
        <v>20</v>
      </c>
      <c r="H115" t="s">
        <v>21</v>
      </c>
      <c r="I115">
        <v>29</v>
      </c>
      <c r="J115" s="2">
        <v>16428</v>
      </c>
      <c r="K115" t="s">
        <v>22</v>
      </c>
      <c r="L115">
        <v>1</v>
      </c>
      <c r="M115">
        <v>1</v>
      </c>
      <c r="N115">
        <v>15</v>
      </c>
      <c r="O115">
        <v>8</v>
      </c>
      <c r="P115">
        <v>27</v>
      </c>
      <c r="Q115" t="s">
        <v>22</v>
      </c>
      <c r="R115" t="str" cm="1">
        <f t="array" ref="R115">_xlfn.IFS(N115&lt;=1,"0-1 yrs",N115&lt;=4,"2-4 yrs",N115&lt;=9,"5-9 yrs",N115&gt;9,"10+ yrs")</f>
        <v>10+ yrs</v>
      </c>
      <c r="S115" t="str" cm="1">
        <f t="array" ref="S115">_xlfn.IFS(B115&lt;=25,"20-25",B115&lt;=35,"26-35",B115&lt;=45,"36-45",B115&gt;45,"46+")</f>
        <v>46+</v>
      </c>
      <c r="T115" t="str" cm="1">
        <f t="array" ref="T115">_xlfn.IFS(J115&lt;3500,"&lt;3.5K",J115&lt;5500,"3.5-5.5K",J115&lt;7500,"5.5-7.5K",J115&gt;=7500,"7.5K+")</f>
        <v>7.5K+</v>
      </c>
      <c r="U115">
        <f t="shared" si="1"/>
        <v>0</v>
      </c>
    </row>
    <row r="116" spans="1:21" x14ac:dyDescent="0.25">
      <c r="A116">
        <v>1361</v>
      </c>
      <c r="B116">
        <v>43</v>
      </c>
      <c r="C116" t="s">
        <v>23</v>
      </c>
      <c r="D116" t="s">
        <v>24</v>
      </c>
      <c r="E116" t="s">
        <v>45</v>
      </c>
      <c r="F116" t="s">
        <v>19</v>
      </c>
      <c r="G116" t="s">
        <v>20</v>
      </c>
      <c r="H116" t="s">
        <v>34</v>
      </c>
      <c r="I116">
        <v>25</v>
      </c>
      <c r="J116" s="2">
        <v>10468</v>
      </c>
      <c r="K116" t="s">
        <v>42</v>
      </c>
      <c r="L116">
        <v>2</v>
      </c>
      <c r="M116">
        <v>2</v>
      </c>
      <c r="N116">
        <v>15</v>
      </c>
      <c r="O116">
        <v>4</v>
      </c>
      <c r="P116">
        <v>20</v>
      </c>
      <c r="Q116" t="s">
        <v>22</v>
      </c>
      <c r="R116" t="str" cm="1">
        <f t="array" ref="R116">_xlfn.IFS(N116&lt;=1,"0-1 yrs",N116&lt;=4,"2-4 yrs",N116&lt;=9,"5-9 yrs",N116&gt;9,"10+ yrs")</f>
        <v>10+ yrs</v>
      </c>
      <c r="S116" t="str" cm="1">
        <f t="array" ref="S116">_xlfn.IFS(B116&lt;=25,"20-25",B116&lt;=35,"26-35",B116&lt;=45,"36-45",B116&gt;45,"46+")</f>
        <v>36-45</v>
      </c>
      <c r="T116" t="str" cm="1">
        <f t="array" ref="T116">_xlfn.IFS(J116&lt;3500,"&lt;3.5K",J116&lt;5500,"3.5-5.5K",J116&lt;7500,"5.5-7.5K",J116&gt;=7500,"7.5K+")</f>
        <v>7.5K+</v>
      </c>
      <c r="U116">
        <f t="shared" si="1"/>
        <v>0</v>
      </c>
    </row>
    <row r="117" spans="1:21" x14ac:dyDescent="0.25">
      <c r="A117">
        <v>1770</v>
      </c>
      <c r="B117">
        <v>58</v>
      </c>
      <c r="C117" t="s">
        <v>16</v>
      </c>
      <c r="D117" t="s">
        <v>27</v>
      </c>
      <c r="E117" t="s">
        <v>31</v>
      </c>
      <c r="F117" t="s">
        <v>26</v>
      </c>
      <c r="G117" t="s">
        <v>20</v>
      </c>
      <c r="H117" t="s">
        <v>34</v>
      </c>
      <c r="I117">
        <v>11</v>
      </c>
      <c r="J117" s="2">
        <v>11255</v>
      </c>
      <c r="K117" t="s">
        <v>22</v>
      </c>
      <c r="L117">
        <v>2</v>
      </c>
      <c r="M117">
        <v>3</v>
      </c>
      <c r="N117">
        <v>14</v>
      </c>
      <c r="O117">
        <v>5</v>
      </c>
      <c r="P117">
        <v>27</v>
      </c>
      <c r="Q117" t="s">
        <v>22</v>
      </c>
      <c r="R117" t="str" cm="1">
        <f t="array" ref="R117">_xlfn.IFS(N117&lt;=1,"0-1 yrs",N117&lt;=4,"2-4 yrs",N117&lt;=9,"5-9 yrs",N117&gt;9,"10+ yrs")</f>
        <v>10+ yrs</v>
      </c>
      <c r="S117" t="str" cm="1">
        <f t="array" ref="S117">_xlfn.IFS(B117&lt;=25,"20-25",B117&lt;=35,"26-35",B117&lt;=45,"36-45",B117&gt;45,"46+")</f>
        <v>46+</v>
      </c>
      <c r="T117" t="str" cm="1">
        <f t="array" ref="T117">_xlfn.IFS(J117&lt;3500,"&lt;3.5K",J117&lt;5500,"3.5-5.5K",J117&lt;7500,"5.5-7.5K",J117&gt;=7500,"7.5K+")</f>
        <v>7.5K+</v>
      </c>
      <c r="U117">
        <f t="shared" si="1"/>
        <v>0</v>
      </c>
    </row>
    <row r="118" spans="1:21" x14ac:dyDescent="0.25">
      <c r="A118">
        <v>1639</v>
      </c>
      <c r="B118">
        <v>43</v>
      </c>
      <c r="C118" t="s">
        <v>16</v>
      </c>
      <c r="D118" t="s">
        <v>17</v>
      </c>
      <c r="E118" t="s">
        <v>35</v>
      </c>
      <c r="F118" t="s">
        <v>19</v>
      </c>
      <c r="G118" t="s">
        <v>37</v>
      </c>
      <c r="H118" t="s">
        <v>21</v>
      </c>
      <c r="I118">
        <v>15</v>
      </c>
      <c r="J118" s="2">
        <v>9670</v>
      </c>
      <c r="K118" t="s">
        <v>22</v>
      </c>
      <c r="L118">
        <v>1</v>
      </c>
      <c r="M118">
        <v>4</v>
      </c>
      <c r="N118">
        <v>5</v>
      </c>
      <c r="O118">
        <v>4</v>
      </c>
      <c r="P118">
        <v>17</v>
      </c>
      <c r="Q118" t="s">
        <v>42</v>
      </c>
      <c r="R118" t="str" cm="1">
        <f t="array" ref="R118">_xlfn.IFS(N118&lt;=1,"0-1 yrs",N118&lt;=4,"2-4 yrs",N118&lt;=9,"5-9 yrs",N118&gt;9,"10+ yrs")</f>
        <v>5-9 yrs</v>
      </c>
      <c r="S118" t="str" cm="1">
        <f t="array" ref="S118">_xlfn.IFS(B118&lt;=25,"20-25",B118&lt;=35,"26-35",B118&lt;=45,"36-45",B118&gt;45,"46+")</f>
        <v>36-45</v>
      </c>
      <c r="T118" t="str" cm="1">
        <f t="array" ref="T118">_xlfn.IFS(J118&lt;3500,"&lt;3.5K",J118&lt;5500,"3.5-5.5K",J118&lt;7500,"5.5-7.5K",J118&gt;=7500,"7.5K+")</f>
        <v>7.5K+</v>
      </c>
      <c r="U118">
        <f t="shared" si="1"/>
        <v>1</v>
      </c>
    </row>
    <row r="119" spans="1:21" x14ac:dyDescent="0.25">
      <c r="A119">
        <v>1746</v>
      </c>
      <c r="B119">
        <v>34</v>
      </c>
      <c r="C119" t="s">
        <v>23</v>
      </c>
      <c r="D119" t="s">
        <v>24</v>
      </c>
      <c r="E119" t="s">
        <v>25</v>
      </c>
      <c r="F119" t="s">
        <v>36</v>
      </c>
      <c r="G119" t="s">
        <v>20</v>
      </c>
      <c r="H119" t="s">
        <v>21</v>
      </c>
      <c r="I119">
        <v>26</v>
      </c>
      <c r="J119" s="2">
        <v>11693</v>
      </c>
      <c r="K119" t="s">
        <v>42</v>
      </c>
      <c r="L119">
        <v>1</v>
      </c>
      <c r="M119">
        <v>1</v>
      </c>
      <c r="N119">
        <v>8</v>
      </c>
      <c r="O119">
        <v>3</v>
      </c>
      <c r="P119">
        <v>10</v>
      </c>
      <c r="Q119" t="s">
        <v>42</v>
      </c>
      <c r="R119" t="str" cm="1">
        <f t="array" ref="R119">_xlfn.IFS(N119&lt;=1,"0-1 yrs",N119&lt;=4,"2-4 yrs",N119&lt;=9,"5-9 yrs",N119&gt;9,"10+ yrs")</f>
        <v>5-9 yrs</v>
      </c>
      <c r="S119" t="str" cm="1">
        <f t="array" ref="S119">_xlfn.IFS(B119&lt;=25,"20-25",B119&lt;=35,"26-35",B119&lt;=45,"36-45",B119&gt;45,"46+")</f>
        <v>26-35</v>
      </c>
      <c r="T119" t="str" cm="1">
        <f t="array" ref="T119">_xlfn.IFS(J119&lt;3500,"&lt;3.5K",J119&lt;5500,"3.5-5.5K",J119&lt;7500,"5.5-7.5K",J119&gt;=7500,"7.5K+")</f>
        <v>7.5K+</v>
      </c>
      <c r="U119">
        <f t="shared" si="1"/>
        <v>1</v>
      </c>
    </row>
    <row r="120" spans="1:21" x14ac:dyDescent="0.25">
      <c r="A120">
        <v>1627</v>
      </c>
      <c r="B120">
        <v>54</v>
      </c>
      <c r="C120" t="s">
        <v>16</v>
      </c>
      <c r="D120" t="s">
        <v>27</v>
      </c>
      <c r="E120" t="s">
        <v>43</v>
      </c>
      <c r="F120" t="s">
        <v>41</v>
      </c>
      <c r="G120" t="s">
        <v>20</v>
      </c>
      <c r="H120" t="s">
        <v>34</v>
      </c>
      <c r="I120">
        <v>11</v>
      </c>
      <c r="J120" s="2">
        <v>13750</v>
      </c>
      <c r="K120" t="s">
        <v>22</v>
      </c>
      <c r="L120">
        <v>2</v>
      </c>
      <c r="M120">
        <v>4</v>
      </c>
      <c r="N120">
        <v>8</v>
      </c>
      <c r="O120">
        <v>3</v>
      </c>
      <c r="P120">
        <v>32</v>
      </c>
      <c r="Q120" t="s">
        <v>22</v>
      </c>
      <c r="R120" t="str" cm="1">
        <f t="array" ref="R120">_xlfn.IFS(N120&lt;=1,"0-1 yrs",N120&lt;=4,"2-4 yrs",N120&lt;=9,"5-9 yrs",N120&gt;9,"10+ yrs")</f>
        <v>5-9 yrs</v>
      </c>
      <c r="S120" t="str" cm="1">
        <f t="array" ref="S120">_xlfn.IFS(B120&lt;=25,"20-25",B120&lt;=35,"26-35",B120&lt;=45,"36-45",B120&gt;45,"46+")</f>
        <v>46+</v>
      </c>
      <c r="T120" t="str" cm="1">
        <f t="array" ref="T120">_xlfn.IFS(J120&lt;3500,"&lt;3.5K",J120&lt;5500,"3.5-5.5K",J120&lt;7500,"5.5-7.5K",J120&gt;=7500,"7.5K+")</f>
        <v>7.5K+</v>
      </c>
      <c r="U120">
        <f t="shared" si="1"/>
        <v>0</v>
      </c>
    </row>
    <row r="121" spans="1:21" x14ac:dyDescent="0.25">
      <c r="A121">
        <v>1806</v>
      </c>
      <c r="B121">
        <v>33</v>
      </c>
      <c r="C121" t="s">
        <v>23</v>
      </c>
      <c r="D121" t="s">
        <v>17</v>
      </c>
      <c r="E121" t="s">
        <v>40</v>
      </c>
      <c r="F121" t="s">
        <v>32</v>
      </c>
      <c r="G121" t="s">
        <v>37</v>
      </c>
      <c r="H121" t="s">
        <v>21</v>
      </c>
      <c r="I121">
        <v>29</v>
      </c>
      <c r="J121" s="2">
        <v>8910</v>
      </c>
      <c r="K121" t="s">
        <v>22</v>
      </c>
      <c r="L121">
        <v>4</v>
      </c>
      <c r="M121">
        <v>1</v>
      </c>
      <c r="N121">
        <v>2</v>
      </c>
      <c r="O121">
        <v>0</v>
      </c>
      <c r="P121">
        <v>13</v>
      </c>
      <c r="Q121" t="s">
        <v>22</v>
      </c>
      <c r="R121" t="str" cm="1">
        <f t="array" ref="R121">_xlfn.IFS(N121&lt;=1,"0-1 yrs",N121&lt;=4,"2-4 yrs",N121&lt;=9,"5-9 yrs",N121&gt;9,"10+ yrs")</f>
        <v>2-4 yrs</v>
      </c>
      <c r="S121" t="str" cm="1">
        <f t="array" ref="S121">_xlfn.IFS(B121&lt;=25,"20-25",B121&lt;=35,"26-35",B121&lt;=45,"36-45",B121&gt;45,"46+")</f>
        <v>26-35</v>
      </c>
      <c r="T121" t="str" cm="1">
        <f t="array" ref="T121">_xlfn.IFS(J121&lt;3500,"&lt;3.5K",J121&lt;5500,"3.5-5.5K",J121&lt;7500,"5.5-7.5K",J121&gt;=7500,"7.5K+")</f>
        <v>7.5K+</v>
      </c>
      <c r="U121">
        <f t="shared" si="1"/>
        <v>0</v>
      </c>
    </row>
    <row r="122" spans="1:21" x14ac:dyDescent="0.25">
      <c r="A122">
        <v>1479</v>
      </c>
      <c r="B122">
        <v>50</v>
      </c>
      <c r="C122" t="s">
        <v>16</v>
      </c>
      <c r="D122" t="s">
        <v>24</v>
      </c>
      <c r="E122" t="s">
        <v>45</v>
      </c>
      <c r="F122" t="s">
        <v>26</v>
      </c>
      <c r="G122" t="s">
        <v>37</v>
      </c>
      <c r="H122" t="s">
        <v>30</v>
      </c>
      <c r="I122">
        <v>29</v>
      </c>
      <c r="J122" s="2">
        <v>5917</v>
      </c>
      <c r="K122" t="s">
        <v>42</v>
      </c>
      <c r="L122">
        <v>3</v>
      </c>
      <c r="M122">
        <v>3</v>
      </c>
      <c r="N122">
        <v>4</v>
      </c>
      <c r="O122">
        <v>2</v>
      </c>
      <c r="P122">
        <v>20</v>
      </c>
      <c r="Q122" t="s">
        <v>22</v>
      </c>
      <c r="R122" t="str" cm="1">
        <f t="array" ref="R122">_xlfn.IFS(N122&lt;=1,"0-1 yrs",N122&lt;=4,"2-4 yrs",N122&lt;=9,"5-9 yrs",N122&gt;9,"10+ yrs")</f>
        <v>2-4 yrs</v>
      </c>
      <c r="S122" t="str" cm="1">
        <f t="array" ref="S122">_xlfn.IFS(B122&lt;=25,"20-25",B122&lt;=35,"26-35",B122&lt;=45,"36-45",B122&gt;45,"46+")</f>
        <v>46+</v>
      </c>
      <c r="T122" t="str" cm="1">
        <f t="array" ref="T122">_xlfn.IFS(J122&lt;3500,"&lt;3.5K",J122&lt;5500,"3.5-5.5K",J122&lt;7500,"5.5-7.5K",J122&gt;=7500,"7.5K+")</f>
        <v>5.5-7.5K</v>
      </c>
      <c r="U122">
        <f t="shared" si="1"/>
        <v>0</v>
      </c>
    </row>
    <row r="123" spans="1:21" x14ac:dyDescent="0.25">
      <c r="A123">
        <v>1318</v>
      </c>
      <c r="B123">
        <v>36</v>
      </c>
      <c r="C123" t="s">
        <v>23</v>
      </c>
      <c r="D123" t="s">
        <v>24</v>
      </c>
      <c r="E123" t="s">
        <v>25</v>
      </c>
      <c r="F123" t="s">
        <v>32</v>
      </c>
      <c r="G123" t="s">
        <v>37</v>
      </c>
      <c r="H123" t="s">
        <v>30</v>
      </c>
      <c r="I123">
        <v>22</v>
      </c>
      <c r="J123" s="2">
        <v>11735</v>
      </c>
      <c r="K123" t="s">
        <v>22</v>
      </c>
      <c r="L123">
        <v>4</v>
      </c>
      <c r="M123">
        <v>1</v>
      </c>
      <c r="N123">
        <v>4</v>
      </c>
      <c r="O123">
        <v>2</v>
      </c>
      <c r="P123">
        <v>7</v>
      </c>
      <c r="Q123" t="s">
        <v>22</v>
      </c>
      <c r="R123" t="str" cm="1">
        <f t="array" ref="R123">_xlfn.IFS(N123&lt;=1,"0-1 yrs",N123&lt;=4,"2-4 yrs",N123&lt;=9,"5-9 yrs",N123&gt;9,"10+ yrs")</f>
        <v>2-4 yrs</v>
      </c>
      <c r="S123" t="str" cm="1">
        <f t="array" ref="S123">_xlfn.IFS(B123&lt;=25,"20-25",B123&lt;=35,"26-35",B123&lt;=45,"36-45",B123&gt;45,"46+")</f>
        <v>36-45</v>
      </c>
      <c r="T123" t="str" cm="1">
        <f t="array" ref="T123">_xlfn.IFS(J123&lt;3500,"&lt;3.5K",J123&lt;5500,"3.5-5.5K",J123&lt;7500,"5.5-7.5K",J123&gt;=7500,"7.5K+")</f>
        <v>7.5K+</v>
      </c>
      <c r="U123">
        <f t="shared" si="1"/>
        <v>0</v>
      </c>
    </row>
    <row r="124" spans="1:21" x14ac:dyDescent="0.25">
      <c r="A124">
        <v>1302</v>
      </c>
      <c r="B124">
        <v>33</v>
      </c>
      <c r="C124" t="s">
        <v>16</v>
      </c>
      <c r="D124" t="s">
        <v>47</v>
      </c>
      <c r="E124" t="s">
        <v>50</v>
      </c>
      <c r="F124" t="s">
        <v>38</v>
      </c>
      <c r="G124" t="s">
        <v>20</v>
      </c>
      <c r="H124" t="s">
        <v>30</v>
      </c>
      <c r="I124">
        <v>19</v>
      </c>
      <c r="J124" s="2">
        <v>7350</v>
      </c>
      <c r="K124" t="s">
        <v>22</v>
      </c>
      <c r="L124">
        <v>4</v>
      </c>
      <c r="M124">
        <v>3</v>
      </c>
      <c r="N124">
        <v>1</v>
      </c>
      <c r="O124">
        <v>0</v>
      </c>
      <c r="P124">
        <v>1</v>
      </c>
      <c r="Q124" t="s">
        <v>22</v>
      </c>
      <c r="R124" t="str" cm="1">
        <f t="array" ref="R124">_xlfn.IFS(N124&lt;=1,"0-1 yrs",N124&lt;=4,"2-4 yrs",N124&lt;=9,"5-9 yrs",N124&gt;9,"10+ yrs")</f>
        <v>0-1 yrs</v>
      </c>
      <c r="S124" t="str" cm="1">
        <f t="array" ref="S124">_xlfn.IFS(B124&lt;=25,"20-25",B124&lt;=35,"26-35",B124&lt;=45,"36-45",B124&gt;45,"46+")</f>
        <v>26-35</v>
      </c>
      <c r="T124" t="str" cm="1">
        <f t="array" ref="T124">_xlfn.IFS(J124&lt;3500,"&lt;3.5K",J124&lt;5500,"3.5-5.5K",J124&lt;7500,"5.5-7.5K",J124&gt;=7500,"7.5K+")</f>
        <v>5.5-7.5K</v>
      </c>
      <c r="U124">
        <f t="shared" si="1"/>
        <v>0</v>
      </c>
    </row>
    <row r="125" spans="1:21" x14ac:dyDescent="0.25">
      <c r="A125">
        <v>1315</v>
      </c>
      <c r="B125">
        <v>43</v>
      </c>
      <c r="C125" t="s">
        <v>16</v>
      </c>
      <c r="D125" t="s">
        <v>24</v>
      </c>
      <c r="E125" t="s">
        <v>25</v>
      </c>
      <c r="F125" t="s">
        <v>29</v>
      </c>
      <c r="G125" t="s">
        <v>37</v>
      </c>
      <c r="H125" t="s">
        <v>34</v>
      </c>
      <c r="I125">
        <v>6</v>
      </c>
      <c r="J125" s="2">
        <v>14225</v>
      </c>
      <c r="K125" t="s">
        <v>42</v>
      </c>
      <c r="L125">
        <v>3</v>
      </c>
      <c r="M125">
        <v>4</v>
      </c>
      <c r="N125">
        <v>13</v>
      </c>
      <c r="O125">
        <v>11</v>
      </c>
      <c r="P125">
        <v>21</v>
      </c>
      <c r="Q125" t="s">
        <v>22</v>
      </c>
      <c r="R125" t="str" cm="1">
        <f t="array" ref="R125">_xlfn.IFS(N125&lt;=1,"0-1 yrs",N125&lt;=4,"2-4 yrs",N125&lt;=9,"5-9 yrs",N125&gt;9,"10+ yrs")</f>
        <v>10+ yrs</v>
      </c>
      <c r="S125" t="str" cm="1">
        <f t="array" ref="S125">_xlfn.IFS(B125&lt;=25,"20-25",B125&lt;=35,"26-35",B125&lt;=45,"36-45",B125&gt;45,"46+")</f>
        <v>36-45</v>
      </c>
      <c r="T125" t="str" cm="1">
        <f t="array" ref="T125">_xlfn.IFS(J125&lt;3500,"&lt;3.5K",J125&lt;5500,"3.5-5.5K",J125&lt;7500,"5.5-7.5K",J125&gt;=7500,"7.5K+")</f>
        <v>7.5K+</v>
      </c>
      <c r="U125">
        <f t="shared" si="1"/>
        <v>0</v>
      </c>
    </row>
    <row r="126" spans="1:21" x14ac:dyDescent="0.25">
      <c r="A126">
        <v>1667</v>
      </c>
      <c r="B126">
        <v>42</v>
      </c>
      <c r="C126" t="s">
        <v>16</v>
      </c>
      <c r="D126" t="s">
        <v>47</v>
      </c>
      <c r="E126" t="s">
        <v>48</v>
      </c>
      <c r="F126" t="s">
        <v>38</v>
      </c>
      <c r="G126" t="s">
        <v>33</v>
      </c>
      <c r="H126" t="s">
        <v>34</v>
      </c>
      <c r="I126">
        <v>27</v>
      </c>
      <c r="J126" s="2">
        <v>9969</v>
      </c>
      <c r="K126" t="s">
        <v>42</v>
      </c>
      <c r="L126">
        <v>2</v>
      </c>
      <c r="M126">
        <v>4</v>
      </c>
      <c r="N126">
        <v>2</v>
      </c>
      <c r="O126">
        <v>1</v>
      </c>
      <c r="P126">
        <v>11</v>
      </c>
      <c r="Q126" t="s">
        <v>42</v>
      </c>
      <c r="R126" t="str" cm="1">
        <f t="array" ref="R126">_xlfn.IFS(N126&lt;=1,"0-1 yrs",N126&lt;=4,"2-4 yrs",N126&lt;=9,"5-9 yrs",N126&gt;9,"10+ yrs")</f>
        <v>2-4 yrs</v>
      </c>
      <c r="S126" t="str" cm="1">
        <f t="array" ref="S126">_xlfn.IFS(B126&lt;=25,"20-25",B126&lt;=35,"26-35",B126&lt;=45,"36-45",B126&gt;45,"46+")</f>
        <v>36-45</v>
      </c>
      <c r="T126" t="str" cm="1">
        <f t="array" ref="T126">_xlfn.IFS(J126&lt;3500,"&lt;3.5K",J126&lt;5500,"3.5-5.5K",J126&lt;7500,"5.5-7.5K",J126&gt;=7500,"7.5K+")</f>
        <v>7.5K+</v>
      </c>
      <c r="U126">
        <f t="shared" si="1"/>
        <v>1</v>
      </c>
    </row>
    <row r="127" spans="1:21" x14ac:dyDescent="0.25">
      <c r="A127">
        <v>1145</v>
      </c>
      <c r="B127">
        <v>33</v>
      </c>
      <c r="C127" t="s">
        <v>23</v>
      </c>
      <c r="D127" t="s">
        <v>17</v>
      </c>
      <c r="E127" t="s">
        <v>40</v>
      </c>
      <c r="F127" t="s">
        <v>41</v>
      </c>
      <c r="G127" t="s">
        <v>33</v>
      </c>
      <c r="H127" t="s">
        <v>34</v>
      </c>
      <c r="I127">
        <v>16</v>
      </c>
      <c r="J127" s="2">
        <v>6258</v>
      </c>
      <c r="K127" t="s">
        <v>22</v>
      </c>
      <c r="L127">
        <v>1</v>
      </c>
      <c r="M127">
        <v>1</v>
      </c>
      <c r="N127">
        <v>5</v>
      </c>
      <c r="O127">
        <v>5</v>
      </c>
      <c r="P127">
        <v>7</v>
      </c>
      <c r="Q127" t="s">
        <v>42</v>
      </c>
      <c r="R127" t="str" cm="1">
        <f t="array" ref="R127">_xlfn.IFS(N127&lt;=1,"0-1 yrs",N127&lt;=4,"2-4 yrs",N127&lt;=9,"5-9 yrs",N127&gt;9,"10+ yrs")</f>
        <v>5-9 yrs</v>
      </c>
      <c r="S127" t="str" cm="1">
        <f t="array" ref="S127">_xlfn.IFS(B127&lt;=25,"20-25",B127&lt;=35,"26-35",B127&lt;=45,"36-45",B127&gt;45,"46+")</f>
        <v>26-35</v>
      </c>
      <c r="T127" t="str" cm="1">
        <f t="array" ref="T127">_xlfn.IFS(J127&lt;3500,"&lt;3.5K",J127&lt;5500,"3.5-5.5K",J127&lt;7500,"5.5-7.5K",J127&gt;=7500,"7.5K+")</f>
        <v>5.5-7.5K</v>
      </c>
      <c r="U127">
        <f t="shared" si="1"/>
        <v>1</v>
      </c>
    </row>
    <row r="128" spans="1:21" x14ac:dyDescent="0.25">
      <c r="A128">
        <v>1217</v>
      </c>
      <c r="B128">
        <v>37</v>
      </c>
      <c r="C128" t="s">
        <v>23</v>
      </c>
      <c r="D128" t="s">
        <v>17</v>
      </c>
      <c r="E128" t="s">
        <v>40</v>
      </c>
      <c r="F128" t="s">
        <v>32</v>
      </c>
      <c r="G128" t="s">
        <v>37</v>
      </c>
      <c r="H128" t="s">
        <v>21</v>
      </c>
      <c r="I128">
        <v>28</v>
      </c>
      <c r="J128" s="2">
        <v>5399</v>
      </c>
      <c r="K128" t="s">
        <v>22</v>
      </c>
      <c r="L128">
        <v>4</v>
      </c>
      <c r="M128">
        <v>3</v>
      </c>
      <c r="N128">
        <v>0</v>
      </c>
      <c r="O128">
        <v>0</v>
      </c>
      <c r="P128">
        <v>4</v>
      </c>
      <c r="Q128" t="s">
        <v>42</v>
      </c>
      <c r="R128" t="str" cm="1">
        <f t="array" ref="R128">_xlfn.IFS(N128&lt;=1,"0-1 yrs",N128&lt;=4,"2-4 yrs",N128&lt;=9,"5-9 yrs",N128&gt;9,"10+ yrs")</f>
        <v>0-1 yrs</v>
      </c>
      <c r="S128" t="str" cm="1">
        <f t="array" ref="S128">_xlfn.IFS(B128&lt;=25,"20-25",B128&lt;=35,"26-35",B128&lt;=45,"36-45",B128&gt;45,"46+")</f>
        <v>36-45</v>
      </c>
      <c r="T128" t="str" cm="1">
        <f t="array" ref="T128">_xlfn.IFS(J128&lt;3500,"&lt;3.5K",J128&lt;5500,"3.5-5.5K",J128&lt;7500,"5.5-7.5K",J128&gt;=7500,"7.5K+")</f>
        <v>3.5-5.5K</v>
      </c>
      <c r="U128">
        <f t="shared" si="1"/>
        <v>1</v>
      </c>
    </row>
    <row r="129" spans="1:21" x14ac:dyDescent="0.25">
      <c r="A129">
        <v>1740</v>
      </c>
      <c r="B129">
        <v>49</v>
      </c>
      <c r="C129" t="s">
        <v>23</v>
      </c>
      <c r="D129" t="s">
        <v>17</v>
      </c>
      <c r="E129" t="s">
        <v>35</v>
      </c>
      <c r="F129" t="s">
        <v>41</v>
      </c>
      <c r="G129" t="s">
        <v>37</v>
      </c>
      <c r="H129" t="s">
        <v>21</v>
      </c>
      <c r="I129">
        <v>12</v>
      </c>
      <c r="J129" s="2">
        <v>11192</v>
      </c>
      <c r="K129" t="s">
        <v>22</v>
      </c>
      <c r="L129">
        <v>4</v>
      </c>
      <c r="M129">
        <v>1</v>
      </c>
      <c r="N129">
        <v>18</v>
      </c>
      <c r="O129">
        <v>9</v>
      </c>
      <c r="P129">
        <v>28</v>
      </c>
      <c r="Q129" t="s">
        <v>22</v>
      </c>
      <c r="R129" t="str" cm="1">
        <f t="array" ref="R129">_xlfn.IFS(N129&lt;=1,"0-1 yrs",N129&lt;=4,"2-4 yrs",N129&lt;=9,"5-9 yrs",N129&gt;9,"10+ yrs")</f>
        <v>10+ yrs</v>
      </c>
      <c r="S129" t="str" cm="1">
        <f t="array" ref="S129">_xlfn.IFS(B129&lt;=25,"20-25",B129&lt;=35,"26-35",B129&lt;=45,"36-45",B129&gt;45,"46+")</f>
        <v>46+</v>
      </c>
      <c r="T129" t="str" cm="1">
        <f t="array" ref="T129">_xlfn.IFS(J129&lt;3500,"&lt;3.5K",J129&lt;5500,"3.5-5.5K",J129&lt;7500,"5.5-7.5K",J129&gt;=7500,"7.5K+")</f>
        <v>7.5K+</v>
      </c>
      <c r="U129">
        <f t="shared" si="1"/>
        <v>0</v>
      </c>
    </row>
    <row r="130" spans="1:21" x14ac:dyDescent="0.25">
      <c r="A130">
        <v>1991</v>
      </c>
      <c r="B130">
        <v>52</v>
      </c>
      <c r="C130" t="s">
        <v>16</v>
      </c>
      <c r="D130" t="s">
        <v>27</v>
      </c>
      <c r="E130" t="s">
        <v>31</v>
      </c>
      <c r="F130" t="s">
        <v>36</v>
      </c>
      <c r="G130" t="s">
        <v>20</v>
      </c>
      <c r="H130" t="s">
        <v>30</v>
      </c>
      <c r="I130">
        <v>26</v>
      </c>
      <c r="J130" s="2">
        <v>9597</v>
      </c>
      <c r="K130" t="s">
        <v>22</v>
      </c>
      <c r="L130">
        <v>2</v>
      </c>
      <c r="M130">
        <v>2</v>
      </c>
      <c r="N130">
        <v>18</v>
      </c>
      <c r="O130">
        <v>0</v>
      </c>
      <c r="P130">
        <v>22</v>
      </c>
      <c r="Q130" t="s">
        <v>22</v>
      </c>
      <c r="R130" t="str" cm="1">
        <f t="array" ref="R130">_xlfn.IFS(N130&lt;=1,"0-1 yrs",N130&lt;=4,"2-4 yrs",N130&lt;=9,"5-9 yrs",N130&gt;9,"10+ yrs")</f>
        <v>10+ yrs</v>
      </c>
      <c r="S130" t="str" cm="1">
        <f t="array" ref="S130">_xlfn.IFS(B130&lt;=25,"20-25",B130&lt;=35,"26-35",B130&lt;=45,"36-45",B130&gt;45,"46+")</f>
        <v>46+</v>
      </c>
      <c r="T130" t="str" cm="1">
        <f t="array" ref="T130">_xlfn.IFS(J130&lt;3500,"&lt;3.5K",J130&lt;5500,"3.5-5.5K",J130&lt;7500,"5.5-7.5K",J130&gt;=7500,"7.5K+")</f>
        <v>7.5K+</v>
      </c>
      <c r="U130">
        <f t="shared" si="1"/>
        <v>0</v>
      </c>
    </row>
    <row r="131" spans="1:21" x14ac:dyDescent="0.25">
      <c r="A131">
        <v>1638</v>
      </c>
      <c r="B131">
        <v>45</v>
      </c>
      <c r="C131" t="s">
        <v>23</v>
      </c>
      <c r="D131" t="s">
        <v>24</v>
      </c>
      <c r="E131" t="s">
        <v>52</v>
      </c>
      <c r="F131" t="s">
        <v>26</v>
      </c>
      <c r="G131" t="s">
        <v>37</v>
      </c>
      <c r="H131" t="s">
        <v>21</v>
      </c>
      <c r="I131">
        <v>16</v>
      </c>
      <c r="J131" s="2">
        <v>9532</v>
      </c>
      <c r="K131" t="s">
        <v>42</v>
      </c>
      <c r="L131">
        <v>2</v>
      </c>
      <c r="M131">
        <v>4</v>
      </c>
      <c r="N131">
        <v>15</v>
      </c>
      <c r="O131">
        <v>6</v>
      </c>
      <c r="P131">
        <v>19</v>
      </c>
      <c r="Q131" t="s">
        <v>42</v>
      </c>
      <c r="R131" t="str" cm="1">
        <f t="array" ref="R131">_xlfn.IFS(N131&lt;=1,"0-1 yrs",N131&lt;=4,"2-4 yrs",N131&lt;=9,"5-9 yrs",N131&gt;9,"10+ yrs")</f>
        <v>10+ yrs</v>
      </c>
      <c r="S131" t="str" cm="1">
        <f t="array" ref="S131">_xlfn.IFS(B131&lt;=25,"20-25",B131&lt;=35,"26-35",B131&lt;=45,"36-45",B131&gt;45,"46+")</f>
        <v>36-45</v>
      </c>
      <c r="T131" t="str" cm="1">
        <f t="array" ref="T131">_xlfn.IFS(J131&lt;3500,"&lt;3.5K",J131&lt;5500,"3.5-5.5K",J131&lt;7500,"5.5-7.5K",J131&gt;=7500,"7.5K+")</f>
        <v>7.5K+</v>
      </c>
      <c r="U131">
        <f t="shared" ref="U131:U194" si="2">IF(Q131="Yes",1,0)</f>
        <v>1</v>
      </c>
    </row>
    <row r="132" spans="1:21" x14ac:dyDescent="0.25">
      <c r="A132">
        <v>1934</v>
      </c>
      <c r="B132">
        <v>33</v>
      </c>
      <c r="C132" t="s">
        <v>23</v>
      </c>
      <c r="D132" t="s">
        <v>27</v>
      </c>
      <c r="E132" t="s">
        <v>43</v>
      </c>
      <c r="F132" t="s">
        <v>38</v>
      </c>
      <c r="G132" t="s">
        <v>33</v>
      </c>
      <c r="H132" t="s">
        <v>21</v>
      </c>
      <c r="I132">
        <v>12</v>
      </c>
      <c r="J132" s="2">
        <v>7126</v>
      </c>
      <c r="K132" t="s">
        <v>22</v>
      </c>
      <c r="L132">
        <v>3</v>
      </c>
      <c r="M132">
        <v>3</v>
      </c>
      <c r="N132">
        <v>0</v>
      </c>
      <c r="O132">
        <v>0</v>
      </c>
      <c r="P132">
        <v>8</v>
      </c>
      <c r="Q132" t="s">
        <v>22</v>
      </c>
      <c r="R132" t="str" cm="1">
        <f t="array" ref="R132">_xlfn.IFS(N132&lt;=1,"0-1 yrs",N132&lt;=4,"2-4 yrs",N132&lt;=9,"5-9 yrs",N132&gt;9,"10+ yrs")</f>
        <v>0-1 yrs</v>
      </c>
      <c r="S132" t="str" cm="1">
        <f t="array" ref="S132">_xlfn.IFS(B132&lt;=25,"20-25",B132&lt;=35,"26-35",B132&lt;=45,"36-45",B132&gt;45,"46+")</f>
        <v>26-35</v>
      </c>
      <c r="T132" t="str" cm="1">
        <f t="array" ref="T132">_xlfn.IFS(J132&lt;3500,"&lt;3.5K",J132&lt;5500,"3.5-5.5K",J132&lt;7500,"5.5-7.5K",J132&gt;=7500,"7.5K+")</f>
        <v>5.5-7.5K</v>
      </c>
      <c r="U132">
        <f t="shared" si="2"/>
        <v>0</v>
      </c>
    </row>
    <row r="133" spans="1:21" x14ac:dyDescent="0.25">
      <c r="A133">
        <v>1708</v>
      </c>
      <c r="B133">
        <v>46</v>
      </c>
      <c r="C133" t="s">
        <v>16</v>
      </c>
      <c r="D133" t="s">
        <v>17</v>
      </c>
      <c r="E133" t="s">
        <v>35</v>
      </c>
      <c r="F133" t="s">
        <v>29</v>
      </c>
      <c r="G133" t="s">
        <v>33</v>
      </c>
      <c r="H133" t="s">
        <v>21</v>
      </c>
      <c r="I133">
        <v>21</v>
      </c>
      <c r="J133" s="2">
        <v>10927</v>
      </c>
      <c r="K133" t="s">
        <v>22</v>
      </c>
      <c r="L133">
        <v>2</v>
      </c>
      <c r="M133">
        <v>1</v>
      </c>
      <c r="N133">
        <v>19</v>
      </c>
      <c r="O133">
        <v>10</v>
      </c>
      <c r="P133">
        <v>26</v>
      </c>
      <c r="Q133" t="s">
        <v>22</v>
      </c>
      <c r="R133" t="str" cm="1">
        <f t="array" ref="R133">_xlfn.IFS(N133&lt;=1,"0-1 yrs",N133&lt;=4,"2-4 yrs",N133&lt;=9,"5-9 yrs",N133&gt;9,"10+ yrs")</f>
        <v>10+ yrs</v>
      </c>
      <c r="S133" t="str" cm="1">
        <f t="array" ref="S133">_xlfn.IFS(B133&lt;=25,"20-25",B133&lt;=35,"26-35",B133&lt;=45,"36-45",B133&gt;45,"46+")</f>
        <v>46+</v>
      </c>
      <c r="T133" t="str" cm="1">
        <f t="array" ref="T133">_xlfn.IFS(J133&lt;3500,"&lt;3.5K",J133&lt;5500,"3.5-5.5K",J133&lt;7500,"5.5-7.5K",J133&gt;=7500,"7.5K+")</f>
        <v>7.5K+</v>
      </c>
      <c r="U133">
        <f t="shared" si="2"/>
        <v>0</v>
      </c>
    </row>
    <row r="134" spans="1:21" x14ac:dyDescent="0.25">
      <c r="A134">
        <v>1910</v>
      </c>
      <c r="B134">
        <v>29</v>
      </c>
      <c r="C134" t="s">
        <v>16</v>
      </c>
      <c r="D134" t="s">
        <v>24</v>
      </c>
      <c r="E134" t="s">
        <v>52</v>
      </c>
      <c r="F134" t="s">
        <v>32</v>
      </c>
      <c r="G134" t="s">
        <v>37</v>
      </c>
      <c r="H134" t="s">
        <v>30</v>
      </c>
      <c r="I134">
        <v>19</v>
      </c>
      <c r="J134" s="2">
        <v>7121</v>
      </c>
      <c r="K134" t="s">
        <v>22</v>
      </c>
      <c r="L134">
        <v>4</v>
      </c>
      <c r="M134">
        <v>4</v>
      </c>
      <c r="N134">
        <v>0</v>
      </c>
      <c r="O134">
        <v>0</v>
      </c>
      <c r="P134">
        <v>8</v>
      </c>
      <c r="Q134" t="s">
        <v>42</v>
      </c>
      <c r="R134" t="str" cm="1">
        <f t="array" ref="R134">_xlfn.IFS(N134&lt;=1,"0-1 yrs",N134&lt;=4,"2-4 yrs",N134&lt;=9,"5-9 yrs",N134&gt;9,"10+ yrs")</f>
        <v>0-1 yrs</v>
      </c>
      <c r="S134" t="str" cm="1">
        <f t="array" ref="S134">_xlfn.IFS(B134&lt;=25,"20-25",B134&lt;=35,"26-35",B134&lt;=45,"36-45",B134&gt;45,"46+")</f>
        <v>26-35</v>
      </c>
      <c r="T134" t="str" cm="1">
        <f t="array" ref="T134">_xlfn.IFS(J134&lt;3500,"&lt;3.5K",J134&lt;5500,"3.5-5.5K",J134&lt;7500,"5.5-7.5K",J134&gt;=7500,"7.5K+")</f>
        <v>5.5-7.5K</v>
      </c>
      <c r="U134">
        <f t="shared" si="2"/>
        <v>1</v>
      </c>
    </row>
    <row r="135" spans="1:21" x14ac:dyDescent="0.25">
      <c r="A135">
        <v>1046</v>
      </c>
      <c r="B135">
        <v>35</v>
      </c>
      <c r="C135" t="s">
        <v>16</v>
      </c>
      <c r="D135" t="s">
        <v>17</v>
      </c>
      <c r="E135" t="s">
        <v>35</v>
      </c>
      <c r="F135" t="s">
        <v>32</v>
      </c>
      <c r="G135" t="s">
        <v>33</v>
      </c>
      <c r="H135" t="s">
        <v>30</v>
      </c>
      <c r="I135">
        <v>9</v>
      </c>
      <c r="J135" s="2">
        <v>8373</v>
      </c>
      <c r="K135" t="s">
        <v>22</v>
      </c>
      <c r="L135">
        <v>3</v>
      </c>
      <c r="M135">
        <v>3</v>
      </c>
      <c r="N135">
        <v>7</v>
      </c>
      <c r="O135">
        <v>5</v>
      </c>
      <c r="P135">
        <v>8</v>
      </c>
      <c r="Q135" t="s">
        <v>22</v>
      </c>
      <c r="R135" t="str" cm="1">
        <f t="array" ref="R135">_xlfn.IFS(N135&lt;=1,"0-1 yrs",N135&lt;=4,"2-4 yrs",N135&lt;=9,"5-9 yrs",N135&gt;9,"10+ yrs")</f>
        <v>5-9 yrs</v>
      </c>
      <c r="S135" t="str" cm="1">
        <f t="array" ref="S135">_xlfn.IFS(B135&lt;=25,"20-25",B135&lt;=35,"26-35",B135&lt;=45,"36-45",B135&gt;45,"46+")</f>
        <v>26-35</v>
      </c>
      <c r="T135" t="str" cm="1">
        <f t="array" ref="T135">_xlfn.IFS(J135&lt;3500,"&lt;3.5K",J135&lt;5500,"3.5-5.5K",J135&lt;7500,"5.5-7.5K",J135&gt;=7500,"7.5K+")</f>
        <v>7.5K+</v>
      </c>
      <c r="U135">
        <f t="shared" si="2"/>
        <v>0</v>
      </c>
    </row>
    <row r="136" spans="1:21" x14ac:dyDescent="0.25">
      <c r="A136">
        <v>1528</v>
      </c>
      <c r="B136">
        <v>43</v>
      </c>
      <c r="C136" t="s">
        <v>16</v>
      </c>
      <c r="D136" t="s">
        <v>17</v>
      </c>
      <c r="E136" t="s">
        <v>35</v>
      </c>
      <c r="F136" t="s">
        <v>38</v>
      </c>
      <c r="G136" t="s">
        <v>20</v>
      </c>
      <c r="H136" t="s">
        <v>34</v>
      </c>
      <c r="I136">
        <v>7</v>
      </c>
      <c r="J136" s="2">
        <v>9785</v>
      </c>
      <c r="K136" t="s">
        <v>22</v>
      </c>
      <c r="L136">
        <v>1</v>
      </c>
      <c r="M136">
        <v>3</v>
      </c>
      <c r="N136">
        <v>4</v>
      </c>
      <c r="O136">
        <v>1</v>
      </c>
      <c r="P136">
        <v>17</v>
      </c>
      <c r="Q136" t="s">
        <v>42</v>
      </c>
      <c r="R136" t="str" cm="1">
        <f t="array" ref="R136">_xlfn.IFS(N136&lt;=1,"0-1 yrs",N136&lt;=4,"2-4 yrs",N136&lt;=9,"5-9 yrs",N136&gt;9,"10+ yrs")</f>
        <v>2-4 yrs</v>
      </c>
      <c r="S136" t="str" cm="1">
        <f t="array" ref="S136">_xlfn.IFS(B136&lt;=25,"20-25",B136&lt;=35,"26-35",B136&lt;=45,"36-45",B136&gt;45,"46+")</f>
        <v>36-45</v>
      </c>
      <c r="T136" t="str" cm="1">
        <f t="array" ref="T136">_xlfn.IFS(J136&lt;3500,"&lt;3.5K",J136&lt;5500,"3.5-5.5K",J136&lt;7500,"5.5-7.5K",J136&gt;=7500,"7.5K+")</f>
        <v>7.5K+</v>
      </c>
      <c r="U136">
        <f t="shared" si="2"/>
        <v>1</v>
      </c>
    </row>
    <row r="137" spans="1:21" x14ac:dyDescent="0.25">
      <c r="A137">
        <v>1408</v>
      </c>
      <c r="B137">
        <v>26</v>
      </c>
      <c r="C137" t="s">
        <v>16</v>
      </c>
      <c r="D137" t="s">
        <v>17</v>
      </c>
      <c r="E137" t="s">
        <v>35</v>
      </c>
      <c r="F137" t="s">
        <v>19</v>
      </c>
      <c r="G137" t="s">
        <v>20</v>
      </c>
      <c r="H137" t="s">
        <v>34</v>
      </c>
      <c r="I137">
        <v>3</v>
      </c>
      <c r="J137" s="2">
        <v>8162</v>
      </c>
      <c r="K137" t="s">
        <v>42</v>
      </c>
      <c r="L137">
        <v>3</v>
      </c>
      <c r="M137">
        <v>1</v>
      </c>
      <c r="N137">
        <v>1</v>
      </c>
      <c r="O137">
        <v>0</v>
      </c>
      <c r="P137">
        <v>6</v>
      </c>
      <c r="Q137" t="s">
        <v>22</v>
      </c>
      <c r="R137" t="str" cm="1">
        <f t="array" ref="R137">_xlfn.IFS(N137&lt;=1,"0-1 yrs",N137&lt;=4,"2-4 yrs",N137&lt;=9,"5-9 yrs",N137&gt;9,"10+ yrs")</f>
        <v>0-1 yrs</v>
      </c>
      <c r="S137" t="str" cm="1">
        <f t="array" ref="S137">_xlfn.IFS(B137&lt;=25,"20-25",B137&lt;=35,"26-35",B137&lt;=45,"36-45",B137&gt;45,"46+")</f>
        <v>26-35</v>
      </c>
      <c r="T137" t="str" cm="1">
        <f t="array" ref="T137">_xlfn.IFS(J137&lt;3500,"&lt;3.5K",J137&lt;5500,"3.5-5.5K",J137&lt;7500,"5.5-7.5K",J137&gt;=7500,"7.5K+")</f>
        <v>7.5K+</v>
      </c>
      <c r="U137">
        <f t="shared" si="2"/>
        <v>0</v>
      </c>
    </row>
    <row r="138" spans="1:21" x14ac:dyDescent="0.25">
      <c r="A138">
        <v>1587</v>
      </c>
      <c r="B138">
        <v>58</v>
      </c>
      <c r="C138" t="s">
        <v>23</v>
      </c>
      <c r="D138" t="s">
        <v>17</v>
      </c>
      <c r="E138" t="s">
        <v>40</v>
      </c>
      <c r="F138" t="s">
        <v>32</v>
      </c>
      <c r="G138" t="s">
        <v>37</v>
      </c>
      <c r="H138" t="s">
        <v>21</v>
      </c>
      <c r="I138">
        <v>29</v>
      </c>
      <c r="J138" s="2">
        <v>11238</v>
      </c>
      <c r="K138" t="s">
        <v>22</v>
      </c>
      <c r="L138">
        <v>2</v>
      </c>
      <c r="M138">
        <v>1</v>
      </c>
      <c r="N138">
        <v>16</v>
      </c>
      <c r="O138">
        <v>7</v>
      </c>
      <c r="P138">
        <v>38</v>
      </c>
      <c r="Q138" t="s">
        <v>42</v>
      </c>
      <c r="R138" t="str" cm="1">
        <f t="array" ref="R138">_xlfn.IFS(N138&lt;=1,"0-1 yrs",N138&lt;=4,"2-4 yrs",N138&lt;=9,"5-9 yrs",N138&gt;9,"10+ yrs")</f>
        <v>10+ yrs</v>
      </c>
      <c r="S138" t="str" cm="1">
        <f t="array" ref="S138">_xlfn.IFS(B138&lt;=25,"20-25",B138&lt;=35,"26-35",B138&lt;=45,"36-45",B138&gt;45,"46+")</f>
        <v>46+</v>
      </c>
      <c r="T138" t="str" cm="1">
        <f t="array" ref="T138">_xlfn.IFS(J138&lt;3500,"&lt;3.5K",J138&lt;5500,"3.5-5.5K",J138&lt;7500,"5.5-7.5K",J138&gt;=7500,"7.5K+")</f>
        <v>7.5K+</v>
      </c>
      <c r="U138">
        <f t="shared" si="2"/>
        <v>1</v>
      </c>
    </row>
    <row r="139" spans="1:21" x14ac:dyDescent="0.25">
      <c r="A139">
        <v>1543</v>
      </c>
      <c r="B139">
        <v>27</v>
      </c>
      <c r="C139" t="s">
        <v>16</v>
      </c>
      <c r="D139" t="s">
        <v>27</v>
      </c>
      <c r="E139" t="s">
        <v>31</v>
      </c>
      <c r="F139" t="s">
        <v>38</v>
      </c>
      <c r="G139" t="s">
        <v>20</v>
      </c>
      <c r="H139" t="s">
        <v>34</v>
      </c>
      <c r="I139">
        <v>25</v>
      </c>
      <c r="J139" s="2">
        <v>6862</v>
      </c>
      <c r="K139" t="s">
        <v>22</v>
      </c>
      <c r="L139">
        <v>1</v>
      </c>
      <c r="M139">
        <v>2</v>
      </c>
      <c r="N139">
        <v>0</v>
      </c>
      <c r="O139">
        <v>0</v>
      </c>
      <c r="P139">
        <v>0</v>
      </c>
      <c r="Q139" t="s">
        <v>42</v>
      </c>
      <c r="R139" t="str" cm="1">
        <f t="array" ref="R139">_xlfn.IFS(N139&lt;=1,"0-1 yrs",N139&lt;=4,"2-4 yrs",N139&lt;=9,"5-9 yrs",N139&gt;9,"10+ yrs")</f>
        <v>0-1 yrs</v>
      </c>
      <c r="S139" t="str" cm="1">
        <f t="array" ref="S139">_xlfn.IFS(B139&lt;=25,"20-25",B139&lt;=35,"26-35",B139&lt;=45,"36-45",B139&gt;45,"46+")</f>
        <v>26-35</v>
      </c>
      <c r="T139" t="str" cm="1">
        <f t="array" ref="T139">_xlfn.IFS(J139&lt;3500,"&lt;3.5K",J139&lt;5500,"3.5-5.5K",J139&lt;7500,"5.5-7.5K",J139&gt;=7500,"7.5K+")</f>
        <v>5.5-7.5K</v>
      </c>
      <c r="U139">
        <f t="shared" si="2"/>
        <v>1</v>
      </c>
    </row>
    <row r="140" spans="1:21" x14ac:dyDescent="0.25">
      <c r="A140">
        <v>1602</v>
      </c>
      <c r="B140">
        <v>25</v>
      </c>
      <c r="C140" t="s">
        <v>16</v>
      </c>
      <c r="D140" t="s">
        <v>47</v>
      </c>
      <c r="E140" t="s">
        <v>48</v>
      </c>
      <c r="F140" t="s">
        <v>38</v>
      </c>
      <c r="G140" t="s">
        <v>33</v>
      </c>
      <c r="H140" t="s">
        <v>34</v>
      </c>
      <c r="I140">
        <v>8</v>
      </c>
      <c r="J140" s="2">
        <v>7213</v>
      </c>
      <c r="K140" t="s">
        <v>42</v>
      </c>
      <c r="L140">
        <v>1</v>
      </c>
      <c r="M140">
        <v>3</v>
      </c>
      <c r="N140">
        <v>0</v>
      </c>
      <c r="O140">
        <v>0</v>
      </c>
      <c r="P140">
        <v>0</v>
      </c>
      <c r="Q140" t="s">
        <v>42</v>
      </c>
      <c r="R140" t="str" cm="1">
        <f t="array" ref="R140">_xlfn.IFS(N140&lt;=1,"0-1 yrs",N140&lt;=4,"2-4 yrs",N140&lt;=9,"5-9 yrs",N140&gt;9,"10+ yrs")</f>
        <v>0-1 yrs</v>
      </c>
      <c r="S140" t="str" cm="1">
        <f t="array" ref="S140">_xlfn.IFS(B140&lt;=25,"20-25",B140&lt;=35,"26-35",B140&lt;=45,"36-45",B140&gt;45,"46+")</f>
        <v>20-25</v>
      </c>
      <c r="T140" t="str" cm="1">
        <f t="array" ref="T140">_xlfn.IFS(J140&lt;3500,"&lt;3.5K",J140&lt;5500,"3.5-5.5K",J140&lt;7500,"5.5-7.5K",J140&gt;=7500,"7.5K+")</f>
        <v>5.5-7.5K</v>
      </c>
      <c r="U140">
        <f t="shared" si="2"/>
        <v>1</v>
      </c>
    </row>
    <row r="141" spans="1:21" x14ac:dyDescent="0.25">
      <c r="A141">
        <v>1127</v>
      </c>
      <c r="B141">
        <v>55</v>
      </c>
      <c r="C141" t="s">
        <v>23</v>
      </c>
      <c r="D141" t="s">
        <v>24</v>
      </c>
      <c r="E141" t="s">
        <v>45</v>
      </c>
      <c r="F141" t="s">
        <v>29</v>
      </c>
      <c r="G141" t="s">
        <v>20</v>
      </c>
      <c r="H141" t="s">
        <v>34</v>
      </c>
      <c r="I141">
        <v>26</v>
      </c>
      <c r="J141" s="2">
        <v>14775</v>
      </c>
      <c r="K141" t="s">
        <v>22</v>
      </c>
      <c r="L141">
        <v>2</v>
      </c>
      <c r="M141">
        <v>1</v>
      </c>
      <c r="N141">
        <v>21</v>
      </c>
      <c r="O141">
        <v>19</v>
      </c>
      <c r="P141">
        <v>28</v>
      </c>
      <c r="Q141" t="s">
        <v>22</v>
      </c>
      <c r="R141" t="str" cm="1">
        <f t="array" ref="R141">_xlfn.IFS(N141&lt;=1,"0-1 yrs",N141&lt;=4,"2-4 yrs",N141&lt;=9,"5-9 yrs",N141&gt;9,"10+ yrs")</f>
        <v>10+ yrs</v>
      </c>
      <c r="S141" t="str" cm="1">
        <f t="array" ref="S141">_xlfn.IFS(B141&lt;=25,"20-25",B141&lt;=35,"26-35",B141&lt;=45,"36-45",B141&gt;45,"46+")</f>
        <v>46+</v>
      </c>
      <c r="T141" t="str" cm="1">
        <f t="array" ref="T141">_xlfn.IFS(J141&lt;3500,"&lt;3.5K",J141&lt;5500,"3.5-5.5K",J141&lt;7500,"5.5-7.5K",J141&gt;=7500,"7.5K+")</f>
        <v>7.5K+</v>
      </c>
      <c r="U141">
        <f t="shared" si="2"/>
        <v>0</v>
      </c>
    </row>
    <row r="142" spans="1:21" x14ac:dyDescent="0.25">
      <c r="A142">
        <v>1937</v>
      </c>
      <c r="B142">
        <v>44</v>
      </c>
      <c r="C142" t="s">
        <v>23</v>
      </c>
      <c r="D142" t="s">
        <v>24</v>
      </c>
      <c r="E142" t="s">
        <v>46</v>
      </c>
      <c r="F142" t="s">
        <v>38</v>
      </c>
      <c r="G142" t="s">
        <v>37</v>
      </c>
      <c r="H142" t="s">
        <v>21</v>
      </c>
      <c r="I142">
        <v>21</v>
      </c>
      <c r="J142" s="2">
        <v>8498</v>
      </c>
      <c r="K142" t="s">
        <v>22</v>
      </c>
      <c r="L142">
        <v>1</v>
      </c>
      <c r="M142">
        <v>4</v>
      </c>
      <c r="N142">
        <v>7</v>
      </c>
      <c r="O142">
        <v>0</v>
      </c>
      <c r="P142">
        <v>20</v>
      </c>
      <c r="Q142" t="s">
        <v>22</v>
      </c>
      <c r="R142" t="str" cm="1">
        <f t="array" ref="R142">_xlfn.IFS(N142&lt;=1,"0-1 yrs",N142&lt;=4,"2-4 yrs",N142&lt;=9,"5-9 yrs",N142&gt;9,"10+ yrs")</f>
        <v>5-9 yrs</v>
      </c>
      <c r="S142" t="str" cm="1">
        <f t="array" ref="S142">_xlfn.IFS(B142&lt;=25,"20-25",B142&lt;=35,"26-35",B142&lt;=45,"36-45",B142&gt;45,"46+")</f>
        <v>36-45</v>
      </c>
      <c r="T142" t="str" cm="1">
        <f t="array" ref="T142">_xlfn.IFS(J142&lt;3500,"&lt;3.5K",J142&lt;5500,"3.5-5.5K",J142&lt;7500,"5.5-7.5K",J142&gt;=7500,"7.5K+")</f>
        <v>7.5K+</v>
      </c>
      <c r="U142">
        <f t="shared" si="2"/>
        <v>0</v>
      </c>
    </row>
    <row r="143" spans="1:21" x14ac:dyDescent="0.25">
      <c r="A143">
        <v>1392</v>
      </c>
      <c r="B143">
        <v>27</v>
      </c>
      <c r="C143" t="s">
        <v>16</v>
      </c>
      <c r="D143" t="s">
        <v>27</v>
      </c>
      <c r="E143" t="s">
        <v>44</v>
      </c>
      <c r="F143" t="s">
        <v>38</v>
      </c>
      <c r="G143" t="s">
        <v>33</v>
      </c>
      <c r="H143" t="s">
        <v>21</v>
      </c>
      <c r="I143">
        <v>14</v>
      </c>
      <c r="J143" s="2">
        <v>5212</v>
      </c>
      <c r="K143" t="s">
        <v>22</v>
      </c>
      <c r="L143">
        <v>3</v>
      </c>
      <c r="M143">
        <v>4</v>
      </c>
      <c r="N143">
        <v>3</v>
      </c>
      <c r="O143">
        <v>3</v>
      </c>
      <c r="P143">
        <v>7</v>
      </c>
      <c r="Q143" t="s">
        <v>22</v>
      </c>
      <c r="R143" t="str" cm="1">
        <f t="array" ref="R143">_xlfn.IFS(N143&lt;=1,"0-1 yrs",N143&lt;=4,"2-4 yrs",N143&lt;=9,"5-9 yrs",N143&gt;9,"10+ yrs")</f>
        <v>2-4 yrs</v>
      </c>
      <c r="S143" t="str" cm="1">
        <f t="array" ref="S143">_xlfn.IFS(B143&lt;=25,"20-25",B143&lt;=35,"26-35",B143&lt;=45,"36-45",B143&gt;45,"46+")</f>
        <v>26-35</v>
      </c>
      <c r="T143" t="str" cm="1">
        <f t="array" ref="T143">_xlfn.IFS(J143&lt;3500,"&lt;3.5K",J143&lt;5500,"3.5-5.5K",J143&lt;7500,"5.5-7.5K",J143&gt;=7500,"7.5K+")</f>
        <v>3.5-5.5K</v>
      </c>
      <c r="U143">
        <f t="shared" si="2"/>
        <v>0</v>
      </c>
    </row>
    <row r="144" spans="1:21" x14ac:dyDescent="0.25">
      <c r="A144">
        <v>1039</v>
      </c>
      <c r="B144">
        <v>37</v>
      </c>
      <c r="C144" t="s">
        <v>16</v>
      </c>
      <c r="D144" t="s">
        <v>27</v>
      </c>
      <c r="E144" t="s">
        <v>28</v>
      </c>
      <c r="F144" t="s">
        <v>36</v>
      </c>
      <c r="G144" t="s">
        <v>37</v>
      </c>
      <c r="H144" t="s">
        <v>34</v>
      </c>
      <c r="I144">
        <v>12</v>
      </c>
      <c r="J144" s="2">
        <v>9296</v>
      </c>
      <c r="K144" t="s">
        <v>22</v>
      </c>
      <c r="L144">
        <v>1</v>
      </c>
      <c r="M144">
        <v>1</v>
      </c>
      <c r="N144">
        <v>4</v>
      </c>
      <c r="O144">
        <v>0</v>
      </c>
      <c r="P144">
        <v>13</v>
      </c>
      <c r="Q144" t="s">
        <v>42</v>
      </c>
      <c r="R144" t="str" cm="1">
        <f t="array" ref="R144">_xlfn.IFS(N144&lt;=1,"0-1 yrs",N144&lt;=4,"2-4 yrs",N144&lt;=9,"5-9 yrs",N144&gt;9,"10+ yrs")</f>
        <v>2-4 yrs</v>
      </c>
      <c r="S144" t="str" cm="1">
        <f t="array" ref="S144">_xlfn.IFS(B144&lt;=25,"20-25",B144&lt;=35,"26-35",B144&lt;=45,"36-45",B144&gt;45,"46+")</f>
        <v>36-45</v>
      </c>
      <c r="T144" t="str" cm="1">
        <f t="array" ref="T144">_xlfn.IFS(J144&lt;3500,"&lt;3.5K",J144&lt;5500,"3.5-5.5K",J144&lt;7500,"5.5-7.5K",J144&gt;=7500,"7.5K+")</f>
        <v>7.5K+</v>
      </c>
      <c r="U144">
        <f t="shared" si="2"/>
        <v>1</v>
      </c>
    </row>
    <row r="145" spans="1:21" x14ac:dyDescent="0.25">
      <c r="A145">
        <v>1003</v>
      </c>
      <c r="B145">
        <v>42</v>
      </c>
      <c r="C145" t="s">
        <v>16</v>
      </c>
      <c r="D145" t="s">
        <v>24</v>
      </c>
      <c r="E145" t="s">
        <v>25</v>
      </c>
      <c r="F145" t="s">
        <v>19</v>
      </c>
      <c r="G145" t="s">
        <v>37</v>
      </c>
      <c r="H145" t="s">
        <v>34</v>
      </c>
      <c r="I145">
        <v>20</v>
      </c>
      <c r="J145" s="2">
        <v>9359</v>
      </c>
      <c r="K145" t="s">
        <v>22</v>
      </c>
      <c r="L145">
        <v>1</v>
      </c>
      <c r="M145">
        <v>3</v>
      </c>
      <c r="N145">
        <v>7</v>
      </c>
      <c r="O145">
        <v>1</v>
      </c>
      <c r="P145">
        <v>10</v>
      </c>
      <c r="Q145" t="s">
        <v>22</v>
      </c>
      <c r="R145" t="str" cm="1">
        <f t="array" ref="R145">_xlfn.IFS(N145&lt;=1,"0-1 yrs",N145&lt;=4,"2-4 yrs",N145&lt;=9,"5-9 yrs",N145&gt;9,"10+ yrs")</f>
        <v>5-9 yrs</v>
      </c>
      <c r="S145" t="str" cm="1">
        <f t="array" ref="S145">_xlfn.IFS(B145&lt;=25,"20-25",B145&lt;=35,"26-35",B145&lt;=45,"36-45",B145&gt;45,"46+")</f>
        <v>36-45</v>
      </c>
      <c r="T145" t="str" cm="1">
        <f t="array" ref="T145">_xlfn.IFS(J145&lt;3500,"&lt;3.5K",J145&lt;5500,"3.5-5.5K",J145&lt;7500,"5.5-7.5K",J145&gt;=7500,"7.5K+")</f>
        <v>7.5K+</v>
      </c>
      <c r="U145">
        <f t="shared" si="2"/>
        <v>0</v>
      </c>
    </row>
    <row r="146" spans="1:21" x14ac:dyDescent="0.25">
      <c r="A146">
        <v>1992</v>
      </c>
      <c r="B146">
        <v>55</v>
      </c>
      <c r="C146" t="s">
        <v>16</v>
      </c>
      <c r="D146" t="s">
        <v>27</v>
      </c>
      <c r="E146" t="s">
        <v>44</v>
      </c>
      <c r="F146" t="s">
        <v>26</v>
      </c>
      <c r="G146" t="s">
        <v>37</v>
      </c>
      <c r="H146" t="s">
        <v>34</v>
      </c>
      <c r="I146">
        <v>21</v>
      </c>
      <c r="J146" s="2">
        <v>11742</v>
      </c>
      <c r="K146" t="s">
        <v>42</v>
      </c>
      <c r="L146">
        <v>4</v>
      </c>
      <c r="M146">
        <v>1</v>
      </c>
      <c r="N146">
        <v>12</v>
      </c>
      <c r="O146">
        <v>3</v>
      </c>
      <c r="P146">
        <v>35</v>
      </c>
      <c r="Q146" t="s">
        <v>22</v>
      </c>
      <c r="R146" t="str" cm="1">
        <f t="array" ref="R146">_xlfn.IFS(N146&lt;=1,"0-1 yrs",N146&lt;=4,"2-4 yrs",N146&lt;=9,"5-9 yrs",N146&gt;9,"10+ yrs")</f>
        <v>10+ yrs</v>
      </c>
      <c r="S146" t="str" cm="1">
        <f t="array" ref="S146">_xlfn.IFS(B146&lt;=25,"20-25",B146&lt;=35,"26-35",B146&lt;=45,"36-45",B146&gt;45,"46+")</f>
        <v>46+</v>
      </c>
      <c r="T146" t="str" cm="1">
        <f t="array" ref="T146">_xlfn.IFS(J146&lt;3500,"&lt;3.5K",J146&lt;5500,"3.5-5.5K",J146&lt;7500,"5.5-7.5K",J146&gt;=7500,"7.5K+")</f>
        <v>7.5K+</v>
      </c>
      <c r="U146">
        <f t="shared" si="2"/>
        <v>0</v>
      </c>
    </row>
    <row r="147" spans="1:21" x14ac:dyDescent="0.25">
      <c r="A147">
        <v>1244</v>
      </c>
      <c r="B147">
        <v>57</v>
      </c>
      <c r="C147" t="s">
        <v>23</v>
      </c>
      <c r="D147" t="s">
        <v>24</v>
      </c>
      <c r="E147" t="s">
        <v>46</v>
      </c>
      <c r="F147" t="s">
        <v>68</v>
      </c>
      <c r="G147" t="s">
        <v>37</v>
      </c>
      <c r="H147" t="s">
        <v>34</v>
      </c>
      <c r="I147">
        <v>28</v>
      </c>
      <c r="J147" s="2">
        <v>9418</v>
      </c>
      <c r="K147" t="s">
        <v>22</v>
      </c>
      <c r="L147">
        <v>4</v>
      </c>
      <c r="M147">
        <v>3</v>
      </c>
      <c r="N147">
        <v>6</v>
      </c>
      <c r="O147">
        <v>2</v>
      </c>
      <c r="P147">
        <v>31</v>
      </c>
      <c r="Q147" t="s">
        <v>22</v>
      </c>
      <c r="R147" t="str" cm="1">
        <f t="array" ref="R147">_xlfn.IFS(N147&lt;=1,"0-1 yrs",N147&lt;=4,"2-4 yrs",N147&lt;=9,"5-9 yrs",N147&gt;9,"10+ yrs")</f>
        <v>5-9 yrs</v>
      </c>
      <c r="S147" t="str" cm="1">
        <f t="array" ref="S147">_xlfn.IFS(B147&lt;=25,"20-25",B147&lt;=35,"26-35",B147&lt;=45,"36-45",B147&gt;45,"46+")</f>
        <v>46+</v>
      </c>
      <c r="T147" t="str" cm="1">
        <f t="array" ref="T147">_xlfn.IFS(J147&lt;3500,"&lt;3.5K",J147&lt;5500,"3.5-5.5K",J147&lt;7500,"5.5-7.5K",J147&gt;=7500,"7.5K+")</f>
        <v>7.5K+</v>
      </c>
      <c r="U147">
        <f t="shared" si="2"/>
        <v>0</v>
      </c>
    </row>
    <row r="148" spans="1:21" x14ac:dyDescent="0.25">
      <c r="A148">
        <v>1755</v>
      </c>
      <c r="B148">
        <v>20</v>
      </c>
      <c r="C148" t="s">
        <v>23</v>
      </c>
      <c r="D148" t="s">
        <v>24</v>
      </c>
      <c r="E148" t="s">
        <v>46</v>
      </c>
      <c r="F148" t="s">
        <v>19</v>
      </c>
      <c r="G148" t="s">
        <v>20</v>
      </c>
      <c r="H148" t="s">
        <v>30</v>
      </c>
      <c r="I148">
        <v>6</v>
      </c>
      <c r="J148" s="2">
        <v>4841</v>
      </c>
      <c r="K148" t="s">
        <v>42</v>
      </c>
      <c r="L148">
        <v>1</v>
      </c>
      <c r="M148">
        <v>1</v>
      </c>
      <c r="N148">
        <v>0</v>
      </c>
      <c r="O148">
        <v>0</v>
      </c>
      <c r="P148">
        <v>0</v>
      </c>
      <c r="Q148" t="s">
        <v>42</v>
      </c>
      <c r="R148" t="str" cm="1">
        <f t="array" ref="R148">_xlfn.IFS(N148&lt;=1,"0-1 yrs",N148&lt;=4,"2-4 yrs",N148&lt;=9,"5-9 yrs",N148&gt;9,"10+ yrs")</f>
        <v>0-1 yrs</v>
      </c>
      <c r="S148" t="str" cm="1">
        <f t="array" ref="S148">_xlfn.IFS(B148&lt;=25,"20-25",B148&lt;=35,"26-35",B148&lt;=45,"36-45",B148&gt;45,"46+")</f>
        <v>20-25</v>
      </c>
      <c r="T148" t="str" cm="1">
        <f t="array" ref="T148">_xlfn.IFS(J148&lt;3500,"&lt;3.5K",J148&lt;5500,"3.5-5.5K",J148&lt;7500,"5.5-7.5K",J148&gt;=7500,"7.5K+")</f>
        <v>3.5-5.5K</v>
      </c>
      <c r="U148">
        <f t="shared" si="2"/>
        <v>1</v>
      </c>
    </row>
    <row r="149" spans="1:21" x14ac:dyDescent="0.25">
      <c r="A149">
        <v>1425</v>
      </c>
      <c r="B149">
        <v>34</v>
      </c>
      <c r="C149" t="s">
        <v>23</v>
      </c>
      <c r="D149" t="s">
        <v>24</v>
      </c>
      <c r="E149" t="s">
        <v>25</v>
      </c>
      <c r="F149" t="s">
        <v>32</v>
      </c>
      <c r="G149" t="s">
        <v>37</v>
      </c>
      <c r="H149" t="s">
        <v>21</v>
      </c>
      <c r="I149">
        <v>17</v>
      </c>
      <c r="J149" s="2">
        <v>10373</v>
      </c>
      <c r="K149" t="s">
        <v>22</v>
      </c>
      <c r="L149">
        <v>2</v>
      </c>
      <c r="M149">
        <v>1</v>
      </c>
      <c r="N149">
        <v>12</v>
      </c>
      <c r="O149">
        <v>12</v>
      </c>
      <c r="P149">
        <v>14</v>
      </c>
      <c r="Q149" t="s">
        <v>22</v>
      </c>
      <c r="R149" t="str" cm="1">
        <f t="array" ref="R149">_xlfn.IFS(N149&lt;=1,"0-1 yrs",N149&lt;=4,"2-4 yrs",N149&lt;=9,"5-9 yrs",N149&gt;9,"10+ yrs")</f>
        <v>10+ yrs</v>
      </c>
      <c r="S149" t="str" cm="1">
        <f t="array" ref="S149">_xlfn.IFS(B149&lt;=25,"20-25",B149&lt;=35,"26-35",B149&lt;=45,"36-45",B149&gt;45,"46+")</f>
        <v>26-35</v>
      </c>
      <c r="T149" t="str" cm="1">
        <f t="array" ref="T149">_xlfn.IFS(J149&lt;3500,"&lt;3.5K",J149&lt;5500,"3.5-5.5K",J149&lt;7500,"5.5-7.5K",J149&gt;=7500,"7.5K+")</f>
        <v>7.5K+</v>
      </c>
      <c r="U149">
        <f t="shared" si="2"/>
        <v>0</v>
      </c>
    </row>
    <row r="150" spans="1:21" x14ac:dyDescent="0.25">
      <c r="A150">
        <v>1097</v>
      </c>
      <c r="B150">
        <v>41</v>
      </c>
      <c r="C150" t="s">
        <v>16</v>
      </c>
      <c r="D150" t="s">
        <v>27</v>
      </c>
      <c r="E150" t="s">
        <v>43</v>
      </c>
      <c r="F150" t="s">
        <v>19</v>
      </c>
      <c r="G150" t="s">
        <v>33</v>
      </c>
      <c r="H150" t="s">
        <v>30</v>
      </c>
      <c r="I150">
        <v>13</v>
      </c>
      <c r="J150" s="2">
        <v>10892</v>
      </c>
      <c r="K150" t="s">
        <v>22</v>
      </c>
      <c r="M150">
        <v>1</v>
      </c>
      <c r="N150">
        <v>11</v>
      </c>
      <c r="O150">
        <v>4</v>
      </c>
      <c r="P150">
        <v>21</v>
      </c>
      <c r="Q150" t="s">
        <v>22</v>
      </c>
      <c r="R150" t="str" cm="1">
        <f t="array" ref="R150">_xlfn.IFS(N150&lt;=1,"0-1 yrs",N150&lt;=4,"2-4 yrs",N150&lt;=9,"5-9 yrs",N150&gt;9,"10+ yrs")</f>
        <v>10+ yrs</v>
      </c>
      <c r="S150" t="str" cm="1">
        <f t="array" ref="S150">_xlfn.IFS(B150&lt;=25,"20-25",B150&lt;=35,"26-35",B150&lt;=45,"36-45",B150&gt;45,"46+")</f>
        <v>36-45</v>
      </c>
      <c r="T150" t="str" cm="1">
        <f t="array" ref="T150">_xlfn.IFS(J150&lt;3500,"&lt;3.5K",J150&lt;5500,"3.5-5.5K",J150&lt;7500,"5.5-7.5K",J150&gt;=7500,"7.5K+")</f>
        <v>7.5K+</v>
      </c>
      <c r="U150">
        <f t="shared" si="2"/>
        <v>0</v>
      </c>
    </row>
    <row r="151" spans="1:21" x14ac:dyDescent="0.25">
      <c r="A151">
        <v>1889</v>
      </c>
      <c r="B151">
        <v>20</v>
      </c>
      <c r="C151" t="s">
        <v>16</v>
      </c>
      <c r="D151" t="s">
        <v>17</v>
      </c>
      <c r="E151" t="s">
        <v>35</v>
      </c>
      <c r="F151" t="s">
        <v>19</v>
      </c>
      <c r="G151" t="s">
        <v>37</v>
      </c>
      <c r="H151" t="s">
        <v>21</v>
      </c>
      <c r="I151">
        <v>7</v>
      </c>
      <c r="J151" s="2">
        <v>4495</v>
      </c>
      <c r="K151" t="s">
        <v>22</v>
      </c>
      <c r="L151">
        <v>2</v>
      </c>
      <c r="M151">
        <v>4</v>
      </c>
      <c r="N151">
        <v>0</v>
      </c>
      <c r="O151">
        <v>0</v>
      </c>
      <c r="P151">
        <v>0</v>
      </c>
      <c r="Q151" t="s">
        <v>22</v>
      </c>
      <c r="R151" t="str" cm="1">
        <f t="array" ref="R151">_xlfn.IFS(N151&lt;=1,"0-1 yrs",N151&lt;=4,"2-4 yrs",N151&lt;=9,"5-9 yrs",N151&gt;9,"10+ yrs")</f>
        <v>0-1 yrs</v>
      </c>
      <c r="S151" t="str" cm="1">
        <f t="array" ref="S151">_xlfn.IFS(B151&lt;=25,"20-25",B151&lt;=35,"26-35",B151&lt;=45,"36-45",B151&gt;45,"46+")</f>
        <v>20-25</v>
      </c>
      <c r="T151" t="str" cm="1">
        <f t="array" ref="T151">_xlfn.IFS(J151&lt;3500,"&lt;3.5K",J151&lt;5500,"3.5-5.5K",J151&lt;7500,"5.5-7.5K",J151&gt;=7500,"7.5K+")</f>
        <v>3.5-5.5K</v>
      </c>
      <c r="U151">
        <f t="shared" si="2"/>
        <v>0</v>
      </c>
    </row>
    <row r="152" spans="1:21" x14ac:dyDescent="0.25">
      <c r="A152">
        <v>1470</v>
      </c>
      <c r="B152">
        <v>23</v>
      </c>
      <c r="C152" t="s">
        <v>23</v>
      </c>
      <c r="D152" t="s">
        <v>17</v>
      </c>
      <c r="E152" t="s">
        <v>35</v>
      </c>
      <c r="F152" t="s">
        <v>26</v>
      </c>
      <c r="G152" t="s">
        <v>37</v>
      </c>
      <c r="H152" t="s">
        <v>21</v>
      </c>
      <c r="I152">
        <v>9</v>
      </c>
      <c r="J152" s="2">
        <v>6947</v>
      </c>
      <c r="K152" t="s">
        <v>22</v>
      </c>
      <c r="L152">
        <v>1</v>
      </c>
      <c r="M152">
        <v>1</v>
      </c>
      <c r="N152">
        <v>0</v>
      </c>
      <c r="O152">
        <v>0</v>
      </c>
      <c r="P152">
        <v>0</v>
      </c>
      <c r="Q152" t="s">
        <v>42</v>
      </c>
      <c r="R152" t="str" cm="1">
        <f t="array" ref="R152">_xlfn.IFS(N152&lt;=1,"0-1 yrs",N152&lt;=4,"2-4 yrs",N152&lt;=9,"5-9 yrs",N152&gt;9,"10+ yrs")</f>
        <v>0-1 yrs</v>
      </c>
      <c r="S152" t="str" cm="1">
        <f t="array" ref="S152">_xlfn.IFS(B152&lt;=25,"20-25",B152&lt;=35,"26-35",B152&lt;=45,"36-45",B152&gt;45,"46+")</f>
        <v>20-25</v>
      </c>
      <c r="T152" t="str" cm="1">
        <f t="array" ref="T152">_xlfn.IFS(J152&lt;3500,"&lt;3.5K",J152&lt;5500,"3.5-5.5K",J152&lt;7500,"5.5-7.5K",J152&gt;=7500,"7.5K+")</f>
        <v>5.5-7.5K</v>
      </c>
      <c r="U152">
        <f t="shared" si="2"/>
        <v>1</v>
      </c>
    </row>
    <row r="153" spans="1:21" x14ac:dyDescent="0.25">
      <c r="A153">
        <v>1998</v>
      </c>
      <c r="B153">
        <v>59</v>
      </c>
      <c r="C153" t="s">
        <v>23</v>
      </c>
      <c r="D153" t="s">
        <v>27</v>
      </c>
      <c r="E153" t="s">
        <v>43</v>
      </c>
      <c r="F153" t="s">
        <v>29</v>
      </c>
      <c r="G153" t="s">
        <v>20</v>
      </c>
      <c r="H153" t="s">
        <v>30</v>
      </c>
      <c r="I153">
        <v>15</v>
      </c>
      <c r="J153" s="2">
        <v>12327</v>
      </c>
      <c r="K153" t="s">
        <v>22</v>
      </c>
      <c r="L153">
        <v>4</v>
      </c>
      <c r="M153">
        <v>1</v>
      </c>
      <c r="N153">
        <v>4</v>
      </c>
      <c r="O153">
        <v>4</v>
      </c>
      <c r="P153">
        <v>34</v>
      </c>
      <c r="Q153" t="s">
        <v>22</v>
      </c>
      <c r="R153" t="str" cm="1">
        <f t="array" ref="R153">_xlfn.IFS(N153&lt;=1,"0-1 yrs",N153&lt;=4,"2-4 yrs",N153&lt;=9,"5-9 yrs",N153&gt;9,"10+ yrs")</f>
        <v>2-4 yrs</v>
      </c>
      <c r="S153" t="str" cm="1">
        <f t="array" ref="S153">_xlfn.IFS(B153&lt;=25,"20-25",B153&lt;=35,"26-35",B153&lt;=45,"36-45",B153&gt;45,"46+")</f>
        <v>46+</v>
      </c>
      <c r="T153" t="str" cm="1">
        <f t="array" ref="T153">_xlfn.IFS(J153&lt;3500,"&lt;3.5K",J153&lt;5500,"3.5-5.5K",J153&lt;7500,"5.5-7.5K",J153&gt;=7500,"7.5K+")</f>
        <v>7.5K+</v>
      </c>
      <c r="U153">
        <f t="shared" si="2"/>
        <v>0</v>
      </c>
    </row>
    <row r="154" spans="1:21" x14ac:dyDescent="0.25">
      <c r="A154">
        <v>1927</v>
      </c>
      <c r="B154">
        <v>52</v>
      </c>
      <c r="C154" t="s">
        <v>16</v>
      </c>
      <c r="D154" t="s">
        <v>27</v>
      </c>
      <c r="E154" t="s">
        <v>43</v>
      </c>
      <c r="F154" t="s">
        <v>41</v>
      </c>
      <c r="G154" t="s">
        <v>33</v>
      </c>
      <c r="H154" t="s">
        <v>30</v>
      </c>
      <c r="I154">
        <v>3</v>
      </c>
      <c r="J154" s="2">
        <v>11634</v>
      </c>
      <c r="K154" t="s">
        <v>22</v>
      </c>
      <c r="L154">
        <v>2</v>
      </c>
      <c r="M154">
        <v>2</v>
      </c>
      <c r="N154">
        <v>6</v>
      </c>
      <c r="O154">
        <v>0</v>
      </c>
      <c r="P154">
        <v>22</v>
      </c>
      <c r="Q154" t="s">
        <v>22</v>
      </c>
      <c r="R154" t="str" cm="1">
        <f t="array" ref="R154">_xlfn.IFS(N154&lt;=1,"0-1 yrs",N154&lt;=4,"2-4 yrs",N154&lt;=9,"5-9 yrs",N154&gt;9,"10+ yrs")</f>
        <v>5-9 yrs</v>
      </c>
      <c r="S154" t="str" cm="1">
        <f t="array" ref="S154">_xlfn.IFS(B154&lt;=25,"20-25",B154&lt;=35,"26-35",B154&lt;=45,"36-45",B154&gt;45,"46+")</f>
        <v>46+</v>
      </c>
      <c r="T154" t="str" cm="1">
        <f t="array" ref="T154">_xlfn.IFS(J154&lt;3500,"&lt;3.5K",J154&lt;5500,"3.5-5.5K",J154&lt;7500,"5.5-7.5K",J154&gt;=7500,"7.5K+")</f>
        <v>7.5K+</v>
      </c>
      <c r="U154">
        <f t="shared" si="2"/>
        <v>0</v>
      </c>
    </row>
    <row r="155" spans="1:21" x14ac:dyDescent="0.25">
      <c r="A155">
        <v>1183</v>
      </c>
      <c r="B155">
        <v>38</v>
      </c>
      <c r="C155" t="s">
        <v>16</v>
      </c>
      <c r="D155" t="s">
        <v>17</v>
      </c>
      <c r="E155" t="s">
        <v>40</v>
      </c>
      <c r="F155" t="s">
        <v>68</v>
      </c>
      <c r="G155" t="s">
        <v>20</v>
      </c>
      <c r="H155" t="s">
        <v>30</v>
      </c>
      <c r="I155">
        <v>9</v>
      </c>
      <c r="J155" s="2">
        <v>8463</v>
      </c>
      <c r="K155" t="s">
        <v>22</v>
      </c>
      <c r="L155">
        <v>4</v>
      </c>
      <c r="M155">
        <v>1</v>
      </c>
      <c r="N155">
        <v>9</v>
      </c>
      <c r="O155">
        <v>2</v>
      </c>
      <c r="P155">
        <v>17</v>
      </c>
      <c r="Q155" t="s">
        <v>22</v>
      </c>
      <c r="R155" t="str" cm="1">
        <f t="array" ref="R155">_xlfn.IFS(N155&lt;=1,"0-1 yrs",N155&lt;=4,"2-4 yrs",N155&lt;=9,"5-9 yrs",N155&gt;9,"10+ yrs")</f>
        <v>5-9 yrs</v>
      </c>
      <c r="S155" t="str" cm="1">
        <f t="array" ref="S155">_xlfn.IFS(B155&lt;=25,"20-25",B155&lt;=35,"26-35",B155&lt;=45,"36-45",B155&gt;45,"46+")</f>
        <v>36-45</v>
      </c>
      <c r="T155" t="str" cm="1">
        <f t="array" ref="T155">_xlfn.IFS(J155&lt;3500,"&lt;3.5K",J155&lt;5500,"3.5-5.5K",J155&lt;7500,"5.5-7.5K",J155&gt;=7500,"7.5K+")</f>
        <v>7.5K+</v>
      </c>
      <c r="U155">
        <f t="shared" si="2"/>
        <v>0</v>
      </c>
    </row>
    <row r="156" spans="1:21" x14ac:dyDescent="0.25">
      <c r="A156">
        <v>1804</v>
      </c>
      <c r="B156">
        <v>37</v>
      </c>
      <c r="C156" t="s">
        <v>16</v>
      </c>
      <c r="D156" t="s">
        <v>17</v>
      </c>
      <c r="E156" t="s">
        <v>40</v>
      </c>
      <c r="F156" t="s">
        <v>38</v>
      </c>
      <c r="G156" t="s">
        <v>33</v>
      </c>
      <c r="H156" t="s">
        <v>34</v>
      </c>
      <c r="I156">
        <v>18</v>
      </c>
      <c r="J156" s="2">
        <v>10012</v>
      </c>
      <c r="K156" t="s">
        <v>22</v>
      </c>
      <c r="L156">
        <v>3</v>
      </c>
      <c r="M156">
        <v>4</v>
      </c>
      <c r="N156">
        <v>6</v>
      </c>
      <c r="O156">
        <v>4</v>
      </c>
      <c r="P156">
        <v>10</v>
      </c>
      <c r="Q156" t="s">
        <v>22</v>
      </c>
      <c r="R156" t="str" cm="1">
        <f t="array" ref="R156">_xlfn.IFS(N156&lt;=1,"0-1 yrs",N156&lt;=4,"2-4 yrs",N156&lt;=9,"5-9 yrs",N156&gt;9,"10+ yrs")</f>
        <v>5-9 yrs</v>
      </c>
      <c r="S156" t="str" cm="1">
        <f t="array" ref="S156">_xlfn.IFS(B156&lt;=25,"20-25",B156&lt;=35,"26-35",B156&lt;=45,"36-45",B156&gt;45,"46+")</f>
        <v>36-45</v>
      </c>
      <c r="T156" t="str" cm="1">
        <f t="array" ref="T156">_xlfn.IFS(J156&lt;3500,"&lt;3.5K",J156&lt;5500,"3.5-5.5K",J156&lt;7500,"5.5-7.5K",J156&gt;=7500,"7.5K+")</f>
        <v>7.5K+</v>
      </c>
      <c r="U156">
        <f t="shared" si="2"/>
        <v>0</v>
      </c>
    </row>
    <row r="157" spans="1:21" x14ac:dyDescent="0.25">
      <c r="A157">
        <v>1164</v>
      </c>
      <c r="B157">
        <v>25</v>
      </c>
      <c r="C157" t="s">
        <v>23</v>
      </c>
      <c r="D157" t="s">
        <v>27</v>
      </c>
      <c r="E157" t="s">
        <v>43</v>
      </c>
      <c r="F157" t="s">
        <v>26</v>
      </c>
      <c r="G157" t="s">
        <v>37</v>
      </c>
      <c r="H157" t="s">
        <v>30</v>
      </c>
      <c r="I157">
        <v>3</v>
      </c>
      <c r="J157" s="2">
        <v>6081</v>
      </c>
      <c r="K157" t="s">
        <v>42</v>
      </c>
      <c r="L157">
        <v>1</v>
      </c>
      <c r="M157">
        <v>4</v>
      </c>
      <c r="N157">
        <v>0</v>
      </c>
      <c r="O157">
        <v>0</v>
      </c>
      <c r="P157">
        <v>0</v>
      </c>
      <c r="Q157" t="s">
        <v>42</v>
      </c>
      <c r="R157" t="str" cm="1">
        <f t="array" ref="R157">_xlfn.IFS(N157&lt;=1,"0-1 yrs",N157&lt;=4,"2-4 yrs",N157&lt;=9,"5-9 yrs",N157&gt;9,"10+ yrs")</f>
        <v>0-1 yrs</v>
      </c>
      <c r="S157" t="str" cm="1">
        <f t="array" ref="S157">_xlfn.IFS(B157&lt;=25,"20-25",B157&lt;=35,"26-35",B157&lt;=45,"36-45",B157&gt;45,"46+")</f>
        <v>20-25</v>
      </c>
      <c r="T157" t="str" cm="1">
        <f t="array" ref="T157">_xlfn.IFS(J157&lt;3500,"&lt;3.5K",J157&lt;5500,"3.5-5.5K",J157&lt;7500,"5.5-7.5K",J157&gt;=7500,"7.5K+")</f>
        <v>5.5-7.5K</v>
      </c>
      <c r="U157">
        <f t="shared" si="2"/>
        <v>1</v>
      </c>
    </row>
    <row r="158" spans="1:21" x14ac:dyDescent="0.25">
      <c r="A158">
        <v>1791</v>
      </c>
      <c r="B158">
        <v>43</v>
      </c>
      <c r="C158" t="s">
        <v>23</v>
      </c>
      <c r="D158" t="s">
        <v>38</v>
      </c>
      <c r="E158" t="s">
        <v>39</v>
      </c>
      <c r="F158" t="s">
        <v>29</v>
      </c>
      <c r="G158" t="s">
        <v>37</v>
      </c>
      <c r="H158" t="s">
        <v>34</v>
      </c>
      <c r="I158">
        <v>11</v>
      </c>
      <c r="J158" s="2">
        <v>4621</v>
      </c>
      <c r="K158" t="s">
        <v>22</v>
      </c>
      <c r="L158">
        <v>3</v>
      </c>
      <c r="M158">
        <v>2</v>
      </c>
      <c r="N158">
        <v>4</v>
      </c>
      <c r="O158">
        <v>3</v>
      </c>
      <c r="P158">
        <v>4</v>
      </c>
      <c r="Q158" t="s">
        <v>22</v>
      </c>
      <c r="R158" t="str" cm="1">
        <f t="array" ref="R158">_xlfn.IFS(N158&lt;=1,"0-1 yrs",N158&lt;=4,"2-4 yrs",N158&lt;=9,"5-9 yrs",N158&gt;9,"10+ yrs")</f>
        <v>2-4 yrs</v>
      </c>
      <c r="S158" t="str" cm="1">
        <f t="array" ref="S158">_xlfn.IFS(B158&lt;=25,"20-25",B158&lt;=35,"26-35",B158&lt;=45,"36-45",B158&gt;45,"46+")</f>
        <v>36-45</v>
      </c>
      <c r="T158" t="str" cm="1">
        <f t="array" ref="T158">_xlfn.IFS(J158&lt;3500,"&lt;3.5K",J158&lt;5500,"3.5-5.5K",J158&lt;7500,"5.5-7.5K",J158&gt;=7500,"7.5K+")</f>
        <v>3.5-5.5K</v>
      </c>
      <c r="U158">
        <f t="shared" si="2"/>
        <v>0</v>
      </c>
    </row>
    <row r="159" spans="1:21" x14ac:dyDescent="0.25">
      <c r="A159">
        <v>1174</v>
      </c>
      <c r="B159">
        <v>30</v>
      </c>
      <c r="C159" t="s">
        <v>16</v>
      </c>
      <c r="D159" t="s">
        <v>27</v>
      </c>
      <c r="E159" t="s">
        <v>44</v>
      </c>
      <c r="F159" t="s">
        <v>29</v>
      </c>
      <c r="G159" t="s">
        <v>37</v>
      </c>
      <c r="H159" t="s">
        <v>30</v>
      </c>
      <c r="I159">
        <v>4</v>
      </c>
      <c r="J159" s="2">
        <v>6663</v>
      </c>
      <c r="K159" t="s">
        <v>42</v>
      </c>
      <c r="L159">
        <v>3</v>
      </c>
      <c r="M159">
        <v>4</v>
      </c>
      <c r="N159">
        <v>5</v>
      </c>
      <c r="O159">
        <v>5</v>
      </c>
      <c r="P159">
        <v>5</v>
      </c>
      <c r="Q159" t="s">
        <v>22</v>
      </c>
      <c r="R159" t="str" cm="1">
        <f t="array" ref="R159">_xlfn.IFS(N159&lt;=1,"0-1 yrs",N159&lt;=4,"2-4 yrs",N159&lt;=9,"5-9 yrs",N159&gt;9,"10+ yrs")</f>
        <v>5-9 yrs</v>
      </c>
      <c r="S159" t="str" cm="1">
        <f t="array" ref="S159">_xlfn.IFS(B159&lt;=25,"20-25",B159&lt;=35,"26-35",B159&lt;=45,"36-45",B159&gt;45,"46+")</f>
        <v>26-35</v>
      </c>
      <c r="T159" t="str" cm="1">
        <f t="array" ref="T159">_xlfn.IFS(J159&lt;3500,"&lt;3.5K",J159&lt;5500,"3.5-5.5K",J159&lt;7500,"5.5-7.5K",J159&gt;=7500,"7.5K+")</f>
        <v>5.5-7.5K</v>
      </c>
      <c r="U159">
        <f t="shared" si="2"/>
        <v>0</v>
      </c>
    </row>
    <row r="160" spans="1:21" x14ac:dyDescent="0.25">
      <c r="A160">
        <v>1055</v>
      </c>
      <c r="B160">
        <v>25</v>
      </c>
      <c r="C160" t="s">
        <v>16</v>
      </c>
      <c r="D160" t="s">
        <v>24</v>
      </c>
      <c r="E160" t="s">
        <v>45</v>
      </c>
      <c r="F160" t="s">
        <v>38</v>
      </c>
      <c r="G160" t="s">
        <v>20</v>
      </c>
      <c r="H160" t="s">
        <v>30</v>
      </c>
      <c r="I160">
        <v>23</v>
      </c>
      <c r="J160" s="2">
        <v>5868</v>
      </c>
      <c r="K160" t="s">
        <v>22</v>
      </c>
      <c r="L160">
        <v>1</v>
      </c>
      <c r="M160">
        <v>2</v>
      </c>
      <c r="N160">
        <v>0</v>
      </c>
      <c r="O160">
        <v>0</v>
      </c>
      <c r="P160">
        <v>0</v>
      </c>
      <c r="Q160" t="s">
        <v>22</v>
      </c>
      <c r="R160" t="str" cm="1">
        <f t="array" ref="R160">_xlfn.IFS(N160&lt;=1,"0-1 yrs",N160&lt;=4,"2-4 yrs",N160&lt;=9,"5-9 yrs",N160&gt;9,"10+ yrs")</f>
        <v>0-1 yrs</v>
      </c>
      <c r="S160" t="str" cm="1">
        <f t="array" ref="S160">_xlfn.IFS(B160&lt;=25,"20-25",B160&lt;=35,"26-35",B160&lt;=45,"36-45",B160&gt;45,"46+")</f>
        <v>20-25</v>
      </c>
      <c r="T160" t="str" cm="1">
        <f t="array" ref="T160">_xlfn.IFS(J160&lt;3500,"&lt;3.5K",J160&lt;5500,"3.5-5.5K",J160&lt;7500,"5.5-7.5K",J160&gt;=7500,"7.5K+")</f>
        <v>5.5-7.5K</v>
      </c>
      <c r="U160">
        <f t="shared" si="2"/>
        <v>0</v>
      </c>
    </row>
    <row r="161" spans="1:21" x14ac:dyDescent="0.25">
      <c r="A161">
        <v>1636</v>
      </c>
      <c r="B161">
        <v>43</v>
      </c>
      <c r="C161" t="s">
        <v>23</v>
      </c>
      <c r="D161" t="s">
        <v>24</v>
      </c>
      <c r="E161" t="s">
        <v>52</v>
      </c>
      <c r="F161" t="s">
        <v>38</v>
      </c>
      <c r="G161" t="s">
        <v>37</v>
      </c>
      <c r="H161" t="s">
        <v>30</v>
      </c>
      <c r="I161">
        <v>9</v>
      </c>
      <c r="J161" s="2">
        <v>9499</v>
      </c>
      <c r="K161" t="s">
        <v>22</v>
      </c>
      <c r="L161">
        <v>3</v>
      </c>
      <c r="M161">
        <v>3</v>
      </c>
      <c r="N161">
        <v>21</v>
      </c>
      <c r="O161">
        <v>7</v>
      </c>
      <c r="P161">
        <v>23</v>
      </c>
      <c r="Q161" t="s">
        <v>22</v>
      </c>
      <c r="R161" t="str" cm="1">
        <f t="array" ref="R161">_xlfn.IFS(N161&lt;=1,"0-1 yrs",N161&lt;=4,"2-4 yrs",N161&lt;=9,"5-9 yrs",N161&gt;9,"10+ yrs")</f>
        <v>10+ yrs</v>
      </c>
      <c r="S161" t="str" cm="1">
        <f t="array" ref="S161">_xlfn.IFS(B161&lt;=25,"20-25",B161&lt;=35,"26-35",B161&lt;=45,"36-45",B161&gt;45,"46+")</f>
        <v>36-45</v>
      </c>
      <c r="T161" t="str" cm="1">
        <f t="array" ref="T161">_xlfn.IFS(J161&lt;3500,"&lt;3.5K",J161&lt;5500,"3.5-5.5K",J161&lt;7500,"5.5-7.5K",J161&gt;=7500,"7.5K+")</f>
        <v>7.5K+</v>
      </c>
      <c r="U161">
        <f t="shared" si="2"/>
        <v>0</v>
      </c>
    </row>
    <row r="162" spans="1:21" x14ac:dyDescent="0.25">
      <c r="A162">
        <v>1715</v>
      </c>
      <c r="B162">
        <v>44</v>
      </c>
      <c r="C162" t="s">
        <v>16</v>
      </c>
      <c r="D162" t="s">
        <v>27</v>
      </c>
      <c r="E162" t="s">
        <v>28</v>
      </c>
      <c r="F162" t="s">
        <v>32</v>
      </c>
      <c r="G162" t="s">
        <v>33</v>
      </c>
      <c r="H162" t="s">
        <v>21</v>
      </c>
      <c r="I162">
        <v>28</v>
      </c>
      <c r="J162" s="2">
        <v>13808</v>
      </c>
      <c r="K162" t="s">
        <v>22</v>
      </c>
      <c r="L162">
        <v>3</v>
      </c>
      <c r="M162">
        <v>4</v>
      </c>
      <c r="N162">
        <v>6</v>
      </c>
      <c r="O162">
        <v>6</v>
      </c>
      <c r="P162">
        <v>20</v>
      </c>
      <c r="Q162" t="s">
        <v>22</v>
      </c>
      <c r="R162" t="str" cm="1">
        <f t="array" ref="R162">_xlfn.IFS(N162&lt;=1,"0-1 yrs",N162&lt;=4,"2-4 yrs",N162&lt;=9,"5-9 yrs",N162&gt;9,"10+ yrs")</f>
        <v>5-9 yrs</v>
      </c>
      <c r="S162" t="str" cm="1">
        <f t="array" ref="S162">_xlfn.IFS(B162&lt;=25,"20-25",B162&lt;=35,"26-35",B162&lt;=45,"36-45",B162&gt;45,"46+")</f>
        <v>36-45</v>
      </c>
      <c r="T162" t="str" cm="1">
        <f t="array" ref="T162">_xlfn.IFS(J162&lt;3500,"&lt;3.5K",J162&lt;5500,"3.5-5.5K",J162&lt;7500,"5.5-7.5K",J162&gt;=7500,"7.5K+")</f>
        <v>7.5K+</v>
      </c>
      <c r="U162">
        <f t="shared" si="2"/>
        <v>0</v>
      </c>
    </row>
    <row r="163" spans="1:21" x14ac:dyDescent="0.25">
      <c r="A163">
        <v>1553</v>
      </c>
      <c r="B163">
        <v>31</v>
      </c>
      <c r="C163" t="s">
        <v>23</v>
      </c>
      <c r="D163" t="s">
        <v>24</v>
      </c>
      <c r="E163" t="s">
        <v>45</v>
      </c>
      <c r="F163" t="s">
        <v>19</v>
      </c>
      <c r="G163" t="s">
        <v>37</v>
      </c>
      <c r="H163" t="s">
        <v>30</v>
      </c>
      <c r="I163">
        <v>21</v>
      </c>
      <c r="J163" s="2">
        <v>9357</v>
      </c>
      <c r="K163" t="s">
        <v>22</v>
      </c>
      <c r="L163">
        <v>3</v>
      </c>
      <c r="M163">
        <v>4</v>
      </c>
      <c r="N163">
        <v>0</v>
      </c>
      <c r="O163">
        <v>0</v>
      </c>
      <c r="P163">
        <v>7</v>
      </c>
      <c r="Q163" t="s">
        <v>22</v>
      </c>
      <c r="R163" t="str" cm="1">
        <f t="array" ref="R163">_xlfn.IFS(N163&lt;=1,"0-1 yrs",N163&lt;=4,"2-4 yrs",N163&lt;=9,"5-9 yrs",N163&gt;9,"10+ yrs")</f>
        <v>0-1 yrs</v>
      </c>
      <c r="S163" t="str" cm="1">
        <f t="array" ref="S163">_xlfn.IFS(B163&lt;=25,"20-25",B163&lt;=35,"26-35",B163&lt;=45,"36-45",B163&gt;45,"46+")</f>
        <v>26-35</v>
      </c>
      <c r="T163" t="str" cm="1">
        <f t="array" ref="T163">_xlfn.IFS(J163&lt;3500,"&lt;3.5K",J163&lt;5500,"3.5-5.5K",J163&lt;7500,"5.5-7.5K",J163&gt;=7500,"7.5K+")</f>
        <v>7.5K+</v>
      </c>
      <c r="U163">
        <f t="shared" si="2"/>
        <v>0</v>
      </c>
    </row>
    <row r="164" spans="1:21" x14ac:dyDescent="0.25">
      <c r="A164">
        <v>1125</v>
      </c>
      <c r="B164">
        <v>52</v>
      </c>
      <c r="C164" t="s">
        <v>23</v>
      </c>
      <c r="D164" t="s">
        <v>17</v>
      </c>
      <c r="E164" t="s">
        <v>35</v>
      </c>
      <c r="F164" t="s">
        <v>38</v>
      </c>
      <c r="G164" t="s">
        <v>20</v>
      </c>
      <c r="H164" t="s">
        <v>21</v>
      </c>
      <c r="I164">
        <v>29</v>
      </c>
      <c r="J164" s="2">
        <v>9795</v>
      </c>
      <c r="K164" t="s">
        <v>22</v>
      </c>
      <c r="L164">
        <v>1</v>
      </c>
      <c r="M164">
        <v>3</v>
      </c>
      <c r="N164">
        <v>18</v>
      </c>
      <c r="O164">
        <v>11</v>
      </c>
      <c r="P164">
        <v>24</v>
      </c>
      <c r="Q164" t="s">
        <v>22</v>
      </c>
      <c r="R164" t="str" cm="1">
        <f t="array" ref="R164">_xlfn.IFS(N164&lt;=1,"0-1 yrs",N164&lt;=4,"2-4 yrs",N164&lt;=9,"5-9 yrs",N164&gt;9,"10+ yrs")</f>
        <v>10+ yrs</v>
      </c>
      <c r="S164" t="str" cm="1">
        <f t="array" ref="S164">_xlfn.IFS(B164&lt;=25,"20-25",B164&lt;=35,"26-35",B164&lt;=45,"36-45",B164&gt;45,"46+")</f>
        <v>46+</v>
      </c>
      <c r="T164" t="str" cm="1">
        <f t="array" ref="T164">_xlfn.IFS(J164&lt;3500,"&lt;3.5K",J164&lt;5500,"3.5-5.5K",J164&lt;7500,"5.5-7.5K",J164&gt;=7500,"7.5K+")</f>
        <v>7.5K+</v>
      </c>
      <c r="U164">
        <f t="shared" si="2"/>
        <v>0</v>
      </c>
    </row>
    <row r="165" spans="1:21" x14ac:dyDescent="0.25">
      <c r="A165">
        <v>1061</v>
      </c>
      <c r="B165">
        <v>22</v>
      </c>
      <c r="C165" t="s">
        <v>16</v>
      </c>
      <c r="D165" t="s">
        <v>24</v>
      </c>
      <c r="E165" t="s">
        <v>45</v>
      </c>
      <c r="F165" t="s">
        <v>68</v>
      </c>
      <c r="G165" t="s">
        <v>20</v>
      </c>
      <c r="H165" t="s">
        <v>34</v>
      </c>
      <c r="I165">
        <v>2</v>
      </c>
      <c r="J165" s="2">
        <v>7041</v>
      </c>
      <c r="K165" t="s">
        <v>22</v>
      </c>
      <c r="L165">
        <v>4</v>
      </c>
      <c r="M165">
        <v>2</v>
      </c>
      <c r="N165">
        <v>0</v>
      </c>
      <c r="O165">
        <v>0</v>
      </c>
      <c r="P165">
        <v>0</v>
      </c>
      <c r="Q165" t="s">
        <v>42</v>
      </c>
      <c r="R165" t="str" cm="1">
        <f t="array" ref="R165">_xlfn.IFS(N165&lt;=1,"0-1 yrs",N165&lt;=4,"2-4 yrs",N165&lt;=9,"5-9 yrs",N165&gt;9,"10+ yrs")</f>
        <v>0-1 yrs</v>
      </c>
      <c r="S165" t="str" cm="1">
        <f t="array" ref="S165">_xlfn.IFS(B165&lt;=25,"20-25",B165&lt;=35,"26-35",B165&lt;=45,"36-45",B165&gt;45,"46+")</f>
        <v>20-25</v>
      </c>
      <c r="T165" t="str" cm="1">
        <f t="array" ref="T165">_xlfn.IFS(J165&lt;3500,"&lt;3.5K",J165&lt;5500,"3.5-5.5K",J165&lt;7500,"5.5-7.5K",J165&gt;=7500,"7.5K+")</f>
        <v>5.5-7.5K</v>
      </c>
      <c r="U165">
        <f t="shared" si="2"/>
        <v>1</v>
      </c>
    </row>
    <row r="166" spans="1:21" x14ac:dyDescent="0.25">
      <c r="A166">
        <v>1841</v>
      </c>
      <c r="B166">
        <v>29</v>
      </c>
      <c r="C166" t="s">
        <v>16</v>
      </c>
      <c r="D166" t="s">
        <v>27</v>
      </c>
      <c r="E166" t="s">
        <v>31</v>
      </c>
      <c r="F166" t="s">
        <v>41</v>
      </c>
      <c r="G166" t="s">
        <v>37</v>
      </c>
      <c r="H166" t="s">
        <v>34</v>
      </c>
      <c r="I166">
        <v>16</v>
      </c>
      <c r="J166" s="2">
        <v>5862</v>
      </c>
      <c r="K166" t="s">
        <v>22</v>
      </c>
      <c r="L166">
        <v>1</v>
      </c>
      <c r="M166">
        <v>3</v>
      </c>
      <c r="N166">
        <v>1</v>
      </c>
      <c r="O166">
        <v>1</v>
      </c>
      <c r="P166">
        <v>2</v>
      </c>
      <c r="Q166" t="s">
        <v>22</v>
      </c>
      <c r="R166" t="str" cm="1">
        <f t="array" ref="R166">_xlfn.IFS(N166&lt;=1,"0-1 yrs",N166&lt;=4,"2-4 yrs",N166&lt;=9,"5-9 yrs",N166&gt;9,"10+ yrs")</f>
        <v>0-1 yrs</v>
      </c>
      <c r="S166" t="str" cm="1">
        <f t="array" ref="S166">_xlfn.IFS(B166&lt;=25,"20-25",B166&lt;=35,"26-35",B166&lt;=45,"36-45",B166&gt;45,"46+")</f>
        <v>26-35</v>
      </c>
      <c r="T166" t="str" cm="1">
        <f t="array" ref="T166">_xlfn.IFS(J166&lt;3500,"&lt;3.5K",J166&lt;5500,"3.5-5.5K",J166&lt;7500,"5.5-7.5K",J166&gt;=7500,"7.5K+")</f>
        <v>5.5-7.5K</v>
      </c>
      <c r="U166">
        <f t="shared" si="2"/>
        <v>0</v>
      </c>
    </row>
    <row r="167" spans="1:21" x14ac:dyDescent="0.25">
      <c r="A167">
        <v>1324</v>
      </c>
      <c r="B167">
        <v>53</v>
      </c>
      <c r="C167" t="s">
        <v>23</v>
      </c>
      <c r="D167" t="s">
        <v>38</v>
      </c>
      <c r="E167" t="s">
        <v>49</v>
      </c>
      <c r="F167" t="s">
        <v>19</v>
      </c>
      <c r="G167" t="s">
        <v>33</v>
      </c>
      <c r="H167" t="s">
        <v>34</v>
      </c>
      <c r="I167">
        <v>14</v>
      </c>
      <c r="J167" s="2">
        <v>11468</v>
      </c>
      <c r="K167" t="s">
        <v>22</v>
      </c>
      <c r="L167">
        <v>1</v>
      </c>
      <c r="M167">
        <v>4</v>
      </c>
      <c r="N167">
        <v>11</v>
      </c>
      <c r="O167">
        <v>7</v>
      </c>
      <c r="P167">
        <v>25</v>
      </c>
      <c r="Q167" t="s">
        <v>22</v>
      </c>
      <c r="R167" t="str" cm="1">
        <f t="array" ref="R167">_xlfn.IFS(N167&lt;=1,"0-1 yrs",N167&lt;=4,"2-4 yrs",N167&lt;=9,"5-9 yrs",N167&gt;9,"10+ yrs")</f>
        <v>10+ yrs</v>
      </c>
      <c r="S167" t="str" cm="1">
        <f t="array" ref="S167">_xlfn.IFS(B167&lt;=25,"20-25",B167&lt;=35,"26-35",B167&lt;=45,"36-45",B167&gt;45,"46+")</f>
        <v>46+</v>
      </c>
      <c r="T167" t="str" cm="1">
        <f t="array" ref="T167">_xlfn.IFS(J167&lt;3500,"&lt;3.5K",J167&lt;5500,"3.5-5.5K",J167&lt;7500,"5.5-7.5K",J167&gt;=7500,"7.5K+")</f>
        <v>7.5K+</v>
      </c>
      <c r="U167">
        <f t="shared" si="2"/>
        <v>0</v>
      </c>
    </row>
    <row r="168" spans="1:21" x14ac:dyDescent="0.25">
      <c r="A168">
        <v>1517</v>
      </c>
      <c r="B168">
        <v>46</v>
      </c>
      <c r="C168" t="s">
        <v>16</v>
      </c>
      <c r="D168" t="s">
        <v>17</v>
      </c>
      <c r="E168" t="s">
        <v>18</v>
      </c>
      <c r="F168" t="s">
        <v>41</v>
      </c>
      <c r="G168" t="s">
        <v>37</v>
      </c>
      <c r="H168" t="s">
        <v>30</v>
      </c>
      <c r="I168">
        <v>14</v>
      </c>
      <c r="J168" s="2">
        <v>13349</v>
      </c>
      <c r="K168" t="s">
        <v>22</v>
      </c>
      <c r="L168">
        <v>2</v>
      </c>
      <c r="M168">
        <v>2</v>
      </c>
      <c r="N168">
        <v>4</v>
      </c>
      <c r="O168">
        <v>4</v>
      </c>
      <c r="P168">
        <v>17</v>
      </c>
      <c r="Q168" t="s">
        <v>22</v>
      </c>
      <c r="R168" t="str" cm="1">
        <f t="array" ref="R168">_xlfn.IFS(N168&lt;=1,"0-1 yrs",N168&lt;=4,"2-4 yrs",N168&lt;=9,"5-9 yrs",N168&gt;9,"10+ yrs")</f>
        <v>2-4 yrs</v>
      </c>
      <c r="S168" t="str" cm="1">
        <f t="array" ref="S168">_xlfn.IFS(B168&lt;=25,"20-25",B168&lt;=35,"26-35",B168&lt;=45,"36-45",B168&gt;45,"46+")</f>
        <v>46+</v>
      </c>
      <c r="T168" t="str" cm="1">
        <f t="array" ref="T168">_xlfn.IFS(J168&lt;3500,"&lt;3.5K",J168&lt;5500,"3.5-5.5K",J168&lt;7500,"5.5-7.5K",J168&gt;=7500,"7.5K+")</f>
        <v>7.5K+</v>
      </c>
      <c r="U168">
        <f t="shared" si="2"/>
        <v>0</v>
      </c>
    </row>
    <row r="169" spans="1:21" x14ac:dyDescent="0.25">
      <c r="A169">
        <v>1406</v>
      </c>
      <c r="B169">
        <v>27</v>
      </c>
      <c r="C169" t="s">
        <v>16</v>
      </c>
      <c r="D169" t="s">
        <v>27</v>
      </c>
      <c r="E169" t="s">
        <v>43</v>
      </c>
      <c r="F169" t="s">
        <v>19</v>
      </c>
      <c r="G169" t="s">
        <v>20</v>
      </c>
      <c r="H169" t="s">
        <v>34</v>
      </c>
      <c r="I169">
        <v>22</v>
      </c>
      <c r="J169" s="2">
        <v>5271</v>
      </c>
      <c r="K169" t="s">
        <v>22</v>
      </c>
      <c r="L169">
        <v>3</v>
      </c>
      <c r="M169">
        <v>4</v>
      </c>
      <c r="N169">
        <v>1</v>
      </c>
      <c r="O169">
        <v>0</v>
      </c>
      <c r="P169">
        <v>1</v>
      </c>
      <c r="Q169" t="s">
        <v>22</v>
      </c>
      <c r="R169" t="str" cm="1">
        <f t="array" ref="R169">_xlfn.IFS(N169&lt;=1,"0-1 yrs",N169&lt;=4,"2-4 yrs",N169&lt;=9,"5-9 yrs",N169&gt;9,"10+ yrs")</f>
        <v>0-1 yrs</v>
      </c>
      <c r="S169" t="str" cm="1">
        <f t="array" ref="S169">_xlfn.IFS(B169&lt;=25,"20-25",B169&lt;=35,"26-35",B169&lt;=45,"36-45",B169&gt;45,"46+")</f>
        <v>26-35</v>
      </c>
      <c r="T169" t="str" cm="1">
        <f t="array" ref="T169">_xlfn.IFS(J169&lt;3500,"&lt;3.5K",J169&lt;5500,"3.5-5.5K",J169&lt;7500,"5.5-7.5K",J169&gt;=7500,"7.5K+")</f>
        <v>3.5-5.5K</v>
      </c>
      <c r="U169">
        <f t="shared" si="2"/>
        <v>0</v>
      </c>
    </row>
    <row r="170" spans="1:21" x14ac:dyDescent="0.25">
      <c r="A170">
        <v>1008</v>
      </c>
      <c r="B170">
        <v>47</v>
      </c>
      <c r="C170" t="s">
        <v>16</v>
      </c>
      <c r="D170" t="s">
        <v>17</v>
      </c>
      <c r="E170" t="s">
        <v>40</v>
      </c>
      <c r="F170" t="s">
        <v>26</v>
      </c>
      <c r="G170" t="s">
        <v>37</v>
      </c>
      <c r="H170" t="s">
        <v>21</v>
      </c>
      <c r="I170">
        <v>18</v>
      </c>
      <c r="J170" s="2">
        <v>7654</v>
      </c>
      <c r="K170" t="s">
        <v>22</v>
      </c>
      <c r="L170">
        <v>1</v>
      </c>
      <c r="M170">
        <v>1</v>
      </c>
      <c r="N170">
        <v>14</v>
      </c>
      <c r="O170">
        <v>8</v>
      </c>
      <c r="P170">
        <v>18</v>
      </c>
      <c r="Q170" t="s">
        <v>22</v>
      </c>
      <c r="R170" t="str" cm="1">
        <f t="array" ref="R170">_xlfn.IFS(N170&lt;=1,"0-1 yrs",N170&lt;=4,"2-4 yrs",N170&lt;=9,"5-9 yrs",N170&gt;9,"10+ yrs")</f>
        <v>10+ yrs</v>
      </c>
      <c r="S170" t="str" cm="1">
        <f t="array" ref="S170">_xlfn.IFS(B170&lt;=25,"20-25",B170&lt;=35,"26-35",B170&lt;=45,"36-45",B170&gt;45,"46+")</f>
        <v>46+</v>
      </c>
      <c r="T170" t="str" cm="1">
        <f t="array" ref="T170">_xlfn.IFS(J170&lt;3500,"&lt;3.5K",J170&lt;5500,"3.5-5.5K",J170&lt;7500,"5.5-7.5K",J170&gt;=7500,"7.5K+")</f>
        <v>7.5K+</v>
      </c>
      <c r="U170">
        <f t="shared" si="2"/>
        <v>0</v>
      </c>
    </row>
    <row r="171" spans="1:21" x14ac:dyDescent="0.25">
      <c r="A171">
        <v>1122</v>
      </c>
      <c r="B171">
        <v>45</v>
      </c>
      <c r="C171" t="s">
        <v>16</v>
      </c>
      <c r="D171" t="s">
        <v>17</v>
      </c>
      <c r="E171" t="s">
        <v>18</v>
      </c>
      <c r="F171" t="s">
        <v>68</v>
      </c>
      <c r="G171" t="s">
        <v>37</v>
      </c>
      <c r="H171" t="s">
        <v>21</v>
      </c>
      <c r="I171">
        <v>11</v>
      </c>
      <c r="J171" s="2">
        <v>12820</v>
      </c>
      <c r="K171" t="s">
        <v>22</v>
      </c>
      <c r="L171">
        <v>4</v>
      </c>
      <c r="M171">
        <v>4</v>
      </c>
      <c r="N171">
        <v>1</v>
      </c>
      <c r="O171">
        <v>0</v>
      </c>
      <c r="P171">
        <v>20</v>
      </c>
      <c r="Q171" t="s">
        <v>22</v>
      </c>
      <c r="R171" t="str" cm="1">
        <f t="array" ref="R171">_xlfn.IFS(N171&lt;=1,"0-1 yrs",N171&lt;=4,"2-4 yrs",N171&lt;=9,"5-9 yrs",N171&gt;9,"10+ yrs")</f>
        <v>0-1 yrs</v>
      </c>
      <c r="S171" t="str" cm="1">
        <f t="array" ref="S171">_xlfn.IFS(B171&lt;=25,"20-25",B171&lt;=35,"26-35",B171&lt;=45,"36-45",B171&gt;45,"46+")</f>
        <v>36-45</v>
      </c>
      <c r="T171" t="str" cm="1">
        <f t="array" ref="T171">_xlfn.IFS(J171&lt;3500,"&lt;3.5K",J171&lt;5500,"3.5-5.5K",J171&lt;7500,"5.5-7.5K",J171&gt;=7500,"7.5K+")</f>
        <v>7.5K+</v>
      </c>
      <c r="U171">
        <f t="shared" si="2"/>
        <v>0</v>
      </c>
    </row>
    <row r="172" spans="1:21" x14ac:dyDescent="0.25">
      <c r="A172">
        <v>1107</v>
      </c>
      <c r="B172">
        <v>22</v>
      </c>
      <c r="C172" t="s">
        <v>16</v>
      </c>
      <c r="D172" t="s">
        <v>17</v>
      </c>
      <c r="E172" t="s">
        <v>35</v>
      </c>
      <c r="F172" t="s">
        <v>38</v>
      </c>
      <c r="G172" t="s">
        <v>37</v>
      </c>
      <c r="H172" t="s">
        <v>34</v>
      </c>
      <c r="I172">
        <v>12</v>
      </c>
      <c r="J172" s="2">
        <v>2231</v>
      </c>
      <c r="K172" t="s">
        <v>22</v>
      </c>
      <c r="L172">
        <v>1</v>
      </c>
      <c r="M172">
        <v>3</v>
      </c>
      <c r="N172">
        <v>0</v>
      </c>
      <c r="O172">
        <v>0</v>
      </c>
      <c r="P172">
        <v>0</v>
      </c>
      <c r="Q172" t="s">
        <v>42</v>
      </c>
      <c r="R172" t="str" cm="1">
        <f t="array" ref="R172">_xlfn.IFS(N172&lt;=1,"0-1 yrs",N172&lt;=4,"2-4 yrs",N172&lt;=9,"5-9 yrs",N172&gt;9,"10+ yrs")</f>
        <v>0-1 yrs</v>
      </c>
      <c r="S172" t="str" cm="1">
        <f t="array" ref="S172">_xlfn.IFS(B172&lt;=25,"20-25",B172&lt;=35,"26-35",B172&lt;=45,"36-45",B172&gt;45,"46+")</f>
        <v>20-25</v>
      </c>
      <c r="T172" t="str" cm="1">
        <f t="array" ref="T172">_xlfn.IFS(J172&lt;3500,"&lt;3.5K",J172&lt;5500,"3.5-5.5K",J172&lt;7500,"5.5-7.5K",J172&gt;=7500,"7.5K+")</f>
        <v>&lt;3.5K</v>
      </c>
      <c r="U172">
        <f t="shared" si="2"/>
        <v>1</v>
      </c>
    </row>
    <row r="173" spans="1:21" x14ac:dyDescent="0.25">
      <c r="A173">
        <v>1475</v>
      </c>
      <c r="B173">
        <v>47</v>
      </c>
      <c r="C173" t="s">
        <v>23</v>
      </c>
      <c r="D173" t="s">
        <v>24</v>
      </c>
      <c r="E173" t="s">
        <v>45</v>
      </c>
      <c r="F173" t="s">
        <v>32</v>
      </c>
      <c r="G173" t="s">
        <v>37</v>
      </c>
      <c r="H173" t="s">
        <v>34</v>
      </c>
      <c r="I173">
        <v>9</v>
      </c>
      <c r="J173" s="2">
        <v>9253</v>
      </c>
      <c r="K173" t="s">
        <v>22</v>
      </c>
      <c r="L173">
        <v>1</v>
      </c>
      <c r="M173">
        <v>3</v>
      </c>
      <c r="N173">
        <v>5</v>
      </c>
      <c r="O173">
        <v>2</v>
      </c>
      <c r="P173">
        <v>22</v>
      </c>
      <c r="Q173" t="s">
        <v>22</v>
      </c>
      <c r="R173" t="str" cm="1">
        <f t="array" ref="R173">_xlfn.IFS(N173&lt;=1,"0-1 yrs",N173&lt;=4,"2-4 yrs",N173&lt;=9,"5-9 yrs",N173&gt;9,"10+ yrs")</f>
        <v>5-9 yrs</v>
      </c>
      <c r="S173" t="str" cm="1">
        <f t="array" ref="S173">_xlfn.IFS(B173&lt;=25,"20-25",B173&lt;=35,"26-35",B173&lt;=45,"36-45",B173&gt;45,"46+")</f>
        <v>46+</v>
      </c>
      <c r="T173" t="str" cm="1">
        <f t="array" ref="T173">_xlfn.IFS(J173&lt;3500,"&lt;3.5K",J173&lt;5500,"3.5-5.5K",J173&lt;7500,"5.5-7.5K",J173&gt;=7500,"7.5K+")</f>
        <v>7.5K+</v>
      </c>
      <c r="U173">
        <f t="shared" si="2"/>
        <v>0</v>
      </c>
    </row>
    <row r="174" spans="1:21" x14ac:dyDescent="0.25">
      <c r="A174">
        <v>1878</v>
      </c>
      <c r="B174">
        <v>33</v>
      </c>
      <c r="C174" t="s">
        <v>23</v>
      </c>
      <c r="D174" t="s">
        <v>24</v>
      </c>
      <c r="E174" t="s">
        <v>52</v>
      </c>
      <c r="F174" t="s">
        <v>38</v>
      </c>
      <c r="G174" t="s">
        <v>37</v>
      </c>
      <c r="H174" t="s">
        <v>21</v>
      </c>
      <c r="I174">
        <v>4</v>
      </c>
      <c r="J174" s="2">
        <v>5366</v>
      </c>
      <c r="K174" t="s">
        <v>22</v>
      </c>
      <c r="L174">
        <v>1</v>
      </c>
      <c r="M174">
        <v>2</v>
      </c>
      <c r="N174">
        <v>1</v>
      </c>
      <c r="O174">
        <v>0</v>
      </c>
      <c r="P174">
        <v>9</v>
      </c>
      <c r="Q174" t="s">
        <v>22</v>
      </c>
      <c r="R174" t="str" cm="1">
        <f t="array" ref="R174">_xlfn.IFS(N174&lt;=1,"0-1 yrs",N174&lt;=4,"2-4 yrs",N174&lt;=9,"5-9 yrs",N174&gt;9,"10+ yrs")</f>
        <v>0-1 yrs</v>
      </c>
      <c r="S174" t="str" cm="1">
        <f t="array" ref="S174">_xlfn.IFS(B174&lt;=25,"20-25",B174&lt;=35,"26-35",B174&lt;=45,"36-45",B174&gt;45,"46+")</f>
        <v>26-35</v>
      </c>
      <c r="T174" t="str" cm="1">
        <f t="array" ref="T174">_xlfn.IFS(J174&lt;3500,"&lt;3.5K",J174&lt;5500,"3.5-5.5K",J174&lt;7500,"5.5-7.5K",J174&gt;=7500,"7.5K+")</f>
        <v>3.5-5.5K</v>
      </c>
      <c r="U174">
        <f t="shared" si="2"/>
        <v>0</v>
      </c>
    </row>
    <row r="175" spans="1:21" x14ac:dyDescent="0.25">
      <c r="A175">
        <v>1575</v>
      </c>
      <c r="B175">
        <v>48</v>
      </c>
      <c r="C175" t="s">
        <v>16</v>
      </c>
      <c r="D175" t="s">
        <v>17</v>
      </c>
      <c r="E175" t="s">
        <v>40</v>
      </c>
      <c r="F175" t="s">
        <v>19</v>
      </c>
      <c r="G175" t="s">
        <v>37</v>
      </c>
      <c r="H175" t="s">
        <v>21</v>
      </c>
      <c r="I175">
        <v>2</v>
      </c>
      <c r="J175" s="2">
        <v>10792</v>
      </c>
      <c r="K175" t="s">
        <v>22</v>
      </c>
      <c r="L175">
        <v>4</v>
      </c>
      <c r="M175">
        <v>4</v>
      </c>
      <c r="N175">
        <v>25</v>
      </c>
      <c r="O175">
        <v>7</v>
      </c>
      <c r="P175">
        <v>28</v>
      </c>
      <c r="Q175" t="s">
        <v>22</v>
      </c>
      <c r="R175" t="str" cm="1">
        <f t="array" ref="R175">_xlfn.IFS(N175&lt;=1,"0-1 yrs",N175&lt;=4,"2-4 yrs",N175&lt;=9,"5-9 yrs",N175&gt;9,"10+ yrs")</f>
        <v>10+ yrs</v>
      </c>
      <c r="S175" t="str" cm="1">
        <f t="array" ref="S175">_xlfn.IFS(B175&lt;=25,"20-25",B175&lt;=35,"26-35",B175&lt;=45,"36-45",B175&gt;45,"46+")</f>
        <v>46+</v>
      </c>
      <c r="T175" t="str" cm="1">
        <f t="array" ref="T175">_xlfn.IFS(J175&lt;3500,"&lt;3.5K",J175&lt;5500,"3.5-5.5K",J175&lt;7500,"5.5-7.5K",J175&gt;=7500,"7.5K+")</f>
        <v>7.5K+</v>
      </c>
      <c r="U175">
        <f t="shared" si="2"/>
        <v>0</v>
      </c>
    </row>
    <row r="176" spans="1:21" x14ac:dyDescent="0.25">
      <c r="A176">
        <v>1216</v>
      </c>
      <c r="B176">
        <v>21</v>
      </c>
      <c r="C176" t="s">
        <v>16</v>
      </c>
      <c r="D176" t="s">
        <v>24</v>
      </c>
      <c r="E176" t="s">
        <v>52</v>
      </c>
      <c r="F176" t="s">
        <v>32</v>
      </c>
      <c r="G176" t="s">
        <v>33</v>
      </c>
      <c r="H176" t="s">
        <v>34</v>
      </c>
      <c r="I176">
        <v>25</v>
      </c>
      <c r="J176" s="2">
        <v>6493</v>
      </c>
      <c r="K176" t="s">
        <v>22</v>
      </c>
      <c r="L176">
        <v>1</v>
      </c>
      <c r="M176">
        <v>4</v>
      </c>
      <c r="N176">
        <v>0</v>
      </c>
      <c r="O176">
        <v>0</v>
      </c>
      <c r="P176">
        <v>0</v>
      </c>
      <c r="Q176" t="s">
        <v>22</v>
      </c>
      <c r="R176" t="str" cm="1">
        <f t="array" ref="R176">_xlfn.IFS(N176&lt;=1,"0-1 yrs",N176&lt;=4,"2-4 yrs",N176&lt;=9,"5-9 yrs",N176&gt;9,"10+ yrs")</f>
        <v>0-1 yrs</v>
      </c>
      <c r="S176" t="str" cm="1">
        <f t="array" ref="S176">_xlfn.IFS(B176&lt;=25,"20-25",B176&lt;=35,"26-35",B176&lt;=45,"36-45",B176&gt;45,"46+")</f>
        <v>20-25</v>
      </c>
      <c r="T176" t="str" cm="1">
        <f t="array" ref="T176">_xlfn.IFS(J176&lt;3500,"&lt;3.5K",J176&lt;5500,"3.5-5.5K",J176&lt;7500,"5.5-7.5K",J176&gt;=7500,"7.5K+")</f>
        <v>5.5-7.5K</v>
      </c>
      <c r="U176">
        <f t="shared" si="2"/>
        <v>0</v>
      </c>
    </row>
    <row r="177" spans="1:21" x14ac:dyDescent="0.25">
      <c r="A177">
        <v>1015</v>
      </c>
      <c r="B177">
        <v>23</v>
      </c>
      <c r="C177" t="s">
        <v>23</v>
      </c>
      <c r="D177" t="s">
        <v>27</v>
      </c>
      <c r="E177" t="s">
        <v>31</v>
      </c>
      <c r="F177" t="s">
        <v>32</v>
      </c>
      <c r="G177" t="s">
        <v>20</v>
      </c>
      <c r="H177" t="s">
        <v>21</v>
      </c>
      <c r="I177">
        <v>15</v>
      </c>
      <c r="J177" s="2">
        <v>6832</v>
      </c>
      <c r="K177" t="s">
        <v>42</v>
      </c>
      <c r="L177">
        <v>2</v>
      </c>
      <c r="M177">
        <v>2</v>
      </c>
      <c r="N177">
        <v>0</v>
      </c>
      <c r="O177">
        <v>0</v>
      </c>
      <c r="P177">
        <v>0</v>
      </c>
      <c r="Q177" t="s">
        <v>42</v>
      </c>
      <c r="R177" t="str" cm="1">
        <f t="array" ref="R177">_xlfn.IFS(N177&lt;=1,"0-1 yrs",N177&lt;=4,"2-4 yrs",N177&lt;=9,"5-9 yrs",N177&gt;9,"10+ yrs")</f>
        <v>0-1 yrs</v>
      </c>
      <c r="S177" t="str" cm="1">
        <f t="array" ref="S177">_xlfn.IFS(B177&lt;=25,"20-25",B177&lt;=35,"26-35",B177&lt;=45,"36-45",B177&gt;45,"46+")</f>
        <v>20-25</v>
      </c>
      <c r="T177" t="str" cm="1">
        <f t="array" ref="T177">_xlfn.IFS(J177&lt;3500,"&lt;3.5K",J177&lt;5500,"3.5-5.5K",J177&lt;7500,"5.5-7.5K",J177&gt;=7500,"7.5K+")</f>
        <v>5.5-7.5K</v>
      </c>
      <c r="U177">
        <f t="shared" si="2"/>
        <v>1</v>
      </c>
    </row>
    <row r="178" spans="1:21" x14ac:dyDescent="0.25">
      <c r="A178">
        <v>1081</v>
      </c>
      <c r="B178">
        <v>46</v>
      </c>
      <c r="C178" t="s">
        <v>23</v>
      </c>
      <c r="D178" t="s">
        <v>24</v>
      </c>
      <c r="E178" t="s">
        <v>52</v>
      </c>
      <c r="F178" t="s">
        <v>32</v>
      </c>
      <c r="G178" t="s">
        <v>37</v>
      </c>
      <c r="H178" t="s">
        <v>21</v>
      </c>
      <c r="I178">
        <v>9</v>
      </c>
      <c r="J178" s="2">
        <v>10324</v>
      </c>
      <c r="K178" t="s">
        <v>22</v>
      </c>
      <c r="L178">
        <v>3</v>
      </c>
      <c r="M178">
        <v>4</v>
      </c>
      <c r="N178">
        <v>13</v>
      </c>
      <c r="O178">
        <v>11</v>
      </c>
      <c r="P178">
        <v>19</v>
      </c>
      <c r="Q178" t="s">
        <v>22</v>
      </c>
      <c r="R178" t="str" cm="1">
        <f t="array" ref="R178">_xlfn.IFS(N178&lt;=1,"0-1 yrs",N178&lt;=4,"2-4 yrs",N178&lt;=9,"5-9 yrs",N178&gt;9,"10+ yrs")</f>
        <v>10+ yrs</v>
      </c>
      <c r="S178" t="str" cm="1">
        <f t="array" ref="S178">_xlfn.IFS(B178&lt;=25,"20-25",B178&lt;=35,"26-35",B178&lt;=45,"36-45",B178&gt;45,"46+")</f>
        <v>46+</v>
      </c>
      <c r="T178" t="str" cm="1">
        <f t="array" ref="T178">_xlfn.IFS(J178&lt;3500,"&lt;3.5K",J178&lt;5500,"3.5-5.5K",J178&lt;7500,"5.5-7.5K",J178&gt;=7500,"7.5K+")</f>
        <v>7.5K+</v>
      </c>
      <c r="U178">
        <f t="shared" si="2"/>
        <v>0</v>
      </c>
    </row>
    <row r="179" spans="1:21" x14ac:dyDescent="0.25">
      <c r="A179">
        <v>1017</v>
      </c>
      <c r="B179">
        <v>44</v>
      </c>
      <c r="C179" t="s">
        <v>16</v>
      </c>
      <c r="D179" t="s">
        <v>17</v>
      </c>
      <c r="E179" t="s">
        <v>40</v>
      </c>
      <c r="F179" t="s">
        <v>29</v>
      </c>
      <c r="G179" t="s">
        <v>37</v>
      </c>
      <c r="H179" t="s">
        <v>30</v>
      </c>
      <c r="I179">
        <v>7</v>
      </c>
      <c r="J179" s="2">
        <v>11060</v>
      </c>
      <c r="K179" t="s">
        <v>42</v>
      </c>
      <c r="L179">
        <v>4</v>
      </c>
      <c r="M179">
        <v>2</v>
      </c>
      <c r="N179">
        <v>14</v>
      </c>
      <c r="O179">
        <v>4</v>
      </c>
      <c r="P179">
        <v>19</v>
      </c>
      <c r="Q179" t="s">
        <v>22</v>
      </c>
      <c r="R179" t="str" cm="1">
        <f t="array" ref="R179">_xlfn.IFS(N179&lt;=1,"0-1 yrs",N179&lt;=4,"2-4 yrs",N179&lt;=9,"5-9 yrs",N179&gt;9,"10+ yrs")</f>
        <v>10+ yrs</v>
      </c>
      <c r="S179" t="str" cm="1">
        <f t="array" ref="S179">_xlfn.IFS(B179&lt;=25,"20-25",B179&lt;=35,"26-35",B179&lt;=45,"36-45",B179&gt;45,"46+")</f>
        <v>36-45</v>
      </c>
      <c r="T179" t="str" cm="1">
        <f t="array" ref="T179">_xlfn.IFS(J179&lt;3500,"&lt;3.5K",J179&lt;5500,"3.5-5.5K",J179&lt;7500,"5.5-7.5K",J179&gt;=7500,"7.5K+")</f>
        <v>7.5K+</v>
      </c>
      <c r="U179">
        <f t="shared" si="2"/>
        <v>0</v>
      </c>
    </row>
    <row r="180" spans="1:21" x14ac:dyDescent="0.25">
      <c r="A180">
        <v>1293</v>
      </c>
      <c r="B180">
        <v>53</v>
      </c>
      <c r="C180" t="s">
        <v>16</v>
      </c>
      <c r="D180" t="s">
        <v>47</v>
      </c>
      <c r="E180" t="s">
        <v>48</v>
      </c>
      <c r="F180" t="s">
        <v>38</v>
      </c>
      <c r="G180" t="s">
        <v>20</v>
      </c>
      <c r="H180" t="s">
        <v>34</v>
      </c>
      <c r="I180">
        <v>8</v>
      </c>
      <c r="J180" s="2">
        <v>11119</v>
      </c>
      <c r="K180" t="s">
        <v>22</v>
      </c>
      <c r="L180">
        <v>1</v>
      </c>
      <c r="M180">
        <v>2</v>
      </c>
      <c r="N180">
        <v>11</v>
      </c>
      <c r="O180">
        <v>7</v>
      </c>
      <c r="P180">
        <v>21</v>
      </c>
      <c r="Q180" t="s">
        <v>42</v>
      </c>
      <c r="R180" t="str" cm="1">
        <f t="array" ref="R180">_xlfn.IFS(N180&lt;=1,"0-1 yrs",N180&lt;=4,"2-4 yrs",N180&lt;=9,"5-9 yrs",N180&gt;9,"10+ yrs")</f>
        <v>10+ yrs</v>
      </c>
      <c r="S180" t="str" cm="1">
        <f t="array" ref="S180">_xlfn.IFS(B180&lt;=25,"20-25",B180&lt;=35,"26-35",B180&lt;=45,"36-45",B180&gt;45,"46+")</f>
        <v>46+</v>
      </c>
      <c r="T180" t="str" cm="1">
        <f t="array" ref="T180">_xlfn.IFS(J180&lt;3500,"&lt;3.5K",J180&lt;5500,"3.5-5.5K",J180&lt;7500,"5.5-7.5K",J180&gt;=7500,"7.5K+")</f>
        <v>7.5K+</v>
      </c>
      <c r="U180">
        <f t="shared" si="2"/>
        <v>1</v>
      </c>
    </row>
    <row r="181" spans="1:21" x14ac:dyDescent="0.25">
      <c r="A181">
        <v>1723</v>
      </c>
      <c r="B181">
        <v>57</v>
      </c>
      <c r="C181" t="s">
        <v>23</v>
      </c>
      <c r="D181" t="s">
        <v>38</v>
      </c>
      <c r="E181" t="s">
        <v>49</v>
      </c>
      <c r="F181" t="s">
        <v>26</v>
      </c>
      <c r="G181" t="s">
        <v>33</v>
      </c>
      <c r="H181" t="s">
        <v>34</v>
      </c>
      <c r="I181">
        <v>17</v>
      </c>
      <c r="J181" s="2">
        <v>14977</v>
      </c>
      <c r="K181" t="s">
        <v>22</v>
      </c>
      <c r="L181">
        <v>1</v>
      </c>
      <c r="M181">
        <v>3</v>
      </c>
      <c r="N181">
        <v>15</v>
      </c>
      <c r="O181">
        <v>3</v>
      </c>
      <c r="P181">
        <v>37</v>
      </c>
      <c r="Q181" t="s">
        <v>22</v>
      </c>
      <c r="R181" t="str" cm="1">
        <f t="array" ref="R181">_xlfn.IFS(N181&lt;=1,"0-1 yrs",N181&lt;=4,"2-4 yrs",N181&lt;=9,"5-9 yrs",N181&gt;9,"10+ yrs")</f>
        <v>10+ yrs</v>
      </c>
      <c r="S181" t="str" cm="1">
        <f t="array" ref="S181">_xlfn.IFS(B181&lt;=25,"20-25",B181&lt;=35,"26-35",B181&lt;=45,"36-45",B181&gt;45,"46+")</f>
        <v>46+</v>
      </c>
      <c r="T181" t="str" cm="1">
        <f t="array" ref="T181">_xlfn.IFS(J181&lt;3500,"&lt;3.5K",J181&lt;5500,"3.5-5.5K",J181&lt;7500,"5.5-7.5K",J181&gt;=7500,"7.5K+")</f>
        <v>7.5K+</v>
      </c>
      <c r="U181">
        <f t="shared" si="2"/>
        <v>0</v>
      </c>
    </row>
    <row r="182" spans="1:21" x14ac:dyDescent="0.25">
      <c r="A182">
        <v>1160</v>
      </c>
      <c r="B182">
        <v>53</v>
      </c>
      <c r="C182" t="s">
        <v>23</v>
      </c>
      <c r="D182" t="s">
        <v>17</v>
      </c>
      <c r="E182" t="s">
        <v>18</v>
      </c>
      <c r="F182" t="s">
        <v>32</v>
      </c>
      <c r="G182" t="s">
        <v>20</v>
      </c>
      <c r="H182" t="s">
        <v>30</v>
      </c>
      <c r="I182">
        <v>8</v>
      </c>
      <c r="J182" s="2">
        <v>15049</v>
      </c>
      <c r="K182" t="s">
        <v>22</v>
      </c>
      <c r="L182">
        <v>3</v>
      </c>
      <c r="M182">
        <v>4</v>
      </c>
      <c r="N182">
        <v>25</v>
      </c>
      <c r="O182">
        <v>12</v>
      </c>
      <c r="P182">
        <v>28</v>
      </c>
      <c r="Q182" t="s">
        <v>22</v>
      </c>
      <c r="R182" t="str" cm="1">
        <f t="array" ref="R182">_xlfn.IFS(N182&lt;=1,"0-1 yrs",N182&lt;=4,"2-4 yrs",N182&lt;=9,"5-9 yrs",N182&gt;9,"10+ yrs")</f>
        <v>10+ yrs</v>
      </c>
      <c r="S182" t="str" cm="1">
        <f t="array" ref="S182">_xlfn.IFS(B182&lt;=25,"20-25",B182&lt;=35,"26-35",B182&lt;=45,"36-45",B182&gt;45,"46+")</f>
        <v>46+</v>
      </c>
      <c r="T182" t="str" cm="1">
        <f t="array" ref="T182">_xlfn.IFS(J182&lt;3500,"&lt;3.5K",J182&lt;5500,"3.5-5.5K",J182&lt;7500,"5.5-7.5K",J182&gt;=7500,"7.5K+")</f>
        <v>7.5K+</v>
      </c>
      <c r="U182">
        <f t="shared" si="2"/>
        <v>0</v>
      </c>
    </row>
    <row r="183" spans="1:21" x14ac:dyDescent="0.25">
      <c r="A183">
        <v>1042</v>
      </c>
      <c r="B183">
        <v>39</v>
      </c>
      <c r="C183" t="s">
        <v>16</v>
      </c>
      <c r="D183" t="s">
        <v>17</v>
      </c>
      <c r="E183" t="s">
        <v>18</v>
      </c>
      <c r="F183" t="s">
        <v>26</v>
      </c>
      <c r="G183" t="s">
        <v>20</v>
      </c>
      <c r="H183" t="s">
        <v>21</v>
      </c>
      <c r="I183">
        <v>21</v>
      </c>
      <c r="J183" s="2">
        <v>10407</v>
      </c>
      <c r="K183" t="s">
        <v>42</v>
      </c>
      <c r="L183">
        <v>4</v>
      </c>
      <c r="M183">
        <v>3</v>
      </c>
      <c r="N183">
        <v>3</v>
      </c>
      <c r="O183">
        <v>0</v>
      </c>
      <c r="P183">
        <v>18</v>
      </c>
      <c r="Q183" t="s">
        <v>22</v>
      </c>
      <c r="R183" t="str" cm="1">
        <f t="array" ref="R183">_xlfn.IFS(N183&lt;=1,"0-1 yrs",N183&lt;=4,"2-4 yrs",N183&lt;=9,"5-9 yrs",N183&gt;9,"10+ yrs")</f>
        <v>2-4 yrs</v>
      </c>
      <c r="S183" t="str" cm="1">
        <f t="array" ref="S183">_xlfn.IFS(B183&lt;=25,"20-25",B183&lt;=35,"26-35",B183&lt;=45,"36-45",B183&gt;45,"46+")</f>
        <v>36-45</v>
      </c>
      <c r="T183" t="str" cm="1">
        <f t="array" ref="T183">_xlfn.IFS(J183&lt;3500,"&lt;3.5K",J183&lt;5500,"3.5-5.5K",J183&lt;7500,"5.5-7.5K",J183&gt;=7500,"7.5K+")</f>
        <v>7.5K+</v>
      </c>
      <c r="U183">
        <f t="shared" si="2"/>
        <v>0</v>
      </c>
    </row>
    <row r="184" spans="1:21" x14ac:dyDescent="0.25">
      <c r="A184">
        <v>1907</v>
      </c>
      <c r="B184">
        <v>30</v>
      </c>
      <c r="C184" t="s">
        <v>16</v>
      </c>
      <c r="D184" t="s">
        <v>47</v>
      </c>
      <c r="E184" t="s">
        <v>48</v>
      </c>
      <c r="F184" t="s">
        <v>36</v>
      </c>
      <c r="G184" t="s">
        <v>37</v>
      </c>
      <c r="H184" t="s">
        <v>30</v>
      </c>
      <c r="I184">
        <v>3</v>
      </c>
      <c r="J184" s="2">
        <v>7230</v>
      </c>
      <c r="K184" t="s">
        <v>22</v>
      </c>
      <c r="L184">
        <v>2</v>
      </c>
      <c r="M184">
        <v>4</v>
      </c>
      <c r="N184">
        <v>4</v>
      </c>
      <c r="O184">
        <v>2</v>
      </c>
      <c r="P184">
        <v>4</v>
      </c>
      <c r="Q184" t="s">
        <v>22</v>
      </c>
      <c r="R184" t="str" cm="1">
        <f t="array" ref="R184">_xlfn.IFS(N184&lt;=1,"0-1 yrs",N184&lt;=4,"2-4 yrs",N184&lt;=9,"5-9 yrs",N184&gt;9,"10+ yrs")</f>
        <v>2-4 yrs</v>
      </c>
      <c r="S184" t="str" cm="1">
        <f t="array" ref="S184">_xlfn.IFS(B184&lt;=25,"20-25",B184&lt;=35,"26-35",B184&lt;=45,"36-45",B184&gt;45,"46+")</f>
        <v>26-35</v>
      </c>
      <c r="T184" t="str" cm="1">
        <f t="array" ref="T184">_xlfn.IFS(J184&lt;3500,"&lt;3.5K",J184&lt;5500,"3.5-5.5K",J184&lt;7500,"5.5-7.5K",J184&gt;=7500,"7.5K+")</f>
        <v>5.5-7.5K</v>
      </c>
      <c r="U184">
        <f t="shared" si="2"/>
        <v>0</v>
      </c>
    </row>
    <row r="185" spans="1:21" x14ac:dyDescent="0.25">
      <c r="A185">
        <v>1338</v>
      </c>
      <c r="B185">
        <v>53</v>
      </c>
      <c r="C185" t="s">
        <v>23</v>
      </c>
      <c r="D185" t="s">
        <v>24</v>
      </c>
      <c r="E185" t="s">
        <v>46</v>
      </c>
      <c r="F185" t="s">
        <v>38</v>
      </c>
      <c r="G185" t="s">
        <v>20</v>
      </c>
      <c r="H185" t="s">
        <v>30</v>
      </c>
      <c r="I185">
        <v>4</v>
      </c>
      <c r="J185" s="2">
        <v>10287</v>
      </c>
      <c r="K185" t="s">
        <v>22</v>
      </c>
      <c r="L185">
        <v>2</v>
      </c>
      <c r="M185">
        <v>1</v>
      </c>
      <c r="N185">
        <v>4</v>
      </c>
      <c r="O185">
        <v>1</v>
      </c>
      <c r="P185">
        <v>28</v>
      </c>
      <c r="Q185" t="s">
        <v>42</v>
      </c>
      <c r="R185" t="str" cm="1">
        <f t="array" ref="R185">_xlfn.IFS(N185&lt;=1,"0-1 yrs",N185&lt;=4,"2-4 yrs",N185&lt;=9,"5-9 yrs",N185&gt;9,"10+ yrs")</f>
        <v>2-4 yrs</v>
      </c>
      <c r="S185" t="str" cm="1">
        <f t="array" ref="S185">_xlfn.IFS(B185&lt;=25,"20-25",B185&lt;=35,"26-35",B185&lt;=45,"36-45",B185&gt;45,"46+")</f>
        <v>46+</v>
      </c>
      <c r="T185" t="str" cm="1">
        <f t="array" ref="T185">_xlfn.IFS(J185&lt;3500,"&lt;3.5K",J185&lt;5500,"3.5-5.5K",J185&lt;7500,"5.5-7.5K",J185&gt;=7500,"7.5K+")</f>
        <v>7.5K+</v>
      </c>
      <c r="U185">
        <f t="shared" si="2"/>
        <v>1</v>
      </c>
    </row>
    <row r="186" spans="1:21" x14ac:dyDescent="0.25">
      <c r="A186">
        <v>1837</v>
      </c>
      <c r="B186">
        <v>56</v>
      </c>
      <c r="C186" t="s">
        <v>23</v>
      </c>
      <c r="D186" t="s">
        <v>27</v>
      </c>
      <c r="E186" t="s">
        <v>44</v>
      </c>
      <c r="F186" t="s">
        <v>19</v>
      </c>
      <c r="G186" t="s">
        <v>33</v>
      </c>
      <c r="H186" t="s">
        <v>21</v>
      </c>
      <c r="I186">
        <v>6</v>
      </c>
      <c r="J186" s="2">
        <v>10640</v>
      </c>
      <c r="K186" t="s">
        <v>22</v>
      </c>
      <c r="L186">
        <v>3</v>
      </c>
      <c r="M186">
        <v>1</v>
      </c>
      <c r="N186">
        <v>13</v>
      </c>
      <c r="O186">
        <v>4</v>
      </c>
      <c r="P186">
        <v>23</v>
      </c>
      <c r="Q186" t="s">
        <v>22</v>
      </c>
      <c r="R186" t="str" cm="1">
        <f t="array" ref="R186">_xlfn.IFS(N186&lt;=1,"0-1 yrs",N186&lt;=4,"2-4 yrs",N186&lt;=9,"5-9 yrs",N186&gt;9,"10+ yrs")</f>
        <v>10+ yrs</v>
      </c>
      <c r="S186" t="str" cm="1">
        <f t="array" ref="S186">_xlfn.IFS(B186&lt;=25,"20-25",B186&lt;=35,"26-35",B186&lt;=45,"36-45",B186&gt;45,"46+")</f>
        <v>46+</v>
      </c>
      <c r="T186" t="str" cm="1">
        <f t="array" ref="T186">_xlfn.IFS(J186&lt;3500,"&lt;3.5K",J186&lt;5500,"3.5-5.5K",J186&lt;7500,"5.5-7.5K",J186&gt;=7500,"7.5K+")</f>
        <v>7.5K+</v>
      </c>
      <c r="U186">
        <f t="shared" si="2"/>
        <v>0</v>
      </c>
    </row>
    <row r="187" spans="1:21" x14ac:dyDescent="0.25">
      <c r="A187">
        <v>1359</v>
      </c>
      <c r="B187">
        <v>40</v>
      </c>
      <c r="C187" t="s">
        <v>16</v>
      </c>
      <c r="D187" t="s">
        <v>38</v>
      </c>
      <c r="E187" t="s">
        <v>39</v>
      </c>
      <c r="F187" t="s">
        <v>41</v>
      </c>
      <c r="G187" t="s">
        <v>20</v>
      </c>
      <c r="H187" t="s">
        <v>21</v>
      </c>
      <c r="I187">
        <v>29</v>
      </c>
      <c r="J187" s="2">
        <v>9114</v>
      </c>
      <c r="K187" t="s">
        <v>22</v>
      </c>
      <c r="L187">
        <v>2</v>
      </c>
      <c r="M187">
        <v>1</v>
      </c>
      <c r="N187">
        <v>3</v>
      </c>
      <c r="O187">
        <v>1</v>
      </c>
      <c r="P187">
        <v>20</v>
      </c>
      <c r="Q187" t="s">
        <v>22</v>
      </c>
      <c r="R187" t="str" cm="1">
        <f t="array" ref="R187">_xlfn.IFS(N187&lt;=1,"0-1 yrs",N187&lt;=4,"2-4 yrs",N187&lt;=9,"5-9 yrs",N187&gt;9,"10+ yrs")</f>
        <v>2-4 yrs</v>
      </c>
      <c r="S187" t="str" cm="1">
        <f t="array" ref="S187">_xlfn.IFS(B187&lt;=25,"20-25",B187&lt;=35,"26-35",B187&lt;=45,"36-45",B187&gt;45,"46+")</f>
        <v>36-45</v>
      </c>
      <c r="T187" t="str" cm="1">
        <f t="array" ref="T187">_xlfn.IFS(J187&lt;3500,"&lt;3.5K",J187&lt;5500,"3.5-5.5K",J187&lt;7500,"5.5-7.5K",J187&gt;=7500,"7.5K+")</f>
        <v>7.5K+</v>
      </c>
      <c r="U187">
        <f t="shared" si="2"/>
        <v>0</v>
      </c>
    </row>
    <row r="188" spans="1:21" x14ac:dyDescent="0.25">
      <c r="A188">
        <v>1395</v>
      </c>
      <c r="B188">
        <v>35</v>
      </c>
      <c r="C188" t="s">
        <v>23</v>
      </c>
      <c r="D188" t="s">
        <v>38</v>
      </c>
      <c r="E188" t="s">
        <v>49</v>
      </c>
      <c r="F188" t="s">
        <v>38</v>
      </c>
      <c r="G188" t="s">
        <v>33</v>
      </c>
      <c r="H188" t="s">
        <v>34</v>
      </c>
      <c r="I188">
        <v>4</v>
      </c>
      <c r="J188" s="2">
        <v>9022</v>
      </c>
      <c r="K188" t="s">
        <v>22</v>
      </c>
      <c r="L188">
        <v>1</v>
      </c>
      <c r="M188">
        <v>4</v>
      </c>
      <c r="N188">
        <v>8</v>
      </c>
      <c r="O188">
        <v>5</v>
      </c>
      <c r="P188">
        <v>10</v>
      </c>
      <c r="Q188" t="s">
        <v>22</v>
      </c>
      <c r="R188" t="str" cm="1">
        <f t="array" ref="R188">_xlfn.IFS(N188&lt;=1,"0-1 yrs",N188&lt;=4,"2-4 yrs",N188&lt;=9,"5-9 yrs",N188&gt;9,"10+ yrs")</f>
        <v>5-9 yrs</v>
      </c>
      <c r="S188" t="str" cm="1">
        <f t="array" ref="S188">_xlfn.IFS(B188&lt;=25,"20-25",B188&lt;=35,"26-35",B188&lt;=45,"36-45",B188&gt;45,"46+")</f>
        <v>26-35</v>
      </c>
      <c r="T188" t="str" cm="1">
        <f t="array" ref="T188">_xlfn.IFS(J188&lt;3500,"&lt;3.5K",J188&lt;5500,"3.5-5.5K",J188&lt;7500,"5.5-7.5K",J188&gt;=7500,"7.5K+")</f>
        <v>7.5K+</v>
      </c>
      <c r="U188">
        <f t="shared" si="2"/>
        <v>0</v>
      </c>
    </row>
    <row r="189" spans="1:21" x14ac:dyDescent="0.25">
      <c r="A189">
        <v>1954</v>
      </c>
      <c r="B189">
        <v>60</v>
      </c>
      <c r="C189" t="s">
        <v>23</v>
      </c>
      <c r="D189" t="s">
        <v>17</v>
      </c>
      <c r="E189" t="s">
        <v>18</v>
      </c>
      <c r="F189" t="s">
        <v>36</v>
      </c>
      <c r="G189" t="s">
        <v>33</v>
      </c>
      <c r="H189" t="s">
        <v>34</v>
      </c>
      <c r="I189">
        <v>7</v>
      </c>
      <c r="J189" s="2">
        <v>15109</v>
      </c>
      <c r="K189" t="s">
        <v>22</v>
      </c>
      <c r="L189">
        <v>1</v>
      </c>
      <c r="M189">
        <v>1</v>
      </c>
      <c r="N189">
        <v>20</v>
      </c>
      <c r="O189">
        <v>10</v>
      </c>
      <c r="P189">
        <v>40</v>
      </c>
      <c r="Q189" t="s">
        <v>22</v>
      </c>
      <c r="R189" t="str" cm="1">
        <f t="array" ref="R189">_xlfn.IFS(N189&lt;=1,"0-1 yrs",N189&lt;=4,"2-4 yrs",N189&lt;=9,"5-9 yrs",N189&gt;9,"10+ yrs")</f>
        <v>10+ yrs</v>
      </c>
      <c r="S189" t="str" cm="1">
        <f t="array" ref="S189">_xlfn.IFS(B189&lt;=25,"20-25",B189&lt;=35,"26-35",B189&lt;=45,"36-45",B189&gt;45,"46+")</f>
        <v>46+</v>
      </c>
      <c r="T189" t="str" cm="1">
        <f t="array" ref="T189">_xlfn.IFS(J189&lt;3500,"&lt;3.5K",J189&lt;5500,"3.5-5.5K",J189&lt;7500,"5.5-7.5K",J189&gt;=7500,"7.5K+")</f>
        <v>7.5K+</v>
      </c>
      <c r="U189">
        <f t="shared" si="2"/>
        <v>0</v>
      </c>
    </row>
    <row r="190" spans="1:21" x14ac:dyDescent="0.25">
      <c r="A190">
        <v>1694</v>
      </c>
      <c r="B190">
        <v>35</v>
      </c>
      <c r="C190" t="s">
        <v>23</v>
      </c>
      <c r="D190" t="s">
        <v>27</v>
      </c>
      <c r="E190" t="s">
        <v>28</v>
      </c>
      <c r="F190" t="s">
        <v>29</v>
      </c>
      <c r="G190" t="s">
        <v>20</v>
      </c>
      <c r="H190" t="s">
        <v>21</v>
      </c>
      <c r="I190">
        <v>17</v>
      </c>
      <c r="J190" s="2">
        <v>12380</v>
      </c>
      <c r="K190" t="s">
        <v>22</v>
      </c>
      <c r="L190">
        <v>2</v>
      </c>
      <c r="M190">
        <v>3</v>
      </c>
      <c r="N190">
        <v>1</v>
      </c>
      <c r="O190">
        <v>0</v>
      </c>
      <c r="P190">
        <v>15</v>
      </c>
      <c r="Q190" t="s">
        <v>22</v>
      </c>
      <c r="R190" t="str" cm="1">
        <f t="array" ref="R190">_xlfn.IFS(N190&lt;=1,"0-1 yrs",N190&lt;=4,"2-4 yrs",N190&lt;=9,"5-9 yrs",N190&gt;9,"10+ yrs")</f>
        <v>0-1 yrs</v>
      </c>
      <c r="S190" t="str" cm="1">
        <f t="array" ref="S190">_xlfn.IFS(B190&lt;=25,"20-25",B190&lt;=35,"26-35",B190&lt;=45,"36-45",B190&gt;45,"46+")</f>
        <v>26-35</v>
      </c>
      <c r="T190" t="str" cm="1">
        <f t="array" ref="T190">_xlfn.IFS(J190&lt;3500,"&lt;3.5K",J190&lt;5500,"3.5-5.5K",J190&lt;7500,"5.5-7.5K",J190&gt;=7500,"7.5K+")</f>
        <v>7.5K+</v>
      </c>
      <c r="U190">
        <f t="shared" si="2"/>
        <v>0</v>
      </c>
    </row>
    <row r="191" spans="1:21" x14ac:dyDescent="0.25">
      <c r="A191">
        <v>1452</v>
      </c>
      <c r="B191">
        <v>21</v>
      </c>
      <c r="C191" t="s">
        <v>23</v>
      </c>
      <c r="D191" t="s">
        <v>17</v>
      </c>
      <c r="E191" t="s">
        <v>35</v>
      </c>
      <c r="F191" t="s">
        <v>36</v>
      </c>
      <c r="G191" t="s">
        <v>20</v>
      </c>
      <c r="H191" t="s">
        <v>30</v>
      </c>
      <c r="I191">
        <v>7</v>
      </c>
      <c r="J191" s="2">
        <v>4496</v>
      </c>
      <c r="K191" t="s">
        <v>22</v>
      </c>
      <c r="L191">
        <v>2</v>
      </c>
      <c r="M191">
        <v>2</v>
      </c>
      <c r="N191">
        <v>0</v>
      </c>
      <c r="O191">
        <v>0</v>
      </c>
      <c r="P191">
        <v>0</v>
      </c>
      <c r="Q191" t="s">
        <v>42</v>
      </c>
      <c r="R191" t="str" cm="1">
        <f t="array" ref="R191">_xlfn.IFS(N191&lt;=1,"0-1 yrs",N191&lt;=4,"2-4 yrs",N191&lt;=9,"5-9 yrs",N191&gt;9,"10+ yrs")</f>
        <v>0-1 yrs</v>
      </c>
      <c r="S191" t="str" cm="1">
        <f t="array" ref="S191">_xlfn.IFS(B191&lt;=25,"20-25",B191&lt;=35,"26-35",B191&lt;=45,"36-45",B191&gt;45,"46+")</f>
        <v>20-25</v>
      </c>
      <c r="T191" t="str" cm="1">
        <f t="array" ref="T191">_xlfn.IFS(J191&lt;3500,"&lt;3.5K",J191&lt;5500,"3.5-5.5K",J191&lt;7500,"5.5-7.5K",J191&gt;=7500,"7.5K+")</f>
        <v>3.5-5.5K</v>
      </c>
      <c r="U191">
        <f t="shared" si="2"/>
        <v>1</v>
      </c>
    </row>
    <row r="192" spans="1:21" x14ac:dyDescent="0.25">
      <c r="A192">
        <v>1745</v>
      </c>
      <c r="B192">
        <v>58</v>
      </c>
      <c r="C192" t="s">
        <v>23</v>
      </c>
      <c r="D192" t="s">
        <v>17</v>
      </c>
      <c r="E192" t="s">
        <v>35</v>
      </c>
      <c r="F192" t="s">
        <v>32</v>
      </c>
      <c r="G192" t="s">
        <v>33</v>
      </c>
      <c r="H192" t="s">
        <v>21</v>
      </c>
      <c r="I192">
        <v>21</v>
      </c>
      <c r="J192" s="2">
        <v>10888</v>
      </c>
      <c r="K192" t="s">
        <v>42</v>
      </c>
      <c r="L192">
        <v>4</v>
      </c>
      <c r="M192">
        <v>4</v>
      </c>
      <c r="N192">
        <v>5</v>
      </c>
      <c r="O192">
        <v>2</v>
      </c>
      <c r="P192">
        <v>33</v>
      </c>
      <c r="Q192" t="s">
        <v>22</v>
      </c>
      <c r="R192" t="str" cm="1">
        <f t="array" ref="R192">_xlfn.IFS(N192&lt;=1,"0-1 yrs",N192&lt;=4,"2-4 yrs",N192&lt;=9,"5-9 yrs",N192&gt;9,"10+ yrs")</f>
        <v>5-9 yrs</v>
      </c>
      <c r="S192" t="str" cm="1">
        <f t="array" ref="S192">_xlfn.IFS(B192&lt;=25,"20-25",B192&lt;=35,"26-35",B192&lt;=45,"36-45",B192&gt;45,"46+")</f>
        <v>46+</v>
      </c>
      <c r="T192" t="str" cm="1">
        <f t="array" ref="T192">_xlfn.IFS(J192&lt;3500,"&lt;3.5K",J192&lt;5500,"3.5-5.5K",J192&lt;7500,"5.5-7.5K",J192&gt;=7500,"7.5K+")</f>
        <v>7.5K+</v>
      </c>
      <c r="U192">
        <f t="shared" si="2"/>
        <v>0</v>
      </c>
    </row>
    <row r="193" spans="1:21" x14ac:dyDescent="0.25">
      <c r="A193">
        <v>1413</v>
      </c>
      <c r="B193">
        <v>54</v>
      </c>
      <c r="C193" t="s">
        <v>23</v>
      </c>
      <c r="D193" t="s">
        <v>38</v>
      </c>
      <c r="E193" t="s">
        <v>49</v>
      </c>
      <c r="F193" t="s">
        <v>36</v>
      </c>
      <c r="G193" t="s">
        <v>33</v>
      </c>
      <c r="H193" t="s">
        <v>30</v>
      </c>
      <c r="I193">
        <v>24</v>
      </c>
      <c r="J193" s="2">
        <v>13861</v>
      </c>
      <c r="K193" t="s">
        <v>22</v>
      </c>
      <c r="L193">
        <v>3</v>
      </c>
      <c r="M193">
        <v>1</v>
      </c>
      <c r="N193">
        <v>0</v>
      </c>
      <c r="O193">
        <v>0</v>
      </c>
      <c r="P193">
        <v>34</v>
      </c>
      <c r="Q193" t="s">
        <v>42</v>
      </c>
      <c r="R193" t="str" cm="1">
        <f t="array" ref="R193">_xlfn.IFS(N193&lt;=1,"0-1 yrs",N193&lt;=4,"2-4 yrs",N193&lt;=9,"5-9 yrs",N193&gt;9,"10+ yrs")</f>
        <v>0-1 yrs</v>
      </c>
      <c r="S193" t="str" cm="1">
        <f t="array" ref="S193">_xlfn.IFS(B193&lt;=25,"20-25",B193&lt;=35,"26-35",B193&lt;=45,"36-45",B193&gt;45,"46+")</f>
        <v>46+</v>
      </c>
      <c r="T193" t="str" cm="1">
        <f t="array" ref="T193">_xlfn.IFS(J193&lt;3500,"&lt;3.5K",J193&lt;5500,"3.5-5.5K",J193&lt;7500,"5.5-7.5K",J193&gt;=7500,"7.5K+")</f>
        <v>7.5K+</v>
      </c>
      <c r="U193">
        <f t="shared" si="2"/>
        <v>1</v>
      </c>
    </row>
    <row r="194" spans="1:21" x14ac:dyDescent="0.25">
      <c r="A194">
        <v>1788</v>
      </c>
      <c r="B194">
        <v>21</v>
      </c>
      <c r="C194" t="s">
        <v>16</v>
      </c>
      <c r="D194" t="s">
        <v>24</v>
      </c>
      <c r="E194" t="s">
        <v>52</v>
      </c>
      <c r="F194" t="s">
        <v>26</v>
      </c>
      <c r="G194" t="s">
        <v>20</v>
      </c>
      <c r="H194" t="s">
        <v>21</v>
      </c>
      <c r="I194">
        <v>11</v>
      </c>
      <c r="J194" s="2">
        <v>7211</v>
      </c>
      <c r="K194" t="s">
        <v>42</v>
      </c>
      <c r="L194">
        <v>1</v>
      </c>
      <c r="M194">
        <v>3</v>
      </c>
      <c r="N194">
        <v>0</v>
      </c>
      <c r="O194">
        <v>0</v>
      </c>
      <c r="P194">
        <v>0</v>
      </c>
      <c r="Q194" t="s">
        <v>42</v>
      </c>
      <c r="R194" t="str" cm="1">
        <f t="array" ref="R194">_xlfn.IFS(N194&lt;=1,"0-1 yrs",N194&lt;=4,"2-4 yrs",N194&lt;=9,"5-9 yrs",N194&gt;9,"10+ yrs")</f>
        <v>0-1 yrs</v>
      </c>
      <c r="S194" t="str" cm="1">
        <f t="array" ref="S194">_xlfn.IFS(B194&lt;=25,"20-25",B194&lt;=35,"26-35",B194&lt;=45,"36-45",B194&gt;45,"46+")</f>
        <v>20-25</v>
      </c>
      <c r="T194" t="str" cm="1">
        <f t="array" ref="T194">_xlfn.IFS(J194&lt;3500,"&lt;3.5K",J194&lt;5500,"3.5-5.5K",J194&lt;7500,"5.5-7.5K",J194&gt;=7500,"7.5K+")</f>
        <v>5.5-7.5K</v>
      </c>
      <c r="U194">
        <f t="shared" si="2"/>
        <v>1</v>
      </c>
    </row>
    <row r="195" spans="1:21" x14ac:dyDescent="0.25">
      <c r="A195">
        <v>1179</v>
      </c>
      <c r="B195">
        <v>31</v>
      </c>
      <c r="C195" t="s">
        <v>16</v>
      </c>
      <c r="D195" t="s">
        <v>17</v>
      </c>
      <c r="E195" t="s">
        <v>18</v>
      </c>
      <c r="F195" t="s">
        <v>36</v>
      </c>
      <c r="G195" t="s">
        <v>20</v>
      </c>
      <c r="H195" t="s">
        <v>21</v>
      </c>
      <c r="I195">
        <v>20</v>
      </c>
      <c r="J195" s="2">
        <v>10112</v>
      </c>
      <c r="K195" t="s">
        <v>22</v>
      </c>
      <c r="L195">
        <v>4</v>
      </c>
      <c r="M195">
        <v>3</v>
      </c>
      <c r="N195">
        <v>0</v>
      </c>
      <c r="O195">
        <v>0</v>
      </c>
      <c r="P195">
        <v>4</v>
      </c>
      <c r="Q195" t="s">
        <v>22</v>
      </c>
      <c r="R195" t="str" cm="1">
        <f t="array" ref="R195">_xlfn.IFS(N195&lt;=1,"0-1 yrs",N195&lt;=4,"2-4 yrs",N195&lt;=9,"5-9 yrs",N195&gt;9,"10+ yrs")</f>
        <v>0-1 yrs</v>
      </c>
      <c r="S195" t="str" cm="1">
        <f t="array" ref="S195">_xlfn.IFS(B195&lt;=25,"20-25",B195&lt;=35,"26-35",B195&lt;=45,"36-45",B195&gt;45,"46+")</f>
        <v>26-35</v>
      </c>
      <c r="T195" t="str" cm="1">
        <f t="array" ref="T195">_xlfn.IFS(J195&lt;3500,"&lt;3.5K",J195&lt;5500,"3.5-5.5K",J195&lt;7500,"5.5-7.5K",J195&gt;=7500,"7.5K+")</f>
        <v>7.5K+</v>
      </c>
      <c r="U195">
        <f t="shared" ref="U195:U258" si="3">IF(Q195="Yes",1,0)</f>
        <v>0</v>
      </c>
    </row>
    <row r="196" spans="1:21" x14ac:dyDescent="0.25">
      <c r="A196">
        <v>1026</v>
      </c>
      <c r="B196">
        <v>44</v>
      </c>
      <c r="C196" t="s">
        <v>16</v>
      </c>
      <c r="D196" t="s">
        <v>27</v>
      </c>
      <c r="E196" t="s">
        <v>31</v>
      </c>
      <c r="F196" t="s">
        <v>36</v>
      </c>
      <c r="G196" t="s">
        <v>37</v>
      </c>
      <c r="H196" t="s">
        <v>34</v>
      </c>
      <c r="I196">
        <v>28</v>
      </c>
      <c r="J196" s="2">
        <v>8427</v>
      </c>
      <c r="K196" t="s">
        <v>22</v>
      </c>
      <c r="L196">
        <v>3</v>
      </c>
      <c r="M196">
        <v>3</v>
      </c>
      <c r="N196">
        <v>7</v>
      </c>
      <c r="O196">
        <v>3</v>
      </c>
      <c r="P196">
        <v>24</v>
      </c>
      <c r="Q196" t="s">
        <v>22</v>
      </c>
      <c r="R196" t="str" cm="1">
        <f t="array" ref="R196">_xlfn.IFS(N196&lt;=1,"0-1 yrs",N196&lt;=4,"2-4 yrs",N196&lt;=9,"5-9 yrs",N196&gt;9,"10+ yrs")</f>
        <v>5-9 yrs</v>
      </c>
      <c r="S196" t="str" cm="1">
        <f t="array" ref="S196">_xlfn.IFS(B196&lt;=25,"20-25",B196&lt;=35,"26-35",B196&lt;=45,"36-45",B196&gt;45,"46+")</f>
        <v>36-45</v>
      </c>
      <c r="T196" t="str" cm="1">
        <f t="array" ref="T196">_xlfn.IFS(J196&lt;3500,"&lt;3.5K",J196&lt;5500,"3.5-5.5K",J196&lt;7500,"5.5-7.5K",J196&gt;=7500,"7.5K+")</f>
        <v>7.5K+</v>
      </c>
      <c r="U196">
        <f t="shared" si="3"/>
        <v>0</v>
      </c>
    </row>
    <row r="197" spans="1:21" x14ac:dyDescent="0.25">
      <c r="A197">
        <v>1232</v>
      </c>
      <c r="B197">
        <v>47</v>
      </c>
      <c r="C197" t="s">
        <v>16</v>
      </c>
      <c r="D197" t="s">
        <v>17</v>
      </c>
      <c r="E197" t="s">
        <v>40</v>
      </c>
      <c r="F197" t="s">
        <v>19</v>
      </c>
      <c r="G197" t="s">
        <v>20</v>
      </c>
      <c r="H197" t="s">
        <v>30</v>
      </c>
      <c r="I197">
        <v>18</v>
      </c>
      <c r="J197" s="2">
        <v>12185</v>
      </c>
      <c r="K197" t="s">
        <v>42</v>
      </c>
      <c r="L197">
        <v>3</v>
      </c>
      <c r="M197">
        <v>1</v>
      </c>
      <c r="N197">
        <v>4</v>
      </c>
      <c r="O197">
        <v>4</v>
      </c>
      <c r="P197">
        <v>25</v>
      </c>
      <c r="Q197" t="s">
        <v>22</v>
      </c>
      <c r="R197" t="str" cm="1">
        <f t="array" ref="R197">_xlfn.IFS(N197&lt;=1,"0-1 yrs",N197&lt;=4,"2-4 yrs",N197&lt;=9,"5-9 yrs",N197&gt;9,"10+ yrs")</f>
        <v>2-4 yrs</v>
      </c>
      <c r="S197" t="str" cm="1">
        <f t="array" ref="S197">_xlfn.IFS(B197&lt;=25,"20-25",B197&lt;=35,"26-35",B197&lt;=45,"36-45",B197&gt;45,"46+")</f>
        <v>46+</v>
      </c>
      <c r="T197" t="str" cm="1">
        <f t="array" ref="T197">_xlfn.IFS(J197&lt;3500,"&lt;3.5K",J197&lt;5500,"3.5-5.5K",J197&lt;7500,"5.5-7.5K",J197&gt;=7500,"7.5K+")</f>
        <v>7.5K+</v>
      </c>
      <c r="U197">
        <f t="shared" si="3"/>
        <v>0</v>
      </c>
    </row>
    <row r="198" spans="1:21" x14ac:dyDescent="0.25">
      <c r="A198">
        <v>1946</v>
      </c>
      <c r="B198">
        <v>46</v>
      </c>
      <c r="C198" t="s">
        <v>23</v>
      </c>
      <c r="D198" t="s">
        <v>17</v>
      </c>
      <c r="E198" t="s">
        <v>18</v>
      </c>
      <c r="F198" t="s">
        <v>32</v>
      </c>
      <c r="G198" t="s">
        <v>20</v>
      </c>
      <c r="H198" t="s">
        <v>21</v>
      </c>
      <c r="I198">
        <v>4</v>
      </c>
      <c r="J198" s="2">
        <v>14688</v>
      </c>
      <c r="K198" t="s">
        <v>22</v>
      </c>
      <c r="L198">
        <v>1</v>
      </c>
      <c r="M198">
        <v>2</v>
      </c>
      <c r="N198">
        <v>15</v>
      </c>
      <c r="O198">
        <v>8</v>
      </c>
      <c r="P198">
        <v>25</v>
      </c>
      <c r="Q198" t="s">
        <v>22</v>
      </c>
      <c r="R198" t="str" cm="1">
        <f t="array" ref="R198">_xlfn.IFS(N198&lt;=1,"0-1 yrs",N198&lt;=4,"2-4 yrs",N198&lt;=9,"5-9 yrs",N198&gt;9,"10+ yrs")</f>
        <v>10+ yrs</v>
      </c>
      <c r="S198" t="str" cm="1">
        <f t="array" ref="S198">_xlfn.IFS(B198&lt;=25,"20-25",B198&lt;=35,"26-35",B198&lt;=45,"36-45",B198&gt;45,"46+")</f>
        <v>46+</v>
      </c>
      <c r="T198" t="str" cm="1">
        <f t="array" ref="T198">_xlfn.IFS(J198&lt;3500,"&lt;3.5K",J198&lt;5500,"3.5-5.5K",J198&lt;7500,"5.5-7.5K",J198&gt;=7500,"7.5K+")</f>
        <v>7.5K+</v>
      </c>
      <c r="U198">
        <f t="shared" si="3"/>
        <v>0</v>
      </c>
    </row>
    <row r="199" spans="1:21" x14ac:dyDescent="0.25">
      <c r="A199">
        <v>1305</v>
      </c>
      <c r="B199">
        <v>59</v>
      </c>
      <c r="C199" t="s">
        <v>23</v>
      </c>
      <c r="D199" t="s">
        <v>47</v>
      </c>
      <c r="E199" t="s">
        <v>50</v>
      </c>
      <c r="F199" t="s">
        <v>68</v>
      </c>
      <c r="G199" t="s">
        <v>37</v>
      </c>
      <c r="H199" t="s">
        <v>21</v>
      </c>
      <c r="I199">
        <v>28</v>
      </c>
      <c r="J199" s="2">
        <v>10703</v>
      </c>
      <c r="K199" t="s">
        <v>42</v>
      </c>
      <c r="L199">
        <v>4</v>
      </c>
      <c r="M199">
        <v>4</v>
      </c>
      <c r="N199">
        <v>19</v>
      </c>
      <c r="O199">
        <v>1</v>
      </c>
      <c r="P199">
        <v>32</v>
      </c>
      <c r="Q199" t="s">
        <v>22</v>
      </c>
      <c r="R199" t="str" cm="1">
        <f t="array" ref="R199">_xlfn.IFS(N199&lt;=1,"0-1 yrs",N199&lt;=4,"2-4 yrs",N199&lt;=9,"5-9 yrs",N199&gt;9,"10+ yrs")</f>
        <v>10+ yrs</v>
      </c>
      <c r="S199" t="str" cm="1">
        <f t="array" ref="S199">_xlfn.IFS(B199&lt;=25,"20-25",B199&lt;=35,"26-35",B199&lt;=45,"36-45",B199&gt;45,"46+")</f>
        <v>46+</v>
      </c>
      <c r="T199" t="str" cm="1">
        <f t="array" ref="T199">_xlfn.IFS(J199&lt;3500,"&lt;3.5K",J199&lt;5500,"3.5-5.5K",J199&lt;7500,"5.5-7.5K",J199&gt;=7500,"7.5K+")</f>
        <v>7.5K+</v>
      </c>
      <c r="U199">
        <f t="shared" si="3"/>
        <v>0</v>
      </c>
    </row>
    <row r="200" spans="1:21" x14ac:dyDescent="0.25">
      <c r="A200">
        <v>1445</v>
      </c>
      <c r="B200">
        <v>32</v>
      </c>
      <c r="C200" t="s">
        <v>23</v>
      </c>
      <c r="D200" t="s">
        <v>24</v>
      </c>
      <c r="E200" t="s">
        <v>52</v>
      </c>
      <c r="F200" t="s">
        <v>36</v>
      </c>
      <c r="G200" t="s">
        <v>33</v>
      </c>
      <c r="H200" t="s">
        <v>34</v>
      </c>
      <c r="I200">
        <v>24</v>
      </c>
      <c r="J200" s="2">
        <v>8483</v>
      </c>
      <c r="K200" t="s">
        <v>22</v>
      </c>
      <c r="L200">
        <v>3</v>
      </c>
      <c r="M200">
        <v>3</v>
      </c>
      <c r="N200">
        <v>8</v>
      </c>
      <c r="O200">
        <v>7</v>
      </c>
      <c r="P200">
        <v>9</v>
      </c>
      <c r="Q200" t="s">
        <v>22</v>
      </c>
      <c r="R200" t="str" cm="1">
        <f t="array" ref="R200">_xlfn.IFS(N200&lt;=1,"0-1 yrs",N200&lt;=4,"2-4 yrs",N200&lt;=9,"5-9 yrs",N200&gt;9,"10+ yrs")</f>
        <v>5-9 yrs</v>
      </c>
      <c r="S200" t="str" cm="1">
        <f t="array" ref="S200">_xlfn.IFS(B200&lt;=25,"20-25",B200&lt;=35,"26-35",B200&lt;=45,"36-45",B200&gt;45,"46+")</f>
        <v>26-35</v>
      </c>
      <c r="T200" t="str" cm="1">
        <f t="array" ref="T200">_xlfn.IFS(J200&lt;3500,"&lt;3.5K",J200&lt;5500,"3.5-5.5K",J200&lt;7500,"5.5-7.5K",J200&gt;=7500,"7.5K+")</f>
        <v>7.5K+</v>
      </c>
      <c r="U200">
        <f t="shared" si="3"/>
        <v>0</v>
      </c>
    </row>
    <row r="201" spans="1:21" x14ac:dyDescent="0.25">
      <c r="A201">
        <v>1272</v>
      </c>
      <c r="B201">
        <v>35</v>
      </c>
      <c r="C201" t="s">
        <v>23</v>
      </c>
      <c r="D201" t="s">
        <v>38</v>
      </c>
      <c r="E201" t="s">
        <v>49</v>
      </c>
      <c r="F201" t="s">
        <v>19</v>
      </c>
      <c r="G201" t="s">
        <v>37</v>
      </c>
      <c r="H201" t="s">
        <v>34</v>
      </c>
      <c r="I201">
        <v>26</v>
      </c>
      <c r="J201" s="2">
        <v>8488</v>
      </c>
      <c r="K201" t="s">
        <v>22</v>
      </c>
      <c r="L201">
        <v>4</v>
      </c>
      <c r="M201">
        <v>4</v>
      </c>
      <c r="N201">
        <v>2</v>
      </c>
      <c r="O201">
        <v>1</v>
      </c>
      <c r="P201">
        <v>2</v>
      </c>
      <c r="Q201" t="s">
        <v>22</v>
      </c>
      <c r="R201" t="str" cm="1">
        <f t="array" ref="R201">_xlfn.IFS(N201&lt;=1,"0-1 yrs",N201&lt;=4,"2-4 yrs",N201&lt;=9,"5-9 yrs",N201&gt;9,"10+ yrs")</f>
        <v>2-4 yrs</v>
      </c>
      <c r="S201" t="str" cm="1">
        <f t="array" ref="S201">_xlfn.IFS(B201&lt;=25,"20-25",B201&lt;=35,"26-35",B201&lt;=45,"36-45",B201&gt;45,"46+")</f>
        <v>26-35</v>
      </c>
      <c r="T201" t="str" cm="1">
        <f t="array" ref="T201">_xlfn.IFS(J201&lt;3500,"&lt;3.5K",J201&lt;5500,"3.5-5.5K",J201&lt;7500,"5.5-7.5K",J201&gt;=7500,"7.5K+")</f>
        <v>7.5K+</v>
      </c>
      <c r="U201">
        <f t="shared" si="3"/>
        <v>0</v>
      </c>
    </row>
    <row r="202" spans="1:21" x14ac:dyDescent="0.25">
      <c r="A202">
        <v>1652</v>
      </c>
      <c r="B202">
        <v>52</v>
      </c>
      <c r="C202" t="s">
        <v>16</v>
      </c>
      <c r="D202" t="s">
        <v>38</v>
      </c>
      <c r="E202" t="s">
        <v>39</v>
      </c>
      <c r="F202" t="s">
        <v>32</v>
      </c>
      <c r="G202" t="s">
        <v>33</v>
      </c>
      <c r="H202" t="s">
        <v>30</v>
      </c>
      <c r="I202">
        <v>18</v>
      </c>
      <c r="J202" s="2">
        <v>9006</v>
      </c>
      <c r="K202" t="s">
        <v>22</v>
      </c>
      <c r="L202">
        <v>2</v>
      </c>
      <c r="M202">
        <v>3</v>
      </c>
      <c r="N202">
        <v>16</v>
      </c>
      <c r="O202">
        <v>8</v>
      </c>
      <c r="P202">
        <v>20</v>
      </c>
      <c r="Q202" t="s">
        <v>22</v>
      </c>
      <c r="R202" t="str" cm="1">
        <f t="array" ref="R202">_xlfn.IFS(N202&lt;=1,"0-1 yrs",N202&lt;=4,"2-4 yrs",N202&lt;=9,"5-9 yrs",N202&gt;9,"10+ yrs")</f>
        <v>10+ yrs</v>
      </c>
      <c r="S202" t="str" cm="1">
        <f t="array" ref="S202">_xlfn.IFS(B202&lt;=25,"20-25",B202&lt;=35,"26-35",B202&lt;=45,"36-45",B202&gt;45,"46+")</f>
        <v>46+</v>
      </c>
      <c r="T202" t="str" cm="1">
        <f t="array" ref="T202">_xlfn.IFS(J202&lt;3500,"&lt;3.5K",J202&lt;5500,"3.5-5.5K",J202&lt;7500,"5.5-7.5K",J202&gt;=7500,"7.5K+")</f>
        <v>7.5K+</v>
      </c>
      <c r="U202">
        <f t="shared" si="3"/>
        <v>0</v>
      </c>
    </row>
    <row r="203" spans="1:21" x14ac:dyDescent="0.25">
      <c r="A203">
        <v>1400</v>
      </c>
      <c r="B203">
        <v>41</v>
      </c>
      <c r="C203" t="s">
        <v>16</v>
      </c>
      <c r="D203" t="s">
        <v>27</v>
      </c>
      <c r="E203" t="s">
        <v>31</v>
      </c>
      <c r="F203" t="s">
        <v>32</v>
      </c>
      <c r="G203" t="s">
        <v>33</v>
      </c>
      <c r="H203" t="s">
        <v>30</v>
      </c>
      <c r="I203">
        <v>15</v>
      </c>
      <c r="J203" s="2">
        <v>9514</v>
      </c>
      <c r="K203" t="s">
        <v>42</v>
      </c>
      <c r="L203">
        <v>4</v>
      </c>
      <c r="M203">
        <v>4</v>
      </c>
      <c r="N203">
        <v>19</v>
      </c>
      <c r="O203">
        <v>4</v>
      </c>
      <c r="P203">
        <v>21</v>
      </c>
      <c r="Q203" t="s">
        <v>22</v>
      </c>
      <c r="R203" t="str" cm="1">
        <f t="array" ref="R203">_xlfn.IFS(N203&lt;=1,"0-1 yrs",N203&lt;=4,"2-4 yrs",N203&lt;=9,"5-9 yrs",N203&gt;9,"10+ yrs")</f>
        <v>10+ yrs</v>
      </c>
      <c r="S203" t="str" cm="1">
        <f t="array" ref="S203">_xlfn.IFS(B203&lt;=25,"20-25",B203&lt;=35,"26-35",B203&lt;=45,"36-45",B203&gt;45,"46+")</f>
        <v>36-45</v>
      </c>
      <c r="T203" t="str" cm="1">
        <f t="array" ref="T203">_xlfn.IFS(J203&lt;3500,"&lt;3.5K",J203&lt;5500,"3.5-5.5K",J203&lt;7500,"5.5-7.5K",J203&gt;=7500,"7.5K+")</f>
        <v>7.5K+</v>
      </c>
      <c r="U203">
        <f t="shared" si="3"/>
        <v>0</v>
      </c>
    </row>
    <row r="204" spans="1:21" x14ac:dyDescent="0.25">
      <c r="A204">
        <v>1595</v>
      </c>
      <c r="B204">
        <v>43</v>
      </c>
      <c r="C204" t="s">
        <v>16</v>
      </c>
      <c r="D204" t="s">
        <v>47</v>
      </c>
      <c r="E204" t="s">
        <v>53</v>
      </c>
      <c r="F204" t="s">
        <v>36</v>
      </c>
      <c r="G204" t="s">
        <v>33</v>
      </c>
      <c r="H204" t="s">
        <v>21</v>
      </c>
      <c r="I204">
        <v>19</v>
      </c>
      <c r="J204" s="2">
        <v>10831</v>
      </c>
      <c r="K204" t="s">
        <v>22</v>
      </c>
      <c r="L204">
        <v>4</v>
      </c>
      <c r="M204">
        <v>4</v>
      </c>
      <c r="N204">
        <v>6</v>
      </c>
      <c r="O204">
        <v>5</v>
      </c>
      <c r="P204">
        <v>7</v>
      </c>
      <c r="Q204" t="s">
        <v>42</v>
      </c>
      <c r="R204" t="str" cm="1">
        <f t="array" ref="R204">_xlfn.IFS(N204&lt;=1,"0-1 yrs",N204&lt;=4,"2-4 yrs",N204&lt;=9,"5-9 yrs",N204&gt;9,"10+ yrs")</f>
        <v>5-9 yrs</v>
      </c>
      <c r="S204" t="str" cm="1">
        <f t="array" ref="S204">_xlfn.IFS(B204&lt;=25,"20-25",B204&lt;=35,"26-35",B204&lt;=45,"36-45",B204&gt;45,"46+")</f>
        <v>36-45</v>
      </c>
      <c r="T204" t="str" cm="1">
        <f t="array" ref="T204">_xlfn.IFS(J204&lt;3500,"&lt;3.5K",J204&lt;5500,"3.5-5.5K",J204&lt;7500,"5.5-7.5K",J204&gt;=7500,"7.5K+")</f>
        <v>7.5K+</v>
      </c>
      <c r="U204">
        <f t="shared" si="3"/>
        <v>1</v>
      </c>
    </row>
    <row r="205" spans="1:21" x14ac:dyDescent="0.25">
      <c r="A205">
        <v>1066</v>
      </c>
      <c r="B205">
        <v>49</v>
      </c>
      <c r="C205" t="s">
        <v>16</v>
      </c>
      <c r="D205" t="s">
        <v>17</v>
      </c>
      <c r="E205" t="s">
        <v>40</v>
      </c>
      <c r="F205" t="s">
        <v>41</v>
      </c>
      <c r="G205" t="s">
        <v>20</v>
      </c>
      <c r="H205" t="s">
        <v>34</v>
      </c>
      <c r="I205">
        <v>14</v>
      </c>
      <c r="J205" s="2">
        <v>9194</v>
      </c>
      <c r="K205" t="s">
        <v>22</v>
      </c>
      <c r="L205">
        <v>3</v>
      </c>
      <c r="M205">
        <v>3</v>
      </c>
      <c r="N205">
        <v>5</v>
      </c>
      <c r="O205">
        <v>0</v>
      </c>
      <c r="P205">
        <v>29</v>
      </c>
      <c r="Q205" t="s">
        <v>22</v>
      </c>
      <c r="R205" t="str" cm="1">
        <f t="array" ref="R205">_xlfn.IFS(N205&lt;=1,"0-1 yrs",N205&lt;=4,"2-4 yrs",N205&lt;=9,"5-9 yrs",N205&gt;9,"10+ yrs")</f>
        <v>5-9 yrs</v>
      </c>
      <c r="S205" t="str" cm="1">
        <f t="array" ref="S205">_xlfn.IFS(B205&lt;=25,"20-25",B205&lt;=35,"26-35",B205&lt;=45,"36-45",B205&gt;45,"46+")</f>
        <v>46+</v>
      </c>
      <c r="T205" t="str" cm="1">
        <f t="array" ref="T205">_xlfn.IFS(J205&lt;3500,"&lt;3.5K",J205&lt;5500,"3.5-5.5K",J205&lt;7500,"5.5-7.5K",J205&gt;=7500,"7.5K+")</f>
        <v>7.5K+</v>
      </c>
      <c r="U205">
        <f t="shared" si="3"/>
        <v>0</v>
      </c>
    </row>
    <row r="206" spans="1:21" x14ac:dyDescent="0.25">
      <c r="A206">
        <v>1799</v>
      </c>
      <c r="B206">
        <v>54</v>
      </c>
      <c r="C206" t="s">
        <v>16</v>
      </c>
      <c r="D206" t="s">
        <v>27</v>
      </c>
      <c r="E206" t="s">
        <v>28</v>
      </c>
      <c r="F206" t="s">
        <v>41</v>
      </c>
      <c r="G206" t="s">
        <v>33</v>
      </c>
      <c r="H206" t="s">
        <v>34</v>
      </c>
      <c r="I206">
        <v>14</v>
      </c>
      <c r="J206" s="2">
        <v>12664</v>
      </c>
      <c r="K206" t="s">
        <v>22</v>
      </c>
      <c r="L206">
        <v>4</v>
      </c>
      <c r="M206">
        <v>1</v>
      </c>
      <c r="N206">
        <v>7</v>
      </c>
      <c r="O206">
        <v>5</v>
      </c>
      <c r="P206">
        <v>17</v>
      </c>
      <c r="Q206" t="s">
        <v>22</v>
      </c>
      <c r="R206" t="str" cm="1">
        <f t="array" ref="R206">_xlfn.IFS(N206&lt;=1,"0-1 yrs",N206&lt;=4,"2-4 yrs",N206&lt;=9,"5-9 yrs",N206&gt;9,"10+ yrs")</f>
        <v>5-9 yrs</v>
      </c>
      <c r="S206" t="str" cm="1">
        <f t="array" ref="S206">_xlfn.IFS(B206&lt;=25,"20-25",B206&lt;=35,"26-35",B206&lt;=45,"36-45",B206&gt;45,"46+")</f>
        <v>46+</v>
      </c>
      <c r="T206" t="str" cm="1">
        <f t="array" ref="T206">_xlfn.IFS(J206&lt;3500,"&lt;3.5K",J206&lt;5500,"3.5-5.5K",J206&lt;7500,"5.5-7.5K",J206&gt;=7500,"7.5K+")</f>
        <v>7.5K+</v>
      </c>
      <c r="U206">
        <f t="shared" si="3"/>
        <v>0</v>
      </c>
    </row>
    <row r="207" spans="1:21" x14ac:dyDescent="0.25">
      <c r="A207">
        <v>1353</v>
      </c>
      <c r="B207">
        <v>36</v>
      </c>
      <c r="C207" t="s">
        <v>16</v>
      </c>
      <c r="D207" t="s">
        <v>17</v>
      </c>
      <c r="E207" t="s">
        <v>18</v>
      </c>
      <c r="F207" t="s">
        <v>38</v>
      </c>
      <c r="G207" t="s">
        <v>37</v>
      </c>
      <c r="H207" t="s">
        <v>21</v>
      </c>
      <c r="I207">
        <v>10</v>
      </c>
      <c r="J207" s="2">
        <v>9009</v>
      </c>
      <c r="K207" t="s">
        <v>42</v>
      </c>
      <c r="L207">
        <v>1</v>
      </c>
      <c r="M207">
        <v>3</v>
      </c>
      <c r="N207">
        <v>1</v>
      </c>
      <c r="O207">
        <v>0</v>
      </c>
      <c r="P207">
        <v>5</v>
      </c>
      <c r="Q207" t="s">
        <v>42</v>
      </c>
      <c r="R207" t="str" cm="1">
        <f t="array" ref="R207">_xlfn.IFS(N207&lt;=1,"0-1 yrs",N207&lt;=4,"2-4 yrs",N207&lt;=9,"5-9 yrs",N207&gt;9,"10+ yrs")</f>
        <v>0-1 yrs</v>
      </c>
      <c r="S207" t="str" cm="1">
        <f t="array" ref="S207">_xlfn.IFS(B207&lt;=25,"20-25",B207&lt;=35,"26-35",B207&lt;=45,"36-45",B207&gt;45,"46+")</f>
        <v>36-45</v>
      </c>
      <c r="T207" t="str" cm="1">
        <f t="array" ref="T207">_xlfn.IFS(J207&lt;3500,"&lt;3.5K",J207&lt;5500,"3.5-5.5K",J207&lt;7500,"5.5-7.5K",J207&gt;=7500,"7.5K+")</f>
        <v>7.5K+</v>
      </c>
      <c r="U207">
        <f t="shared" si="3"/>
        <v>1</v>
      </c>
    </row>
    <row r="208" spans="1:21" x14ac:dyDescent="0.25">
      <c r="A208">
        <v>1014</v>
      </c>
      <c r="B208">
        <v>56</v>
      </c>
      <c r="C208" t="s">
        <v>23</v>
      </c>
      <c r="D208" t="s">
        <v>17</v>
      </c>
      <c r="E208" t="s">
        <v>40</v>
      </c>
      <c r="F208" t="s">
        <v>41</v>
      </c>
      <c r="G208" t="s">
        <v>37</v>
      </c>
      <c r="H208" t="s">
        <v>34</v>
      </c>
      <c r="I208">
        <v>12</v>
      </c>
      <c r="J208" s="2">
        <v>9758</v>
      </c>
      <c r="K208" t="s">
        <v>22</v>
      </c>
      <c r="L208">
        <v>1</v>
      </c>
      <c r="M208">
        <v>1</v>
      </c>
      <c r="N208">
        <v>15</v>
      </c>
      <c r="O208">
        <v>13</v>
      </c>
      <c r="P208">
        <v>28</v>
      </c>
      <c r="Q208" t="s">
        <v>22</v>
      </c>
      <c r="R208" t="str" cm="1">
        <f t="array" ref="R208">_xlfn.IFS(N208&lt;=1,"0-1 yrs",N208&lt;=4,"2-4 yrs",N208&lt;=9,"5-9 yrs",N208&gt;9,"10+ yrs")</f>
        <v>10+ yrs</v>
      </c>
      <c r="S208" t="str" cm="1">
        <f t="array" ref="S208">_xlfn.IFS(B208&lt;=25,"20-25",B208&lt;=35,"26-35",B208&lt;=45,"36-45",B208&gt;45,"46+")</f>
        <v>46+</v>
      </c>
      <c r="T208" t="str" cm="1">
        <f t="array" ref="T208">_xlfn.IFS(J208&lt;3500,"&lt;3.5K",J208&lt;5500,"3.5-5.5K",J208&lt;7500,"5.5-7.5K",J208&gt;=7500,"7.5K+")</f>
        <v>7.5K+</v>
      </c>
      <c r="U208">
        <f t="shared" si="3"/>
        <v>0</v>
      </c>
    </row>
    <row r="209" spans="1:21" x14ac:dyDescent="0.25">
      <c r="A209">
        <v>1104</v>
      </c>
      <c r="B209">
        <v>48</v>
      </c>
      <c r="C209" t="s">
        <v>16</v>
      </c>
      <c r="D209" t="s">
        <v>27</v>
      </c>
      <c r="E209" t="s">
        <v>28</v>
      </c>
      <c r="F209" t="s">
        <v>41</v>
      </c>
      <c r="G209" t="s">
        <v>33</v>
      </c>
      <c r="H209" t="s">
        <v>21</v>
      </c>
      <c r="I209">
        <v>24</v>
      </c>
      <c r="J209" s="2">
        <v>10282</v>
      </c>
      <c r="K209" t="s">
        <v>22</v>
      </c>
      <c r="L209">
        <v>2</v>
      </c>
      <c r="M209">
        <v>2</v>
      </c>
      <c r="N209">
        <v>0</v>
      </c>
      <c r="O209">
        <v>0</v>
      </c>
      <c r="P209">
        <v>15</v>
      </c>
      <c r="Q209" t="s">
        <v>22</v>
      </c>
      <c r="R209" t="str" cm="1">
        <f t="array" ref="R209">_xlfn.IFS(N209&lt;=1,"0-1 yrs",N209&lt;=4,"2-4 yrs",N209&lt;=9,"5-9 yrs",N209&gt;9,"10+ yrs")</f>
        <v>0-1 yrs</v>
      </c>
      <c r="S209" t="str" cm="1">
        <f t="array" ref="S209">_xlfn.IFS(B209&lt;=25,"20-25",B209&lt;=35,"26-35",B209&lt;=45,"36-45",B209&gt;45,"46+")</f>
        <v>46+</v>
      </c>
      <c r="T209" t="str" cm="1">
        <f t="array" ref="T209">_xlfn.IFS(J209&lt;3500,"&lt;3.5K",J209&lt;5500,"3.5-5.5K",J209&lt;7500,"5.5-7.5K",J209&gt;=7500,"7.5K+")</f>
        <v>7.5K+</v>
      </c>
      <c r="U209">
        <f t="shared" si="3"/>
        <v>0</v>
      </c>
    </row>
    <row r="210" spans="1:21" x14ac:dyDescent="0.25">
      <c r="A210">
        <v>1762</v>
      </c>
      <c r="B210">
        <v>30</v>
      </c>
      <c r="C210" t="s">
        <v>23</v>
      </c>
      <c r="D210" t="s">
        <v>27</v>
      </c>
      <c r="E210" t="s">
        <v>44</v>
      </c>
      <c r="F210" t="s">
        <v>19</v>
      </c>
      <c r="G210" t="s">
        <v>20</v>
      </c>
      <c r="H210" t="s">
        <v>30</v>
      </c>
      <c r="I210">
        <v>8</v>
      </c>
      <c r="J210" s="2">
        <v>7512</v>
      </c>
      <c r="K210" t="s">
        <v>42</v>
      </c>
      <c r="L210">
        <v>3</v>
      </c>
      <c r="M210">
        <v>3</v>
      </c>
      <c r="N210">
        <v>3</v>
      </c>
      <c r="O210">
        <v>1</v>
      </c>
      <c r="P210">
        <v>10</v>
      </c>
      <c r="Q210" t="s">
        <v>22</v>
      </c>
      <c r="R210" t="str" cm="1">
        <f t="array" ref="R210">_xlfn.IFS(N210&lt;=1,"0-1 yrs",N210&lt;=4,"2-4 yrs",N210&lt;=9,"5-9 yrs",N210&gt;9,"10+ yrs")</f>
        <v>2-4 yrs</v>
      </c>
      <c r="S210" t="str" cm="1">
        <f t="array" ref="S210">_xlfn.IFS(B210&lt;=25,"20-25",B210&lt;=35,"26-35",B210&lt;=45,"36-45",B210&gt;45,"46+")</f>
        <v>26-35</v>
      </c>
      <c r="T210" t="str" cm="1">
        <f t="array" ref="T210">_xlfn.IFS(J210&lt;3500,"&lt;3.5K",J210&lt;5500,"3.5-5.5K",J210&lt;7500,"5.5-7.5K",J210&gt;=7500,"7.5K+")</f>
        <v>7.5K+</v>
      </c>
      <c r="U210">
        <f t="shared" si="3"/>
        <v>0</v>
      </c>
    </row>
    <row r="211" spans="1:21" x14ac:dyDescent="0.25">
      <c r="A211">
        <v>1869</v>
      </c>
      <c r="B211">
        <v>24</v>
      </c>
      <c r="C211" t="s">
        <v>16</v>
      </c>
      <c r="D211" t="s">
        <v>17</v>
      </c>
      <c r="E211" t="s">
        <v>18</v>
      </c>
      <c r="F211" t="s">
        <v>36</v>
      </c>
      <c r="G211" t="s">
        <v>20</v>
      </c>
      <c r="H211" t="s">
        <v>34</v>
      </c>
      <c r="I211">
        <v>19</v>
      </c>
      <c r="J211" s="2">
        <v>10858</v>
      </c>
      <c r="K211" t="s">
        <v>22</v>
      </c>
      <c r="L211">
        <v>2</v>
      </c>
      <c r="M211">
        <v>2</v>
      </c>
      <c r="N211">
        <v>0</v>
      </c>
      <c r="O211">
        <v>0</v>
      </c>
      <c r="P211">
        <v>0</v>
      </c>
      <c r="Q211" t="s">
        <v>42</v>
      </c>
      <c r="R211" t="str" cm="1">
        <f t="array" ref="R211">_xlfn.IFS(N211&lt;=1,"0-1 yrs",N211&lt;=4,"2-4 yrs",N211&lt;=9,"5-9 yrs",N211&gt;9,"10+ yrs")</f>
        <v>0-1 yrs</v>
      </c>
      <c r="S211" t="str" cm="1">
        <f t="array" ref="S211">_xlfn.IFS(B211&lt;=25,"20-25",B211&lt;=35,"26-35",B211&lt;=45,"36-45",B211&gt;45,"46+")</f>
        <v>20-25</v>
      </c>
      <c r="T211" t="str" cm="1">
        <f t="array" ref="T211">_xlfn.IFS(J211&lt;3500,"&lt;3.5K",J211&lt;5500,"3.5-5.5K",J211&lt;7500,"5.5-7.5K",J211&gt;=7500,"7.5K+")</f>
        <v>7.5K+</v>
      </c>
      <c r="U211">
        <f t="shared" si="3"/>
        <v>1</v>
      </c>
    </row>
    <row r="212" spans="1:21" x14ac:dyDescent="0.25">
      <c r="A212">
        <v>1838</v>
      </c>
      <c r="B212">
        <v>28</v>
      </c>
      <c r="C212" t="s">
        <v>23</v>
      </c>
      <c r="D212" t="s">
        <v>17</v>
      </c>
      <c r="E212" t="s">
        <v>35</v>
      </c>
      <c r="F212" t="s">
        <v>19</v>
      </c>
      <c r="G212" t="s">
        <v>37</v>
      </c>
      <c r="H212" t="s">
        <v>30</v>
      </c>
      <c r="I212">
        <v>8</v>
      </c>
      <c r="J212" s="2">
        <v>7281</v>
      </c>
      <c r="K212" t="s">
        <v>22</v>
      </c>
      <c r="L212">
        <v>2</v>
      </c>
      <c r="M212">
        <v>1</v>
      </c>
      <c r="N212">
        <v>2</v>
      </c>
      <c r="O212">
        <v>0</v>
      </c>
      <c r="P212">
        <v>3</v>
      </c>
      <c r="Q212" t="s">
        <v>42</v>
      </c>
      <c r="R212" t="str" cm="1">
        <f t="array" ref="R212">_xlfn.IFS(N212&lt;=1,"0-1 yrs",N212&lt;=4,"2-4 yrs",N212&lt;=9,"5-9 yrs",N212&gt;9,"10+ yrs")</f>
        <v>2-4 yrs</v>
      </c>
      <c r="S212" t="str" cm="1">
        <f t="array" ref="S212">_xlfn.IFS(B212&lt;=25,"20-25",B212&lt;=35,"26-35",B212&lt;=45,"36-45",B212&gt;45,"46+")</f>
        <v>26-35</v>
      </c>
      <c r="T212" t="str" cm="1">
        <f t="array" ref="T212">_xlfn.IFS(J212&lt;3500,"&lt;3.5K",J212&lt;5500,"3.5-5.5K",J212&lt;7500,"5.5-7.5K",J212&gt;=7500,"7.5K+")</f>
        <v>5.5-7.5K</v>
      </c>
      <c r="U212">
        <f t="shared" si="3"/>
        <v>1</v>
      </c>
    </row>
    <row r="213" spans="1:21" x14ac:dyDescent="0.25">
      <c r="A213">
        <v>1701</v>
      </c>
      <c r="B213">
        <v>42</v>
      </c>
      <c r="C213" t="s">
        <v>23</v>
      </c>
      <c r="D213" t="s">
        <v>17</v>
      </c>
      <c r="E213" t="s">
        <v>35</v>
      </c>
      <c r="F213" t="s">
        <v>29</v>
      </c>
      <c r="G213" t="s">
        <v>37</v>
      </c>
      <c r="H213" t="s">
        <v>34</v>
      </c>
      <c r="I213">
        <v>1</v>
      </c>
      <c r="J213" s="2">
        <v>7374</v>
      </c>
      <c r="K213" t="s">
        <v>42</v>
      </c>
      <c r="L213">
        <v>3</v>
      </c>
      <c r="M213">
        <v>1</v>
      </c>
      <c r="N213">
        <v>8</v>
      </c>
      <c r="O213">
        <v>0</v>
      </c>
      <c r="P213">
        <v>11</v>
      </c>
      <c r="Q213" t="s">
        <v>22</v>
      </c>
      <c r="R213" t="str" cm="1">
        <f t="array" ref="R213">_xlfn.IFS(N213&lt;=1,"0-1 yrs",N213&lt;=4,"2-4 yrs",N213&lt;=9,"5-9 yrs",N213&gt;9,"10+ yrs")</f>
        <v>5-9 yrs</v>
      </c>
      <c r="S213" t="str" cm="1">
        <f t="array" ref="S213">_xlfn.IFS(B213&lt;=25,"20-25",B213&lt;=35,"26-35",B213&lt;=45,"36-45",B213&gt;45,"46+")</f>
        <v>36-45</v>
      </c>
      <c r="T213" t="str" cm="1">
        <f t="array" ref="T213">_xlfn.IFS(J213&lt;3500,"&lt;3.5K",J213&lt;5500,"3.5-5.5K",J213&lt;7500,"5.5-7.5K",J213&gt;=7500,"7.5K+")</f>
        <v>5.5-7.5K</v>
      </c>
      <c r="U213">
        <f t="shared" si="3"/>
        <v>0</v>
      </c>
    </row>
    <row r="214" spans="1:21" x14ac:dyDescent="0.25">
      <c r="A214">
        <v>1450</v>
      </c>
      <c r="B214">
        <v>51</v>
      </c>
      <c r="C214" t="s">
        <v>23</v>
      </c>
      <c r="D214" t="s">
        <v>24</v>
      </c>
      <c r="E214" t="s">
        <v>25</v>
      </c>
      <c r="F214" t="s">
        <v>29</v>
      </c>
      <c r="G214" t="s">
        <v>37</v>
      </c>
      <c r="H214" t="s">
        <v>30</v>
      </c>
      <c r="I214">
        <v>26</v>
      </c>
      <c r="J214" s="2">
        <v>13816</v>
      </c>
      <c r="K214" t="s">
        <v>22</v>
      </c>
      <c r="L214">
        <v>2</v>
      </c>
      <c r="M214">
        <v>2</v>
      </c>
      <c r="N214">
        <v>5</v>
      </c>
      <c r="O214">
        <v>0</v>
      </c>
      <c r="P214">
        <v>17</v>
      </c>
      <c r="Q214" t="s">
        <v>22</v>
      </c>
      <c r="R214" t="str" cm="1">
        <f t="array" ref="R214">_xlfn.IFS(N214&lt;=1,"0-1 yrs",N214&lt;=4,"2-4 yrs",N214&lt;=9,"5-9 yrs",N214&gt;9,"10+ yrs")</f>
        <v>5-9 yrs</v>
      </c>
      <c r="S214" t="str" cm="1">
        <f t="array" ref="S214">_xlfn.IFS(B214&lt;=25,"20-25",B214&lt;=35,"26-35",B214&lt;=45,"36-45",B214&gt;45,"46+")</f>
        <v>46+</v>
      </c>
      <c r="T214" t="str" cm="1">
        <f t="array" ref="T214">_xlfn.IFS(J214&lt;3500,"&lt;3.5K",J214&lt;5500,"3.5-5.5K",J214&lt;7500,"5.5-7.5K",J214&gt;=7500,"7.5K+")</f>
        <v>7.5K+</v>
      </c>
      <c r="U214">
        <f t="shared" si="3"/>
        <v>0</v>
      </c>
    </row>
    <row r="215" spans="1:21" x14ac:dyDescent="0.25">
      <c r="A215">
        <v>1994</v>
      </c>
      <c r="B215">
        <v>33</v>
      </c>
      <c r="C215" t="s">
        <v>16</v>
      </c>
      <c r="D215" t="s">
        <v>17</v>
      </c>
      <c r="E215" t="s">
        <v>40</v>
      </c>
      <c r="F215" t="s">
        <v>36</v>
      </c>
      <c r="G215" t="s">
        <v>37</v>
      </c>
      <c r="H215" t="s">
        <v>30</v>
      </c>
      <c r="I215">
        <v>12</v>
      </c>
      <c r="J215" s="2">
        <v>9587</v>
      </c>
      <c r="K215" t="s">
        <v>22</v>
      </c>
      <c r="L215">
        <v>4</v>
      </c>
      <c r="M215">
        <v>1</v>
      </c>
      <c r="N215">
        <v>1</v>
      </c>
      <c r="O215">
        <v>0</v>
      </c>
      <c r="P215">
        <v>12</v>
      </c>
      <c r="Q215" t="s">
        <v>22</v>
      </c>
      <c r="R215" t="str" cm="1">
        <f t="array" ref="R215">_xlfn.IFS(N215&lt;=1,"0-1 yrs",N215&lt;=4,"2-4 yrs",N215&lt;=9,"5-9 yrs",N215&gt;9,"10+ yrs")</f>
        <v>0-1 yrs</v>
      </c>
      <c r="S215" t="str" cm="1">
        <f t="array" ref="S215">_xlfn.IFS(B215&lt;=25,"20-25",B215&lt;=35,"26-35",B215&lt;=45,"36-45",B215&gt;45,"46+")</f>
        <v>26-35</v>
      </c>
      <c r="T215" t="str" cm="1">
        <f t="array" ref="T215">_xlfn.IFS(J215&lt;3500,"&lt;3.5K",J215&lt;5500,"3.5-5.5K",J215&lt;7500,"5.5-7.5K",J215&gt;=7500,"7.5K+")</f>
        <v>7.5K+</v>
      </c>
      <c r="U215">
        <f t="shared" si="3"/>
        <v>0</v>
      </c>
    </row>
    <row r="216" spans="1:21" x14ac:dyDescent="0.25">
      <c r="A216">
        <v>1458</v>
      </c>
      <c r="B216">
        <v>44</v>
      </c>
      <c r="C216" t="s">
        <v>23</v>
      </c>
      <c r="D216" t="s">
        <v>24</v>
      </c>
      <c r="E216" t="s">
        <v>46</v>
      </c>
      <c r="F216" t="s">
        <v>36</v>
      </c>
      <c r="G216" t="s">
        <v>20</v>
      </c>
      <c r="H216" t="s">
        <v>30</v>
      </c>
      <c r="I216">
        <v>14</v>
      </c>
      <c r="J216" s="2">
        <v>10694</v>
      </c>
      <c r="K216" t="s">
        <v>22</v>
      </c>
      <c r="L216">
        <v>4</v>
      </c>
      <c r="M216">
        <v>3</v>
      </c>
      <c r="N216">
        <v>9</v>
      </c>
      <c r="O216">
        <v>7</v>
      </c>
      <c r="P216">
        <v>18</v>
      </c>
      <c r="Q216" t="s">
        <v>22</v>
      </c>
      <c r="R216" t="str" cm="1">
        <f t="array" ref="R216">_xlfn.IFS(N216&lt;=1,"0-1 yrs",N216&lt;=4,"2-4 yrs",N216&lt;=9,"5-9 yrs",N216&gt;9,"10+ yrs")</f>
        <v>5-9 yrs</v>
      </c>
      <c r="S216" t="str" cm="1">
        <f t="array" ref="S216">_xlfn.IFS(B216&lt;=25,"20-25",B216&lt;=35,"26-35",B216&lt;=45,"36-45",B216&gt;45,"46+")</f>
        <v>36-45</v>
      </c>
      <c r="T216" t="str" cm="1">
        <f t="array" ref="T216">_xlfn.IFS(J216&lt;3500,"&lt;3.5K",J216&lt;5500,"3.5-5.5K",J216&lt;7500,"5.5-7.5K",J216&gt;=7500,"7.5K+")</f>
        <v>7.5K+</v>
      </c>
      <c r="U216">
        <f t="shared" si="3"/>
        <v>0</v>
      </c>
    </row>
    <row r="217" spans="1:21" x14ac:dyDescent="0.25">
      <c r="A217">
        <v>1689</v>
      </c>
      <c r="B217">
        <v>33</v>
      </c>
      <c r="C217" t="s">
        <v>16</v>
      </c>
      <c r="D217" t="s">
        <v>24</v>
      </c>
      <c r="E217" t="s">
        <v>25</v>
      </c>
      <c r="F217" t="s">
        <v>26</v>
      </c>
      <c r="G217" t="s">
        <v>33</v>
      </c>
      <c r="H217" t="s">
        <v>30</v>
      </c>
      <c r="I217">
        <v>10</v>
      </c>
      <c r="J217" s="2">
        <v>10337</v>
      </c>
      <c r="K217" t="s">
        <v>22</v>
      </c>
      <c r="L217">
        <v>3</v>
      </c>
      <c r="M217">
        <v>1</v>
      </c>
      <c r="N217">
        <v>9</v>
      </c>
      <c r="O217">
        <v>0</v>
      </c>
      <c r="P217">
        <v>13</v>
      </c>
      <c r="Q217" t="s">
        <v>22</v>
      </c>
      <c r="R217" t="str" cm="1">
        <f t="array" ref="R217">_xlfn.IFS(N217&lt;=1,"0-1 yrs",N217&lt;=4,"2-4 yrs",N217&lt;=9,"5-9 yrs",N217&gt;9,"10+ yrs")</f>
        <v>5-9 yrs</v>
      </c>
      <c r="S217" t="str" cm="1">
        <f t="array" ref="S217">_xlfn.IFS(B217&lt;=25,"20-25",B217&lt;=35,"26-35",B217&lt;=45,"36-45",B217&gt;45,"46+")</f>
        <v>26-35</v>
      </c>
      <c r="T217" t="str" cm="1">
        <f t="array" ref="T217">_xlfn.IFS(J217&lt;3500,"&lt;3.5K",J217&lt;5500,"3.5-5.5K",J217&lt;7500,"5.5-7.5K",J217&gt;=7500,"7.5K+")</f>
        <v>7.5K+</v>
      </c>
      <c r="U217">
        <f t="shared" si="3"/>
        <v>0</v>
      </c>
    </row>
    <row r="218" spans="1:21" x14ac:dyDescent="0.25">
      <c r="A218">
        <v>1748</v>
      </c>
      <c r="B218">
        <v>48</v>
      </c>
      <c r="C218" t="s">
        <v>23</v>
      </c>
      <c r="D218" t="s">
        <v>27</v>
      </c>
      <c r="E218" t="s">
        <v>31</v>
      </c>
      <c r="F218" t="s">
        <v>29</v>
      </c>
      <c r="G218" t="s">
        <v>37</v>
      </c>
      <c r="H218" t="s">
        <v>21</v>
      </c>
      <c r="I218">
        <v>16</v>
      </c>
      <c r="J218" s="2">
        <v>10118</v>
      </c>
      <c r="K218" t="s">
        <v>42</v>
      </c>
      <c r="L218">
        <v>2</v>
      </c>
      <c r="M218">
        <v>3</v>
      </c>
      <c r="N218">
        <v>2</v>
      </c>
      <c r="O218">
        <v>2</v>
      </c>
      <c r="P218">
        <v>19</v>
      </c>
      <c r="Q218" t="s">
        <v>42</v>
      </c>
      <c r="R218" t="str" cm="1">
        <f t="array" ref="R218">_xlfn.IFS(N218&lt;=1,"0-1 yrs",N218&lt;=4,"2-4 yrs",N218&lt;=9,"5-9 yrs",N218&gt;9,"10+ yrs")</f>
        <v>2-4 yrs</v>
      </c>
      <c r="S218" t="str" cm="1">
        <f t="array" ref="S218">_xlfn.IFS(B218&lt;=25,"20-25",B218&lt;=35,"26-35",B218&lt;=45,"36-45",B218&gt;45,"46+")</f>
        <v>46+</v>
      </c>
      <c r="T218" t="str" cm="1">
        <f t="array" ref="T218">_xlfn.IFS(J218&lt;3500,"&lt;3.5K",J218&lt;5500,"3.5-5.5K",J218&lt;7500,"5.5-7.5K",J218&gt;=7500,"7.5K+")</f>
        <v>7.5K+</v>
      </c>
      <c r="U218">
        <f t="shared" si="3"/>
        <v>1</v>
      </c>
    </row>
    <row r="219" spans="1:21" x14ac:dyDescent="0.25">
      <c r="A219">
        <v>1349</v>
      </c>
      <c r="B219">
        <v>55</v>
      </c>
      <c r="C219" t="s">
        <v>23</v>
      </c>
      <c r="D219" t="s">
        <v>24</v>
      </c>
      <c r="E219" t="s">
        <v>46</v>
      </c>
      <c r="F219" t="s">
        <v>29</v>
      </c>
      <c r="G219" t="s">
        <v>33</v>
      </c>
      <c r="H219" t="s">
        <v>30</v>
      </c>
      <c r="I219">
        <v>16</v>
      </c>
      <c r="J219" s="2">
        <v>11169</v>
      </c>
      <c r="K219" t="s">
        <v>22</v>
      </c>
      <c r="L219">
        <v>2</v>
      </c>
      <c r="M219">
        <v>4</v>
      </c>
      <c r="N219">
        <v>16</v>
      </c>
      <c r="O219">
        <v>13</v>
      </c>
      <c r="P219">
        <v>29</v>
      </c>
      <c r="Q219" t="s">
        <v>22</v>
      </c>
      <c r="R219" t="str" cm="1">
        <f t="array" ref="R219">_xlfn.IFS(N219&lt;=1,"0-1 yrs",N219&lt;=4,"2-4 yrs",N219&lt;=9,"5-9 yrs",N219&gt;9,"10+ yrs")</f>
        <v>10+ yrs</v>
      </c>
      <c r="S219" t="str" cm="1">
        <f t="array" ref="S219">_xlfn.IFS(B219&lt;=25,"20-25",B219&lt;=35,"26-35",B219&lt;=45,"36-45",B219&gt;45,"46+")</f>
        <v>46+</v>
      </c>
      <c r="T219" t="str" cm="1">
        <f t="array" ref="T219">_xlfn.IFS(J219&lt;3500,"&lt;3.5K",J219&lt;5500,"3.5-5.5K",J219&lt;7500,"5.5-7.5K",J219&gt;=7500,"7.5K+")</f>
        <v>7.5K+</v>
      </c>
      <c r="U219">
        <f t="shared" si="3"/>
        <v>0</v>
      </c>
    </row>
    <row r="220" spans="1:21" x14ac:dyDescent="0.25">
      <c r="A220">
        <v>1058</v>
      </c>
      <c r="B220">
        <v>25</v>
      </c>
      <c r="C220" t="s">
        <v>16</v>
      </c>
      <c r="D220" t="s">
        <v>24</v>
      </c>
      <c r="E220" t="s">
        <v>45</v>
      </c>
      <c r="F220" t="s">
        <v>38</v>
      </c>
      <c r="G220" t="s">
        <v>20</v>
      </c>
      <c r="H220" t="s">
        <v>21</v>
      </c>
      <c r="I220">
        <v>23</v>
      </c>
      <c r="J220" s="2">
        <v>8612</v>
      </c>
      <c r="K220" t="s">
        <v>22</v>
      </c>
      <c r="L220">
        <v>1</v>
      </c>
      <c r="M220">
        <v>2</v>
      </c>
      <c r="N220">
        <v>0</v>
      </c>
      <c r="O220">
        <v>0</v>
      </c>
      <c r="P220">
        <v>2</v>
      </c>
      <c r="Q220" t="s">
        <v>42</v>
      </c>
      <c r="R220" t="str" cm="1">
        <f t="array" ref="R220">_xlfn.IFS(N220&lt;=1,"0-1 yrs",N220&lt;=4,"2-4 yrs",N220&lt;=9,"5-9 yrs",N220&gt;9,"10+ yrs")</f>
        <v>0-1 yrs</v>
      </c>
      <c r="S220" t="str" cm="1">
        <f t="array" ref="S220">_xlfn.IFS(B220&lt;=25,"20-25",B220&lt;=35,"26-35",B220&lt;=45,"36-45",B220&gt;45,"46+")</f>
        <v>20-25</v>
      </c>
      <c r="T220" t="str" cm="1">
        <f t="array" ref="T220">_xlfn.IFS(J220&lt;3500,"&lt;3.5K",J220&lt;5500,"3.5-5.5K",J220&lt;7500,"5.5-7.5K",J220&gt;=7500,"7.5K+")</f>
        <v>7.5K+</v>
      </c>
      <c r="U220">
        <f t="shared" si="3"/>
        <v>1</v>
      </c>
    </row>
    <row r="221" spans="1:21" x14ac:dyDescent="0.25">
      <c r="A221">
        <v>1063</v>
      </c>
      <c r="B221">
        <v>41</v>
      </c>
      <c r="C221" t="s">
        <v>16</v>
      </c>
      <c r="D221" t="s">
        <v>24</v>
      </c>
      <c r="E221" t="s">
        <v>46</v>
      </c>
      <c r="F221" t="s">
        <v>32</v>
      </c>
      <c r="G221" t="s">
        <v>37</v>
      </c>
      <c r="H221" t="s">
        <v>34</v>
      </c>
      <c r="I221">
        <v>22</v>
      </c>
      <c r="J221" s="2">
        <v>7160</v>
      </c>
      <c r="K221" t="s">
        <v>42</v>
      </c>
      <c r="L221">
        <v>1</v>
      </c>
      <c r="M221">
        <v>1</v>
      </c>
      <c r="N221">
        <v>12</v>
      </c>
      <c r="O221">
        <v>5</v>
      </c>
      <c r="P221">
        <v>21</v>
      </c>
      <c r="Q221" t="s">
        <v>22</v>
      </c>
      <c r="R221" t="str" cm="1">
        <f t="array" ref="R221">_xlfn.IFS(N221&lt;=1,"0-1 yrs",N221&lt;=4,"2-4 yrs",N221&lt;=9,"5-9 yrs",N221&gt;9,"10+ yrs")</f>
        <v>10+ yrs</v>
      </c>
      <c r="S221" t="str" cm="1">
        <f t="array" ref="S221">_xlfn.IFS(B221&lt;=25,"20-25",B221&lt;=35,"26-35",B221&lt;=45,"36-45",B221&gt;45,"46+")</f>
        <v>36-45</v>
      </c>
      <c r="T221" t="str" cm="1">
        <f t="array" ref="T221">_xlfn.IFS(J221&lt;3500,"&lt;3.5K",J221&lt;5500,"3.5-5.5K",J221&lt;7500,"5.5-7.5K",J221&gt;=7500,"7.5K+")</f>
        <v>5.5-7.5K</v>
      </c>
      <c r="U221">
        <f t="shared" si="3"/>
        <v>0</v>
      </c>
    </row>
    <row r="222" spans="1:21" x14ac:dyDescent="0.25">
      <c r="A222">
        <v>1200</v>
      </c>
      <c r="B222">
        <v>27</v>
      </c>
      <c r="C222" t="s">
        <v>23</v>
      </c>
      <c r="D222" t="s">
        <v>38</v>
      </c>
      <c r="E222" t="s">
        <v>39</v>
      </c>
      <c r="F222" t="s">
        <v>19</v>
      </c>
      <c r="G222" t="s">
        <v>33</v>
      </c>
      <c r="H222" t="s">
        <v>21</v>
      </c>
      <c r="I222">
        <v>26</v>
      </c>
      <c r="J222" s="2">
        <v>5760</v>
      </c>
      <c r="K222" t="s">
        <v>22</v>
      </c>
      <c r="L222">
        <v>4</v>
      </c>
      <c r="M222">
        <v>3</v>
      </c>
      <c r="N222">
        <v>0</v>
      </c>
      <c r="O222">
        <v>0</v>
      </c>
      <c r="P222">
        <v>5</v>
      </c>
      <c r="Q222" t="s">
        <v>22</v>
      </c>
      <c r="R222" t="str" cm="1">
        <f t="array" ref="R222">_xlfn.IFS(N222&lt;=1,"0-1 yrs",N222&lt;=4,"2-4 yrs",N222&lt;=9,"5-9 yrs",N222&gt;9,"10+ yrs")</f>
        <v>0-1 yrs</v>
      </c>
      <c r="S222" t="str" cm="1">
        <f t="array" ref="S222">_xlfn.IFS(B222&lt;=25,"20-25",B222&lt;=35,"26-35",B222&lt;=45,"36-45",B222&gt;45,"46+")</f>
        <v>26-35</v>
      </c>
      <c r="T222" t="str" cm="1">
        <f t="array" ref="T222">_xlfn.IFS(J222&lt;3500,"&lt;3.5K",J222&lt;5500,"3.5-5.5K",J222&lt;7500,"5.5-7.5K",J222&gt;=7500,"7.5K+")</f>
        <v>5.5-7.5K</v>
      </c>
      <c r="U222">
        <f t="shared" si="3"/>
        <v>0</v>
      </c>
    </row>
    <row r="223" spans="1:21" x14ac:dyDescent="0.25">
      <c r="A223">
        <v>1690</v>
      </c>
      <c r="B223">
        <v>46</v>
      </c>
      <c r="C223" t="s">
        <v>16</v>
      </c>
      <c r="D223" t="s">
        <v>24</v>
      </c>
      <c r="E223" t="s">
        <v>45</v>
      </c>
      <c r="F223" t="s">
        <v>29</v>
      </c>
      <c r="G223" t="s">
        <v>33</v>
      </c>
      <c r="H223" t="s">
        <v>30</v>
      </c>
      <c r="I223">
        <v>12</v>
      </c>
      <c r="J223" s="2">
        <v>9536</v>
      </c>
      <c r="K223" t="s">
        <v>22</v>
      </c>
      <c r="L223">
        <v>1</v>
      </c>
      <c r="M223">
        <v>2</v>
      </c>
      <c r="N223">
        <v>17</v>
      </c>
      <c r="O223">
        <v>13</v>
      </c>
      <c r="P223">
        <v>18</v>
      </c>
      <c r="Q223" t="s">
        <v>42</v>
      </c>
      <c r="R223" t="str" cm="1">
        <f t="array" ref="R223">_xlfn.IFS(N223&lt;=1,"0-1 yrs",N223&lt;=4,"2-4 yrs",N223&lt;=9,"5-9 yrs",N223&gt;9,"10+ yrs")</f>
        <v>10+ yrs</v>
      </c>
      <c r="S223" t="str" cm="1">
        <f t="array" ref="S223">_xlfn.IFS(B223&lt;=25,"20-25",B223&lt;=35,"26-35",B223&lt;=45,"36-45",B223&gt;45,"46+")</f>
        <v>46+</v>
      </c>
      <c r="T223" t="str" cm="1">
        <f t="array" ref="T223">_xlfn.IFS(J223&lt;3500,"&lt;3.5K",J223&lt;5500,"3.5-5.5K",J223&lt;7500,"5.5-7.5K",J223&gt;=7500,"7.5K+")</f>
        <v>7.5K+</v>
      </c>
      <c r="U223">
        <f t="shared" si="3"/>
        <v>1</v>
      </c>
    </row>
    <row r="224" spans="1:21" x14ac:dyDescent="0.25">
      <c r="A224">
        <v>1618</v>
      </c>
      <c r="B224">
        <v>44</v>
      </c>
      <c r="C224" t="s">
        <v>23</v>
      </c>
      <c r="D224" t="s">
        <v>27</v>
      </c>
      <c r="E224" t="s">
        <v>43</v>
      </c>
      <c r="F224" t="s">
        <v>29</v>
      </c>
      <c r="G224" t="s">
        <v>37</v>
      </c>
      <c r="H224" t="s">
        <v>21</v>
      </c>
      <c r="I224">
        <v>2</v>
      </c>
      <c r="J224" s="2">
        <v>9966</v>
      </c>
      <c r="K224" t="s">
        <v>42</v>
      </c>
      <c r="L224">
        <v>3</v>
      </c>
      <c r="M224">
        <v>4</v>
      </c>
      <c r="N224">
        <v>5</v>
      </c>
      <c r="O224">
        <v>0</v>
      </c>
      <c r="P224">
        <v>24</v>
      </c>
      <c r="Q224" t="s">
        <v>42</v>
      </c>
      <c r="R224" t="str" cm="1">
        <f t="array" ref="R224">_xlfn.IFS(N224&lt;=1,"0-1 yrs",N224&lt;=4,"2-4 yrs",N224&lt;=9,"5-9 yrs",N224&gt;9,"10+ yrs")</f>
        <v>5-9 yrs</v>
      </c>
      <c r="S224" t="str" cm="1">
        <f t="array" ref="S224">_xlfn.IFS(B224&lt;=25,"20-25",B224&lt;=35,"26-35",B224&lt;=45,"36-45",B224&gt;45,"46+")</f>
        <v>36-45</v>
      </c>
      <c r="T224" t="str" cm="1">
        <f t="array" ref="T224">_xlfn.IFS(J224&lt;3500,"&lt;3.5K",J224&lt;5500,"3.5-5.5K",J224&lt;7500,"5.5-7.5K",J224&gt;=7500,"7.5K+")</f>
        <v>7.5K+</v>
      </c>
      <c r="U224">
        <f t="shared" si="3"/>
        <v>1</v>
      </c>
    </row>
    <row r="225" spans="1:21" x14ac:dyDescent="0.25">
      <c r="A225">
        <v>1377</v>
      </c>
      <c r="B225">
        <v>42</v>
      </c>
      <c r="C225" t="s">
        <v>16</v>
      </c>
      <c r="D225" t="s">
        <v>24</v>
      </c>
      <c r="E225" t="s">
        <v>25</v>
      </c>
      <c r="F225" t="s">
        <v>36</v>
      </c>
      <c r="G225" t="s">
        <v>20</v>
      </c>
      <c r="H225" t="s">
        <v>30</v>
      </c>
      <c r="I225">
        <v>13</v>
      </c>
      <c r="J225" s="2">
        <v>13021</v>
      </c>
      <c r="K225" t="s">
        <v>22</v>
      </c>
      <c r="L225">
        <v>4</v>
      </c>
      <c r="M225">
        <v>2</v>
      </c>
      <c r="N225">
        <v>0</v>
      </c>
      <c r="O225">
        <v>0</v>
      </c>
      <c r="P225">
        <v>20</v>
      </c>
      <c r="Q225" t="s">
        <v>42</v>
      </c>
      <c r="R225" t="str" cm="1">
        <f t="array" ref="R225">_xlfn.IFS(N225&lt;=1,"0-1 yrs",N225&lt;=4,"2-4 yrs",N225&lt;=9,"5-9 yrs",N225&gt;9,"10+ yrs")</f>
        <v>0-1 yrs</v>
      </c>
      <c r="S225" t="str" cm="1">
        <f t="array" ref="S225">_xlfn.IFS(B225&lt;=25,"20-25",B225&lt;=35,"26-35",B225&lt;=45,"36-45",B225&gt;45,"46+")</f>
        <v>36-45</v>
      </c>
      <c r="T225" t="str" cm="1">
        <f t="array" ref="T225">_xlfn.IFS(J225&lt;3500,"&lt;3.5K",J225&lt;5500,"3.5-5.5K",J225&lt;7500,"5.5-7.5K",J225&gt;=7500,"7.5K+")</f>
        <v>7.5K+</v>
      </c>
      <c r="U225">
        <f t="shared" si="3"/>
        <v>1</v>
      </c>
    </row>
    <row r="226" spans="1:21" x14ac:dyDescent="0.25">
      <c r="A226">
        <v>1317</v>
      </c>
      <c r="B226">
        <v>51</v>
      </c>
      <c r="C226" t="s">
        <v>16</v>
      </c>
      <c r="D226" t="s">
        <v>24</v>
      </c>
      <c r="E226" t="s">
        <v>25</v>
      </c>
      <c r="F226" t="s">
        <v>26</v>
      </c>
      <c r="G226" t="s">
        <v>37</v>
      </c>
      <c r="H226" t="s">
        <v>34</v>
      </c>
      <c r="I226">
        <v>27</v>
      </c>
      <c r="J226" s="2">
        <v>15311</v>
      </c>
      <c r="K226" t="s">
        <v>42</v>
      </c>
      <c r="L226">
        <v>1</v>
      </c>
      <c r="M226">
        <v>2</v>
      </c>
      <c r="N226">
        <v>18</v>
      </c>
      <c r="O226">
        <v>1</v>
      </c>
      <c r="P226">
        <v>25</v>
      </c>
      <c r="Q226" t="s">
        <v>42</v>
      </c>
      <c r="R226" t="str" cm="1">
        <f t="array" ref="R226">_xlfn.IFS(N226&lt;=1,"0-1 yrs",N226&lt;=4,"2-4 yrs",N226&lt;=9,"5-9 yrs",N226&gt;9,"10+ yrs")</f>
        <v>10+ yrs</v>
      </c>
      <c r="S226" t="str" cm="1">
        <f t="array" ref="S226">_xlfn.IFS(B226&lt;=25,"20-25",B226&lt;=35,"26-35",B226&lt;=45,"36-45",B226&gt;45,"46+")</f>
        <v>46+</v>
      </c>
      <c r="T226" t="str" cm="1">
        <f t="array" ref="T226">_xlfn.IFS(J226&lt;3500,"&lt;3.5K",J226&lt;5500,"3.5-5.5K",J226&lt;7500,"5.5-7.5K",J226&gt;=7500,"7.5K+")</f>
        <v>7.5K+</v>
      </c>
      <c r="U226">
        <f t="shared" si="3"/>
        <v>1</v>
      </c>
    </row>
    <row r="227" spans="1:21" x14ac:dyDescent="0.25">
      <c r="A227">
        <v>1134</v>
      </c>
      <c r="B227">
        <v>38</v>
      </c>
      <c r="C227" t="s">
        <v>16</v>
      </c>
      <c r="D227" t="s">
        <v>24</v>
      </c>
      <c r="E227" t="s">
        <v>25</v>
      </c>
      <c r="F227" t="s">
        <v>41</v>
      </c>
      <c r="G227" t="s">
        <v>37</v>
      </c>
      <c r="H227" t="s">
        <v>21</v>
      </c>
      <c r="I227">
        <v>23</v>
      </c>
      <c r="J227" s="2">
        <v>13798</v>
      </c>
      <c r="K227" t="s">
        <v>42</v>
      </c>
      <c r="L227">
        <v>2</v>
      </c>
      <c r="M227">
        <v>3</v>
      </c>
      <c r="N227">
        <v>12</v>
      </c>
      <c r="O227">
        <v>6</v>
      </c>
      <c r="P227">
        <v>18</v>
      </c>
      <c r="Q227" t="s">
        <v>42</v>
      </c>
      <c r="R227" t="str" cm="1">
        <f t="array" ref="R227">_xlfn.IFS(N227&lt;=1,"0-1 yrs",N227&lt;=4,"2-4 yrs",N227&lt;=9,"5-9 yrs",N227&gt;9,"10+ yrs")</f>
        <v>10+ yrs</v>
      </c>
      <c r="S227" t="str" cm="1">
        <f t="array" ref="S227">_xlfn.IFS(B227&lt;=25,"20-25",B227&lt;=35,"26-35",B227&lt;=45,"36-45",B227&gt;45,"46+")</f>
        <v>36-45</v>
      </c>
      <c r="T227" t="str" cm="1">
        <f t="array" ref="T227">_xlfn.IFS(J227&lt;3500,"&lt;3.5K",J227&lt;5500,"3.5-5.5K",J227&lt;7500,"5.5-7.5K",J227&gt;=7500,"7.5K+")</f>
        <v>7.5K+</v>
      </c>
      <c r="U227">
        <f t="shared" si="3"/>
        <v>1</v>
      </c>
    </row>
    <row r="228" spans="1:21" x14ac:dyDescent="0.25">
      <c r="A228">
        <v>1343</v>
      </c>
      <c r="B228">
        <v>44</v>
      </c>
      <c r="C228" t="s">
        <v>16</v>
      </c>
      <c r="D228" t="s">
        <v>38</v>
      </c>
      <c r="E228" t="s">
        <v>39</v>
      </c>
      <c r="F228" t="s">
        <v>29</v>
      </c>
      <c r="G228" t="s">
        <v>33</v>
      </c>
      <c r="H228" t="s">
        <v>30</v>
      </c>
      <c r="I228">
        <v>2</v>
      </c>
      <c r="J228" s="2">
        <v>5399</v>
      </c>
      <c r="K228" t="s">
        <v>42</v>
      </c>
      <c r="L228">
        <v>4</v>
      </c>
      <c r="M228">
        <v>4</v>
      </c>
      <c r="N228">
        <v>8</v>
      </c>
      <c r="O228">
        <v>5</v>
      </c>
      <c r="P228">
        <v>21</v>
      </c>
      <c r="Q228" t="s">
        <v>22</v>
      </c>
      <c r="R228" t="str" cm="1">
        <f t="array" ref="R228">_xlfn.IFS(N228&lt;=1,"0-1 yrs",N228&lt;=4,"2-4 yrs",N228&lt;=9,"5-9 yrs",N228&gt;9,"10+ yrs")</f>
        <v>5-9 yrs</v>
      </c>
      <c r="S228" t="str" cm="1">
        <f t="array" ref="S228">_xlfn.IFS(B228&lt;=25,"20-25",B228&lt;=35,"26-35",B228&lt;=45,"36-45",B228&gt;45,"46+")</f>
        <v>36-45</v>
      </c>
      <c r="T228" t="str" cm="1">
        <f t="array" ref="T228">_xlfn.IFS(J228&lt;3500,"&lt;3.5K",J228&lt;5500,"3.5-5.5K",J228&lt;7500,"5.5-7.5K",J228&gt;=7500,"7.5K+")</f>
        <v>3.5-5.5K</v>
      </c>
      <c r="U228">
        <f t="shared" si="3"/>
        <v>0</v>
      </c>
    </row>
    <row r="229" spans="1:21" x14ac:dyDescent="0.25">
      <c r="A229">
        <v>1184</v>
      </c>
      <c r="B229">
        <v>48</v>
      </c>
      <c r="C229" t="s">
        <v>16</v>
      </c>
      <c r="D229" t="s">
        <v>27</v>
      </c>
      <c r="E229" t="s">
        <v>31</v>
      </c>
      <c r="F229" t="s">
        <v>41</v>
      </c>
      <c r="G229" t="s">
        <v>33</v>
      </c>
      <c r="H229" t="s">
        <v>34</v>
      </c>
      <c r="I229">
        <v>28</v>
      </c>
      <c r="J229" s="2">
        <v>6502</v>
      </c>
      <c r="K229" t="s">
        <v>42</v>
      </c>
      <c r="L229">
        <v>1</v>
      </c>
      <c r="M229">
        <v>4</v>
      </c>
      <c r="N229">
        <v>1</v>
      </c>
      <c r="O229">
        <v>0</v>
      </c>
      <c r="P229">
        <v>9</v>
      </c>
      <c r="Q229" t="s">
        <v>22</v>
      </c>
      <c r="R229" t="str" cm="1">
        <f t="array" ref="R229">_xlfn.IFS(N229&lt;=1,"0-1 yrs",N229&lt;=4,"2-4 yrs",N229&lt;=9,"5-9 yrs",N229&gt;9,"10+ yrs")</f>
        <v>0-1 yrs</v>
      </c>
      <c r="S229" t="str" cm="1">
        <f t="array" ref="S229">_xlfn.IFS(B229&lt;=25,"20-25",B229&lt;=35,"26-35",B229&lt;=45,"36-45",B229&gt;45,"46+")</f>
        <v>46+</v>
      </c>
      <c r="T229" t="str" cm="1">
        <f t="array" ref="T229">_xlfn.IFS(J229&lt;3500,"&lt;3.5K",J229&lt;5500,"3.5-5.5K",J229&lt;7500,"5.5-7.5K",J229&gt;=7500,"7.5K+")</f>
        <v>5.5-7.5K</v>
      </c>
      <c r="U229">
        <f t="shared" si="3"/>
        <v>0</v>
      </c>
    </row>
    <row r="230" spans="1:21" x14ac:dyDescent="0.25">
      <c r="A230">
        <v>1484</v>
      </c>
      <c r="B230">
        <v>28</v>
      </c>
      <c r="C230" t="s">
        <v>16</v>
      </c>
      <c r="D230" t="s">
        <v>17</v>
      </c>
      <c r="E230" t="s">
        <v>18</v>
      </c>
      <c r="F230" t="s">
        <v>26</v>
      </c>
      <c r="G230" t="s">
        <v>20</v>
      </c>
      <c r="H230" t="s">
        <v>34</v>
      </c>
      <c r="I230">
        <v>19</v>
      </c>
      <c r="J230" s="2">
        <v>8393</v>
      </c>
      <c r="K230" t="s">
        <v>42</v>
      </c>
      <c r="L230">
        <v>2</v>
      </c>
      <c r="M230">
        <v>3</v>
      </c>
      <c r="N230">
        <v>5</v>
      </c>
      <c r="O230">
        <v>3</v>
      </c>
      <c r="P230">
        <v>8</v>
      </c>
      <c r="Q230" t="s">
        <v>22</v>
      </c>
      <c r="R230" t="str" cm="1">
        <f t="array" ref="R230">_xlfn.IFS(N230&lt;=1,"0-1 yrs",N230&lt;=4,"2-4 yrs",N230&lt;=9,"5-9 yrs",N230&gt;9,"10+ yrs")</f>
        <v>5-9 yrs</v>
      </c>
      <c r="S230" t="str" cm="1">
        <f t="array" ref="S230">_xlfn.IFS(B230&lt;=25,"20-25",B230&lt;=35,"26-35",B230&lt;=45,"36-45",B230&gt;45,"46+")</f>
        <v>26-35</v>
      </c>
      <c r="T230" t="str" cm="1">
        <f t="array" ref="T230">_xlfn.IFS(J230&lt;3500,"&lt;3.5K",J230&lt;5500,"3.5-5.5K",J230&lt;7500,"5.5-7.5K",J230&gt;=7500,"7.5K+")</f>
        <v>7.5K+</v>
      </c>
      <c r="U230">
        <f t="shared" si="3"/>
        <v>0</v>
      </c>
    </row>
    <row r="231" spans="1:21" x14ac:dyDescent="0.25">
      <c r="A231">
        <v>1175</v>
      </c>
      <c r="B231">
        <v>48</v>
      </c>
      <c r="C231" t="s">
        <v>23</v>
      </c>
      <c r="D231" t="s">
        <v>24</v>
      </c>
      <c r="E231" t="s">
        <v>52</v>
      </c>
      <c r="F231" t="s">
        <v>36</v>
      </c>
      <c r="G231" t="s">
        <v>33</v>
      </c>
      <c r="H231" t="s">
        <v>30</v>
      </c>
      <c r="I231">
        <v>10</v>
      </c>
      <c r="J231" s="2">
        <v>10310</v>
      </c>
      <c r="K231" t="s">
        <v>22</v>
      </c>
      <c r="L231">
        <v>3</v>
      </c>
      <c r="M231">
        <v>1</v>
      </c>
      <c r="N231">
        <v>18</v>
      </c>
      <c r="O231">
        <v>16</v>
      </c>
      <c r="P231">
        <v>20</v>
      </c>
      <c r="Q231" t="s">
        <v>22</v>
      </c>
      <c r="R231" t="str" cm="1">
        <f t="array" ref="R231">_xlfn.IFS(N231&lt;=1,"0-1 yrs",N231&lt;=4,"2-4 yrs",N231&lt;=9,"5-9 yrs",N231&gt;9,"10+ yrs")</f>
        <v>10+ yrs</v>
      </c>
      <c r="S231" t="str" cm="1">
        <f t="array" ref="S231">_xlfn.IFS(B231&lt;=25,"20-25",B231&lt;=35,"26-35",B231&lt;=45,"36-45",B231&gt;45,"46+")</f>
        <v>46+</v>
      </c>
      <c r="T231" t="str" cm="1">
        <f t="array" ref="T231">_xlfn.IFS(J231&lt;3500,"&lt;3.5K",J231&lt;5500,"3.5-5.5K",J231&lt;7500,"5.5-7.5K",J231&gt;=7500,"7.5K+")</f>
        <v>7.5K+</v>
      </c>
      <c r="U231">
        <f t="shared" si="3"/>
        <v>0</v>
      </c>
    </row>
    <row r="232" spans="1:21" x14ac:dyDescent="0.25">
      <c r="A232">
        <v>1892</v>
      </c>
      <c r="B232">
        <v>52</v>
      </c>
      <c r="C232" t="s">
        <v>23</v>
      </c>
      <c r="D232" t="s">
        <v>24</v>
      </c>
      <c r="E232" t="s">
        <v>46</v>
      </c>
      <c r="F232" t="s">
        <v>29</v>
      </c>
      <c r="G232" t="s">
        <v>33</v>
      </c>
      <c r="H232" t="s">
        <v>30</v>
      </c>
      <c r="I232">
        <v>24</v>
      </c>
      <c r="J232" s="2">
        <v>13543</v>
      </c>
      <c r="K232" t="s">
        <v>42</v>
      </c>
      <c r="L232">
        <v>2</v>
      </c>
      <c r="M232">
        <v>1</v>
      </c>
      <c r="N232">
        <v>16</v>
      </c>
      <c r="O232">
        <v>6</v>
      </c>
      <c r="P232">
        <v>31</v>
      </c>
      <c r="Q232" t="s">
        <v>22</v>
      </c>
      <c r="R232" t="str" cm="1">
        <f t="array" ref="R232">_xlfn.IFS(N232&lt;=1,"0-1 yrs",N232&lt;=4,"2-4 yrs",N232&lt;=9,"5-9 yrs",N232&gt;9,"10+ yrs")</f>
        <v>10+ yrs</v>
      </c>
      <c r="S232" t="str" cm="1">
        <f t="array" ref="S232">_xlfn.IFS(B232&lt;=25,"20-25",B232&lt;=35,"26-35",B232&lt;=45,"36-45",B232&gt;45,"46+")</f>
        <v>46+</v>
      </c>
      <c r="T232" t="str" cm="1">
        <f t="array" ref="T232">_xlfn.IFS(J232&lt;3500,"&lt;3.5K",J232&lt;5500,"3.5-5.5K",J232&lt;7500,"5.5-7.5K",J232&gt;=7500,"7.5K+")</f>
        <v>7.5K+</v>
      </c>
      <c r="U232">
        <f t="shared" si="3"/>
        <v>0</v>
      </c>
    </row>
    <row r="233" spans="1:21" x14ac:dyDescent="0.25">
      <c r="A233">
        <v>1345</v>
      </c>
      <c r="B233">
        <v>29</v>
      </c>
      <c r="C233" t="s">
        <v>16</v>
      </c>
      <c r="D233" t="s">
        <v>17</v>
      </c>
      <c r="E233" t="s">
        <v>35</v>
      </c>
      <c r="F233" t="s">
        <v>38</v>
      </c>
      <c r="G233" t="s">
        <v>33</v>
      </c>
      <c r="H233" t="s">
        <v>30</v>
      </c>
      <c r="I233">
        <v>19</v>
      </c>
      <c r="J233" s="2">
        <v>7663</v>
      </c>
      <c r="K233" t="s">
        <v>22</v>
      </c>
      <c r="L233">
        <v>3</v>
      </c>
      <c r="M233">
        <v>1</v>
      </c>
      <c r="N233">
        <v>3</v>
      </c>
      <c r="O233">
        <v>1</v>
      </c>
      <c r="P233">
        <v>8</v>
      </c>
      <c r="Q233" t="s">
        <v>22</v>
      </c>
      <c r="R233" t="str" cm="1">
        <f t="array" ref="R233">_xlfn.IFS(N233&lt;=1,"0-1 yrs",N233&lt;=4,"2-4 yrs",N233&lt;=9,"5-9 yrs",N233&gt;9,"10+ yrs")</f>
        <v>2-4 yrs</v>
      </c>
      <c r="S233" t="str" cm="1">
        <f t="array" ref="S233">_xlfn.IFS(B233&lt;=25,"20-25",B233&lt;=35,"26-35",B233&lt;=45,"36-45",B233&gt;45,"46+")</f>
        <v>26-35</v>
      </c>
      <c r="T233" t="str" cm="1">
        <f t="array" ref="T233">_xlfn.IFS(J233&lt;3500,"&lt;3.5K",J233&lt;5500,"3.5-5.5K",J233&lt;7500,"5.5-7.5K",J233&gt;=7500,"7.5K+")</f>
        <v>7.5K+</v>
      </c>
      <c r="U233">
        <f t="shared" si="3"/>
        <v>0</v>
      </c>
    </row>
    <row r="234" spans="1:21" x14ac:dyDescent="0.25">
      <c r="A234">
        <v>1135</v>
      </c>
      <c r="B234">
        <v>32</v>
      </c>
      <c r="C234" t="s">
        <v>23</v>
      </c>
      <c r="D234" t="s">
        <v>27</v>
      </c>
      <c r="E234" t="s">
        <v>43</v>
      </c>
      <c r="F234" t="s">
        <v>32</v>
      </c>
      <c r="G234" t="s">
        <v>37</v>
      </c>
      <c r="H234" t="s">
        <v>34</v>
      </c>
      <c r="I234">
        <v>22</v>
      </c>
      <c r="J234" s="2">
        <v>6737</v>
      </c>
      <c r="K234" t="s">
        <v>42</v>
      </c>
      <c r="L234">
        <v>1</v>
      </c>
      <c r="M234">
        <v>2</v>
      </c>
      <c r="N234">
        <v>8</v>
      </c>
      <c r="O234">
        <v>4</v>
      </c>
      <c r="P234">
        <v>9</v>
      </c>
      <c r="Q234" t="s">
        <v>22</v>
      </c>
      <c r="R234" t="str" cm="1">
        <f t="array" ref="R234">_xlfn.IFS(N234&lt;=1,"0-1 yrs",N234&lt;=4,"2-4 yrs",N234&lt;=9,"5-9 yrs",N234&gt;9,"10+ yrs")</f>
        <v>5-9 yrs</v>
      </c>
      <c r="S234" t="str" cm="1">
        <f t="array" ref="S234">_xlfn.IFS(B234&lt;=25,"20-25",B234&lt;=35,"26-35",B234&lt;=45,"36-45",B234&gt;45,"46+")</f>
        <v>26-35</v>
      </c>
      <c r="T234" t="str" cm="1">
        <f t="array" ref="T234">_xlfn.IFS(J234&lt;3500,"&lt;3.5K",J234&lt;5500,"3.5-5.5K",J234&lt;7500,"5.5-7.5K",J234&gt;=7500,"7.5K+")</f>
        <v>5.5-7.5K</v>
      </c>
      <c r="U234">
        <f t="shared" si="3"/>
        <v>0</v>
      </c>
    </row>
    <row r="235" spans="1:21" x14ac:dyDescent="0.25">
      <c r="A235">
        <v>1521</v>
      </c>
      <c r="B235">
        <v>45</v>
      </c>
      <c r="C235" t="s">
        <v>16</v>
      </c>
      <c r="D235" t="s">
        <v>24</v>
      </c>
      <c r="E235" t="s">
        <v>25</v>
      </c>
      <c r="F235" t="s">
        <v>36</v>
      </c>
      <c r="G235" t="s">
        <v>37</v>
      </c>
      <c r="H235" t="s">
        <v>30</v>
      </c>
      <c r="I235">
        <v>18</v>
      </c>
      <c r="J235" s="2">
        <v>10208</v>
      </c>
      <c r="K235" t="s">
        <v>22</v>
      </c>
      <c r="L235">
        <v>4</v>
      </c>
      <c r="M235">
        <v>2</v>
      </c>
      <c r="N235">
        <v>2</v>
      </c>
      <c r="O235">
        <v>0</v>
      </c>
      <c r="P235">
        <v>22</v>
      </c>
      <c r="Q235" t="s">
        <v>22</v>
      </c>
      <c r="R235" t="str" cm="1">
        <f t="array" ref="R235">_xlfn.IFS(N235&lt;=1,"0-1 yrs",N235&lt;=4,"2-4 yrs",N235&lt;=9,"5-9 yrs",N235&gt;9,"10+ yrs")</f>
        <v>2-4 yrs</v>
      </c>
      <c r="S235" t="str" cm="1">
        <f t="array" ref="S235">_xlfn.IFS(B235&lt;=25,"20-25",B235&lt;=35,"26-35",B235&lt;=45,"36-45",B235&gt;45,"46+")</f>
        <v>36-45</v>
      </c>
      <c r="T235" t="str" cm="1">
        <f t="array" ref="T235">_xlfn.IFS(J235&lt;3500,"&lt;3.5K",J235&lt;5500,"3.5-5.5K",J235&lt;7500,"5.5-7.5K",J235&gt;=7500,"7.5K+")</f>
        <v>7.5K+</v>
      </c>
      <c r="U235">
        <f t="shared" si="3"/>
        <v>0</v>
      </c>
    </row>
    <row r="236" spans="1:21" x14ac:dyDescent="0.25">
      <c r="A236">
        <v>1591</v>
      </c>
      <c r="B236">
        <v>33</v>
      </c>
      <c r="C236" t="s">
        <v>23</v>
      </c>
      <c r="D236" t="s">
        <v>38</v>
      </c>
      <c r="E236" t="s">
        <v>39</v>
      </c>
      <c r="F236" t="s">
        <v>32</v>
      </c>
      <c r="G236" t="s">
        <v>33</v>
      </c>
      <c r="H236" t="s">
        <v>21</v>
      </c>
      <c r="I236">
        <v>10</v>
      </c>
      <c r="J236" s="2">
        <v>7393</v>
      </c>
      <c r="K236" t="s">
        <v>22</v>
      </c>
      <c r="L236">
        <v>1</v>
      </c>
      <c r="M236">
        <v>4</v>
      </c>
      <c r="N236">
        <v>8</v>
      </c>
      <c r="O236">
        <v>3</v>
      </c>
      <c r="P236">
        <v>11</v>
      </c>
      <c r="Q236" t="s">
        <v>42</v>
      </c>
      <c r="R236" t="str" cm="1">
        <f t="array" ref="R236">_xlfn.IFS(N236&lt;=1,"0-1 yrs",N236&lt;=4,"2-4 yrs",N236&lt;=9,"5-9 yrs",N236&gt;9,"10+ yrs")</f>
        <v>5-9 yrs</v>
      </c>
      <c r="S236" t="str" cm="1">
        <f t="array" ref="S236">_xlfn.IFS(B236&lt;=25,"20-25",B236&lt;=35,"26-35",B236&lt;=45,"36-45",B236&gt;45,"46+")</f>
        <v>26-35</v>
      </c>
      <c r="T236" t="str" cm="1">
        <f t="array" ref="T236">_xlfn.IFS(J236&lt;3500,"&lt;3.5K",J236&lt;5500,"3.5-5.5K",J236&lt;7500,"5.5-7.5K",J236&gt;=7500,"7.5K+")</f>
        <v>5.5-7.5K</v>
      </c>
      <c r="U236">
        <f t="shared" si="3"/>
        <v>1</v>
      </c>
    </row>
    <row r="237" spans="1:21" x14ac:dyDescent="0.25">
      <c r="A237">
        <v>1388</v>
      </c>
      <c r="B237">
        <v>54</v>
      </c>
      <c r="C237" t="s">
        <v>16</v>
      </c>
      <c r="D237" t="s">
        <v>24</v>
      </c>
      <c r="E237" t="s">
        <v>25</v>
      </c>
      <c r="F237" t="s">
        <v>32</v>
      </c>
      <c r="G237" t="s">
        <v>20</v>
      </c>
      <c r="H237" t="s">
        <v>21</v>
      </c>
      <c r="I237">
        <v>4</v>
      </c>
      <c r="J237" s="2">
        <v>13329</v>
      </c>
      <c r="K237" t="s">
        <v>22</v>
      </c>
      <c r="M237">
        <v>4</v>
      </c>
      <c r="N237">
        <v>21</v>
      </c>
      <c r="O237">
        <v>2</v>
      </c>
      <c r="P237">
        <v>28</v>
      </c>
      <c r="Q237" t="s">
        <v>22</v>
      </c>
      <c r="R237" t="str" cm="1">
        <f t="array" ref="R237">_xlfn.IFS(N237&lt;=1,"0-1 yrs",N237&lt;=4,"2-4 yrs",N237&lt;=9,"5-9 yrs",N237&gt;9,"10+ yrs")</f>
        <v>10+ yrs</v>
      </c>
      <c r="S237" t="str" cm="1">
        <f t="array" ref="S237">_xlfn.IFS(B237&lt;=25,"20-25",B237&lt;=35,"26-35",B237&lt;=45,"36-45",B237&gt;45,"46+")</f>
        <v>46+</v>
      </c>
      <c r="T237" t="str" cm="1">
        <f t="array" ref="T237">_xlfn.IFS(J237&lt;3500,"&lt;3.5K",J237&lt;5500,"3.5-5.5K",J237&lt;7500,"5.5-7.5K",J237&gt;=7500,"7.5K+")</f>
        <v>7.5K+</v>
      </c>
      <c r="U237">
        <f t="shared" si="3"/>
        <v>0</v>
      </c>
    </row>
    <row r="238" spans="1:21" x14ac:dyDescent="0.25">
      <c r="A238">
        <v>1297</v>
      </c>
      <c r="B238">
        <v>30</v>
      </c>
      <c r="C238" t="s">
        <v>23</v>
      </c>
      <c r="D238" t="s">
        <v>38</v>
      </c>
      <c r="E238" t="s">
        <v>49</v>
      </c>
      <c r="F238" t="s">
        <v>26</v>
      </c>
      <c r="G238" t="s">
        <v>37</v>
      </c>
      <c r="H238" t="s">
        <v>30</v>
      </c>
      <c r="I238">
        <v>1</v>
      </c>
      <c r="J238" s="2">
        <v>7934</v>
      </c>
      <c r="K238" t="s">
        <v>42</v>
      </c>
      <c r="L238">
        <v>4</v>
      </c>
      <c r="M238">
        <v>4</v>
      </c>
      <c r="N238">
        <v>3</v>
      </c>
      <c r="O238">
        <v>0</v>
      </c>
      <c r="P238">
        <v>5</v>
      </c>
      <c r="Q238" t="s">
        <v>42</v>
      </c>
      <c r="R238" t="str" cm="1">
        <f t="array" ref="R238">_xlfn.IFS(N238&lt;=1,"0-1 yrs",N238&lt;=4,"2-4 yrs",N238&lt;=9,"5-9 yrs",N238&gt;9,"10+ yrs")</f>
        <v>2-4 yrs</v>
      </c>
      <c r="S238" t="str" cm="1">
        <f t="array" ref="S238">_xlfn.IFS(B238&lt;=25,"20-25",B238&lt;=35,"26-35",B238&lt;=45,"36-45",B238&gt;45,"46+")</f>
        <v>26-35</v>
      </c>
      <c r="T238" t="str" cm="1">
        <f t="array" ref="T238">_xlfn.IFS(J238&lt;3500,"&lt;3.5K",J238&lt;5500,"3.5-5.5K",J238&lt;7500,"5.5-7.5K",J238&gt;=7500,"7.5K+")</f>
        <v>7.5K+</v>
      </c>
      <c r="U238">
        <f t="shared" si="3"/>
        <v>1</v>
      </c>
    </row>
    <row r="239" spans="1:21" x14ac:dyDescent="0.25">
      <c r="A239">
        <v>1949</v>
      </c>
      <c r="B239">
        <v>21</v>
      </c>
      <c r="C239" t="s">
        <v>23</v>
      </c>
      <c r="D239" t="s">
        <v>38</v>
      </c>
      <c r="E239" t="s">
        <v>49</v>
      </c>
      <c r="F239" t="s">
        <v>36</v>
      </c>
      <c r="G239" t="s">
        <v>20</v>
      </c>
      <c r="H239" t="s">
        <v>21</v>
      </c>
      <c r="I239">
        <v>9</v>
      </c>
      <c r="J239" s="2">
        <v>7003</v>
      </c>
      <c r="K239" t="s">
        <v>42</v>
      </c>
      <c r="L239">
        <v>3</v>
      </c>
      <c r="M239">
        <v>3</v>
      </c>
      <c r="N239">
        <v>0</v>
      </c>
      <c r="O239">
        <v>0</v>
      </c>
      <c r="P239">
        <v>0</v>
      </c>
      <c r="Q239" t="s">
        <v>22</v>
      </c>
      <c r="R239" t="str" cm="1">
        <f t="array" ref="R239">_xlfn.IFS(N239&lt;=1,"0-1 yrs",N239&lt;=4,"2-4 yrs",N239&lt;=9,"5-9 yrs",N239&gt;9,"10+ yrs")</f>
        <v>0-1 yrs</v>
      </c>
      <c r="S239" t="str" cm="1">
        <f t="array" ref="S239">_xlfn.IFS(B239&lt;=25,"20-25",B239&lt;=35,"26-35",B239&lt;=45,"36-45",B239&gt;45,"46+")</f>
        <v>20-25</v>
      </c>
      <c r="T239" t="str" cm="1">
        <f t="array" ref="T239">_xlfn.IFS(J239&lt;3500,"&lt;3.5K",J239&lt;5500,"3.5-5.5K",J239&lt;7500,"5.5-7.5K",J239&gt;=7500,"7.5K+")</f>
        <v>5.5-7.5K</v>
      </c>
      <c r="U239">
        <f t="shared" si="3"/>
        <v>0</v>
      </c>
    </row>
    <row r="240" spans="1:21" x14ac:dyDescent="0.25">
      <c r="A240">
        <v>1407</v>
      </c>
      <c r="B240">
        <v>23</v>
      </c>
      <c r="C240" t="s">
        <v>23</v>
      </c>
      <c r="D240" t="s">
        <v>27</v>
      </c>
      <c r="E240" t="s">
        <v>44</v>
      </c>
      <c r="F240" t="s">
        <v>32</v>
      </c>
      <c r="G240" t="s">
        <v>37</v>
      </c>
      <c r="H240" t="s">
        <v>21</v>
      </c>
      <c r="I240">
        <v>3</v>
      </c>
      <c r="J240" s="2">
        <v>6945</v>
      </c>
      <c r="K240" t="s">
        <v>42</v>
      </c>
      <c r="L240">
        <v>3</v>
      </c>
      <c r="M240">
        <v>3</v>
      </c>
      <c r="N240">
        <v>0</v>
      </c>
      <c r="O240">
        <v>0</v>
      </c>
      <c r="P240">
        <v>0</v>
      </c>
      <c r="Q240" t="s">
        <v>42</v>
      </c>
      <c r="R240" t="str" cm="1">
        <f t="array" ref="R240">_xlfn.IFS(N240&lt;=1,"0-1 yrs",N240&lt;=4,"2-4 yrs",N240&lt;=9,"5-9 yrs",N240&gt;9,"10+ yrs")</f>
        <v>0-1 yrs</v>
      </c>
      <c r="S240" t="str" cm="1">
        <f t="array" ref="S240">_xlfn.IFS(B240&lt;=25,"20-25",B240&lt;=35,"26-35",B240&lt;=45,"36-45",B240&gt;45,"46+")</f>
        <v>20-25</v>
      </c>
      <c r="T240" t="str" cm="1">
        <f t="array" ref="T240">_xlfn.IFS(J240&lt;3500,"&lt;3.5K",J240&lt;5500,"3.5-5.5K",J240&lt;7500,"5.5-7.5K",J240&gt;=7500,"7.5K+")</f>
        <v>5.5-7.5K</v>
      </c>
      <c r="U240">
        <f t="shared" si="3"/>
        <v>1</v>
      </c>
    </row>
    <row r="241" spans="1:21" x14ac:dyDescent="0.25">
      <c r="A241">
        <v>1254</v>
      </c>
      <c r="B241">
        <v>36</v>
      </c>
      <c r="C241" t="s">
        <v>16</v>
      </c>
      <c r="D241" t="s">
        <v>17</v>
      </c>
      <c r="E241" t="s">
        <v>40</v>
      </c>
      <c r="F241" t="s">
        <v>38</v>
      </c>
      <c r="G241" t="s">
        <v>20</v>
      </c>
      <c r="H241" t="s">
        <v>21</v>
      </c>
      <c r="I241">
        <v>16</v>
      </c>
      <c r="J241" s="2">
        <v>4797</v>
      </c>
      <c r="K241" t="s">
        <v>42</v>
      </c>
      <c r="L241">
        <v>3</v>
      </c>
      <c r="M241">
        <v>2</v>
      </c>
      <c r="N241">
        <v>11</v>
      </c>
      <c r="O241">
        <v>11</v>
      </c>
      <c r="P241">
        <v>16</v>
      </c>
      <c r="Q241" t="s">
        <v>22</v>
      </c>
      <c r="R241" t="str" cm="1">
        <f t="array" ref="R241">_xlfn.IFS(N241&lt;=1,"0-1 yrs",N241&lt;=4,"2-4 yrs",N241&lt;=9,"5-9 yrs",N241&gt;9,"10+ yrs")</f>
        <v>10+ yrs</v>
      </c>
      <c r="S241" t="str" cm="1">
        <f t="array" ref="S241">_xlfn.IFS(B241&lt;=25,"20-25",B241&lt;=35,"26-35",B241&lt;=45,"36-45",B241&gt;45,"46+")</f>
        <v>36-45</v>
      </c>
      <c r="T241" t="str" cm="1">
        <f t="array" ref="T241">_xlfn.IFS(J241&lt;3500,"&lt;3.5K",J241&lt;5500,"3.5-5.5K",J241&lt;7500,"5.5-7.5K",J241&gt;=7500,"7.5K+")</f>
        <v>3.5-5.5K</v>
      </c>
      <c r="U241">
        <f t="shared" si="3"/>
        <v>0</v>
      </c>
    </row>
    <row r="242" spans="1:21" x14ac:dyDescent="0.25">
      <c r="A242">
        <v>1228</v>
      </c>
      <c r="B242">
        <v>26</v>
      </c>
      <c r="C242" t="s">
        <v>16</v>
      </c>
      <c r="D242" t="s">
        <v>38</v>
      </c>
      <c r="E242" t="s">
        <v>39</v>
      </c>
      <c r="F242" t="s">
        <v>38</v>
      </c>
      <c r="G242" t="s">
        <v>20</v>
      </c>
      <c r="H242" t="s">
        <v>34</v>
      </c>
      <c r="I242">
        <v>16</v>
      </c>
      <c r="J242" s="2">
        <v>5837</v>
      </c>
      <c r="K242" t="s">
        <v>22</v>
      </c>
      <c r="L242">
        <v>1</v>
      </c>
      <c r="M242">
        <v>3</v>
      </c>
      <c r="N242">
        <v>2</v>
      </c>
      <c r="O242">
        <v>0</v>
      </c>
      <c r="P242">
        <v>5</v>
      </c>
      <c r="Q242" t="s">
        <v>22</v>
      </c>
      <c r="R242" t="str" cm="1">
        <f t="array" ref="R242">_xlfn.IFS(N242&lt;=1,"0-1 yrs",N242&lt;=4,"2-4 yrs",N242&lt;=9,"5-9 yrs",N242&gt;9,"10+ yrs")</f>
        <v>2-4 yrs</v>
      </c>
      <c r="S242" t="str" cm="1">
        <f t="array" ref="S242">_xlfn.IFS(B242&lt;=25,"20-25",B242&lt;=35,"26-35",B242&lt;=45,"36-45",B242&gt;45,"46+")</f>
        <v>26-35</v>
      </c>
      <c r="T242" t="str" cm="1">
        <f t="array" ref="T242">_xlfn.IFS(J242&lt;3500,"&lt;3.5K",J242&lt;5500,"3.5-5.5K",J242&lt;7500,"5.5-7.5K",J242&gt;=7500,"7.5K+")</f>
        <v>5.5-7.5K</v>
      </c>
      <c r="U242">
        <f t="shared" si="3"/>
        <v>0</v>
      </c>
    </row>
    <row r="243" spans="1:21" x14ac:dyDescent="0.25">
      <c r="A243">
        <v>1798</v>
      </c>
      <c r="B243">
        <v>23</v>
      </c>
      <c r="C243" t="s">
        <v>16</v>
      </c>
      <c r="D243" t="s">
        <v>27</v>
      </c>
      <c r="E243" t="s">
        <v>43</v>
      </c>
      <c r="F243" t="s">
        <v>41</v>
      </c>
      <c r="G243" t="s">
        <v>33</v>
      </c>
      <c r="H243" t="s">
        <v>21</v>
      </c>
      <c r="I243">
        <v>23</v>
      </c>
      <c r="J243" s="2">
        <v>5039</v>
      </c>
      <c r="K243" t="s">
        <v>42</v>
      </c>
      <c r="L243">
        <v>3</v>
      </c>
      <c r="M243">
        <v>2</v>
      </c>
      <c r="N243">
        <v>0</v>
      </c>
      <c r="O243">
        <v>0</v>
      </c>
      <c r="P243">
        <v>0</v>
      </c>
      <c r="Q243" t="s">
        <v>22</v>
      </c>
      <c r="R243" t="str" cm="1">
        <f t="array" ref="R243">_xlfn.IFS(N243&lt;=1,"0-1 yrs",N243&lt;=4,"2-4 yrs",N243&lt;=9,"5-9 yrs",N243&gt;9,"10+ yrs")</f>
        <v>0-1 yrs</v>
      </c>
      <c r="S243" t="str" cm="1">
        <f t="array" ref="S243">_xlfn.IFS(B243&lt;=25,"20-25",B243&lt;=35,"26-35",B243&lt;=45,"36-45",B243&gt;45,"46+")</f>
        <v>20-25</v>
      </c>
      <c r="T243" t="str" cm="1">
        <f t="array" ref="T243">_xlfn.IFS(J243&lt;3500,"&lt;3.5K",J243&lt;5500,"3.5-5.5K",J243&lt;7500,"5.5-7.5K",J243&gt;=7500,"7.5K+")</f>
        <v>3.5-5.5K</v>
      </c>
      <c r="U243">
        <f t="shared" si="3"/>
        <v>0</v>
      </c>
    </row>
    <row r="244" spans="1:21" x14ac:dyDescent="0.25">
      <c r="A244">
        <v>1451</v>
      </c>
      <c r="B244">
        <v>46</v>
      </c>
      <c r="C244" t="s">
        <v>16</v>
      </c>
      <c r="D244" t="s">
        <v>27</v>
      </c>
      <c r="E244" t="s">
        <v>31</v>
      </c>
      <c r="F244" t="s">
        <v>29</v>
      </c>
      <c r="G244" t="s">
        <v>37</v>
      </c>
      <c r="H244" t="s">
        <v>21</v>
      </c>
      <c r="I244">
        <v>5</v>
      </c>
      <c r="J244" s="2">
        <v>9837</v>
      </c>
      <c r="K244" t="s">
        <v>22</v>
      </c>
      <c r="L244">
        <v>3</v>
      </c>
      <c r="M244">
        <v>3</v>
      </c>
      <c r="N244">
        <v>4</v>
      </c>
      <c r="O244">
        <v>0</v>
      </c>
      <c r="P244">
        <v>20</v>
      </c>
      <c r="Q244" t="s">
        <v>22</v>
      </c>
      <c r="R244" t="str" cm="1">
        <f t="array" ref="R244">_xlfn.IFS(N244&lt;=1,"0-1 yrs",N244&lt;=4,"2-4 yrs",N244&lt;=9,"5-9 yrs",N244&gt;9,"10+ yrs")</f>
        <v>2-4 yrs</v>
      </c>
      <c r="S244" t="str" cm="1">
        <f t="array" ref="S244">_xlfn.IFS(B244&lt;=25,"20-25",B244&lt;=35,"26-35",B244&lt;=45,"36-45",B244&gt;45,"46+")</f>
        <v>46+</v>
      </c>
      <c r="T244" t="str" cm="1">
        <f t="array" ref="T244">_xlfn.IFS(J244&lt;3500,"&lt;3.5K",J244&lt;5500,"3.5-5.5K",J244&lt;7500,"5.5-7.5K",J244&gt;=7500,"7.5K+")</f>
        <v>7.5K+</v>
      </c>
      <c r="U244">
        <f t="shared" si="3"/>
        <v>0</v>
      </c>
    </row>
    <row r="245" spans="1:21" x14ac:dyDescent="0.25">
      <c r="A245">
        <v>1985</v>
      </c>
      <c r="B245">
        <v>37</v>
      </c>
      <c r="C245" t="s">
        <v>23</v>
      </c>
      <c r="D245" t="s">
        <v>27</v>
      </c>
      <c r="E245" t="s">
        <v>44</v>
      </c>
      <c r="F245" t="s">
        <v>41</v>
      </c>
      <c r="G245" t="s">
        <v>20</v>
      </c>
      <c r="H245" t="s">
        <v>21</v>
      </c>
      <c r="I245">
        <v>13</v>
      </c>
      <c r="J245" s="2">
        <v>9414</v>
      </c>
      <c r="K245" t="s">
        <v>22</v>
      </c>
      <c r="L245">
        <v>2</v>
      </c>
      <c r="M245">
        <v>1</v>
      </c>
      <c r="N245">
        <v>2</v>
      </c>
      <c r="O245">
        <v>2</v>
      </c>
      <c r="P245">
        <v>17</v>
      </c>
      <c r="Q245" t="s">
        <v>42</v>
      </c>
      <c r="R245" t="str" cm="1">
        <f t="array" ref="R245">_xlfn.IFS(N245&lt;=1,"0-1 yrs",N245&lt;=4,"2-4 yrs",N245&lt;=9,"5-9 yrs",N245&gt;9,"10+ yrs")</f>
        <v>2-4 yrs</v>
      </c>
      <c r="S245" t="str" cm="1">
        <f t="array" ref="S245">_xlfn.IFS(B245&lt;=25,"20-25",B245&lt;=35,"26-35",B245&lt;=45,"36-45",B245&gt;45,"46+")</f>
        <v>36-45</v>
      </c>
      <c r="T245" t="str" cm="1">
        <f t="array" ref="T245">_xlfn.IFS(J245&lt;3500,"&lt;3.5K",J245&lt;5500,"3.5-5.5K",J245&lt;7500,"5.5-7.5K",J245&gt;=7500,"7.5K+")</f>
        <v>7.5K+</v>
      </c>
      <c r="U245">
        <f t="shared" si="3"/>
        <v>1</v>
      </c>
    </row>
    <row r="246" spans="1:21" x14ac:dyDescent="0.25">
      <c r="A246">
        <v>1360</v>
      </c>
      <c r="B246">
        <v>29</v>
      </c>
      <c r="C246" t="s">
        <v>16</v>
      </c>
      <c r="D246" t="s">
        <v>27</v>
      </c>
      <c r="E246" t="s">
        <v>44</v>
      </c>
      <c r="F246" t="s">
        <v>38</v>
      </c>
      <c r="G246" t="s">
        <v>20</v>
      </c>
      <c r="H246" t="s">
        <v>34</v>
      </c>
      <c r="I246">
        <v>1</v>
      </c>
      <c r="J246" s="2">
        <v>6345</v>
      </c>
      <c r="K246" t="s">
        <v>42</v>
      </c>
      <c r="L246">
        <v>2</v>
      </c>
      <c r="M246">
        <v>2</v>
      </c>
      <c r="N246">
        <v>1</v>
      </c>
      <c r="O246">
        <v>0</v>
      </c>
      <c r="P246">
        <v>5</v>
      </c>
      <c r="Q246" t="s">
        <v>42</v>
      </c>
      <c r="R246" t="str" cm="1">
        <f t="array" ref="R246">_xlfn.IFS(N246&lt;=1,"0-1 yrs",N246&lt;=4,"2-4 yrs",N246&lt;=9,"5-9 yrs",N246&gt;9,"10+ yrs")</f>
        <v>0-1 yrs</v>
      </c>
      <c r="S246" t="str" cm="1">
        <f t="array" ref="S246">_xlfn.IFS(B246&lt;=25,"20-25",B246&lt;=35,"26-35",B246&lt;=45,"36-45",B246&gt;45,"46+")</f>
        <v>26-35</v>
      </c>
      <c r="T246" t="str" cm="1">
        <f t="array" ref="T246">_xlfn.IFS(J246&lt;3500,"&lt;3.5K",J246&lt;5500,"3.5-5.5K",J246&lt;7500,"5.5-7.5K",J246&gt;=7500,"7.5K+")</f>
        <v>5.5-7.5K</v>
      </c>
      <c r="U246">
        <f t="shared" si="3"/>
        <v>1</v>
      </c>
    </row>
    <row r="247" spans="1:21" x14ac:dyDescent="0.25">
      <c r="A247">
        <v>1661</v>
      </c>
      <c r="B247">
        <v>44</v>
      </c>
      <c r="C247" t="s">
        <v>23</v>
      </c>
      <c r="D247" t="s">
        <v>17</v>
      </c>
      <c r="E247" t="s">
        <v>35</v>
      </c>
      <c r="F247" t="s">
        <v>19</v>
      </c>
      <c r="G247" t="s">
        <v>20</v>
      </c>
      <c r="H247" t="s">
        <v>34</v>
      </c>
      <c r="I247">
        <v>8</v>
      </c>
      <c r="J247" s="2">
        <v>11153</v>
      </c>
      <c r="K247" t="s">
        <v>22</v>
      </c>
      <c r="L247">
        <v>4</v>
      </c>
      <c r="M247">
        <v>2</v>
      </c>
      <c r="N247">
        <v>7</v>
      </c>
      <c r="O247">
        <v>6</v>
      </c>
      <c r="P247">
        <v>24</v>
      </c>
      <c r="Q247" t="s">
        <v>22</v>
      </c>
      <c r="R247" t="str" cm="1">
        <f t="array" ref="R247">_xlfn.IFS(N247&lt;=1,"0-1 yrs",N247&lt;=4,"2-4 yrs",N247&lt;=9,"5-9 yrs",N247&gt;9,"10+ yrs")</f>
        <v>5-9 yrs</v>
      </c>
      <c r="S247" t="str" cm="1">
        <f t="array" ref="S247">_xlfn.IFS(B247&lt;=25,"20-25",B247&lt;=35,"26-35",B247&lt;=45,"36-45",B247&gt;45,"46+")</f>
        <v>36-45</v>
      </c>
      <c r="T247" t="str" cm="1">
        <f t="array" ref="T247">_xlfn.IFS(J247&lt;3500,"&lt;3.5K",J247&lt;5500,"3.5-5.5K",J247&lt;7500,"5.5-7.5K",J247&gt;=7500,"7.5K+")</f>
        <v>7.5K+</v>
      </c>
      <c r="U247">
        <f t="shared" si="3"/>
        <v>0</v>
      </c>
    </row>
    <row r="248" spans="1:21" x14ac:dyDescent="0.25">
      <c r="A248">
        <v>1339</v>
      </c>
      <c r="B248">
        <v>23</v>
      </c>
      <c r="C248" t="s">
        <v>23</v>
      </c>
      <c r="D248" t="s">
        <v>24</v>
      </c>
      <c r="E248" t="s">
        <v>25</v>
      </c>
      <c r="F248" t="s">
        <v>41</v>
      </c>
      <c r="G248" t="s">
        <v>37</v>
      </c>
      <c r="H248" t="s">
        <v>34</v>
      </c>
      <c r="I248">
        <v>29</v>
      </c>
      <c r="J248" s="2">
        <v>10522</v>
      </c>
      <c r="K248" t="s">
        <v>22</v>
      </c>
      <c r="L248">
        <v>1</v>
      </c>
      <c r="M248">
        <v>2</v>
      </c>
      <c r="N248">
        <v>0</v>
      </c>
      <c r="O248">
        <v>0</v>
      </c>
      <c r="P248">
        <v>0</v>
      </c>
      <c r="Q248" t="s">
        <v>22</v>
      </c>
      <c r="R248" t="str" cm="1">
        <f t="array" ref="R248">_xlfn.IFS(N248&lt;=1,"0-1 yrs",N248&lt;=4,"2-4 yrs",N248&lt;=9,"5-9 yrs",N248&gt;9,"10+ yrs")</f>
        <v>0-1 yrs</v>
      </c>
      <c r="S248" t="str" cm="1">
        <f t="array" ref="S248">_xlfn.IFS(B248&lt;=25,"20-25",B248&lt;=35,"26-35",B248&lt;=45,"36-45",B248&gt;45,"46+")</f>
        <v>20-25</v>
      </c>
      <c r="T248" t="str" cm="1">
        <f t="array" ref="T248">_xlfn.IFS(J248&lt;3500,"&lt;3.5K",J248&lt;5500,"3.5-5.5K",J248&lt;7500,"5.5-7.5K",J248&gt;=7500,"7.5K+")</f>
        <v>7.5K+</v>
      </c>
      <c r="U248">
        <f t="shared" si="3"/>
        <v>0</v>
      </c>
    </row>
    <row r="249" spans="1:21" x14ac:dyDescent="0.25">
      <c r="A249">
        <v>1731</v>
      </c>
      <c r="B249">
        <v>45</v>
      </c>
      <c r="C249" t="s">
        <v>16</v>
      </c>
      <c r="D249" t="s">
        <v>38</v>
      </c>
      <c r="E249" t="s">
        <v>49</v>
      </c>
      <c r="F249" t="s">
        <v>32</v>
      </c>
      <c r="G249" t="s">
        <v>37</v>
      </c>
      <c r="H249" t="s">
        <v>34</v>
      </c>
      <c r="I249">
        <v>11</v>
      </c>
      <c r="J249" s="2">
        <v>12308</v>
      </c>
      <c r="K249" t="s">
        <v>22</v>
      </c>
      <c r="L249">
        <v>2</v>
      </c>
      <c r="M249">
        <v>4</v>
      </c>
      <c r="N249">
        <v>8</v>
      </c>
      <c r="O249">
        <v>4</v>
      </c>
      <c r="P249">
        <v>23</v>
      </c>
      <c r="Q249" t="s">
        <v>22</v>
      </c>
      <c r="R249" t="str" cm="1">
        <f t="array" ref="R249">_xlfn.IFS(N249&lt;=1,"0-1 yrs",N249&lt;=4,"2-4 yrs",N249&lt;=9,"5-9 yrs",N249&gt;9,"10+ yrs")</f>
        <v>5-9 yrs</v>
      </c>
      <c r="S249" t="str" cm="1">
        <f t="array" ref="S249">_xlfn.IFS(B249&lt;=25,"20-25",B249&lt;=35,"26-35",B249&lt;=45,"36-45",B249&gt;45,"46+")</f>
        <v>36-45</v>
      </c>
      <c r="T249" t="str" cm="1">
        <f t="array" ref="T249">_xlfn.IFS(J249&lt;3500,"&lt;3.5K",J249&lt;5500,"3.5-5.5K",J249&lt;7500,"5.5-7.5K",J249&gt;=7500,"7.5K+")</f>
        <v>7.5K+</v>
      </c>
      <c r="U249">
        <f t="shared" si="3"/>
        <v>0</v>
      </c>
    </row>
    <row r="250" spans="1:21" x14ac:dyDescent="0.25">
      <c r="A250">
        <v>1218</v>
      </c>
      <c r="B250">
        <v>57</v>
      </c>
      <c r="C250" t="s">
        <v>23</v>
      </c>
      <c r="D250" t="s">
        <v>27</v>
      </c>
      <c r="E250" t="s">
        <v>44</v>
      </c>
      <c r="F250" t="s">
        <v>36</v>
      </c>
      <c r="G250" t="s">
        <v>33</v>
      </c>
      <c r="H250" t="s">
        <v>34</v>
      </c>
      <c r="I250">
        <v>6</v>
      </c>
      <c r="J250" s="2">
        <v>13143</v>
      </c>
      <c r="K250" t="s">
        <v>22</v>
      </c>
      <c r="L250">
        <v>2</v>
      </c>
      <c r="M250">
        <v>4</v>
      </c>
      <c r="N250">
        <v>18</v>
      </c>
      <c r="O250">
        <v>18</v>
      </c>
      <c r="P250">
        <v>37</v>
      </c>
      <c r="Q250" t="s">
        <v>22</v>
      </c>
      <c r="R250" t="str" cm="1">
        <f t="array" ref="R250">_xlfn.IFS(N250&lt;=1,"0-1 yrs",N250&lt;=4,"2-4 yrs",N250&lt;=9,"5-9 yrs",N250&gt;9,"10+ yrs")</f>
        <v>10+ yrs</v>
      </c>
      <c r="S250" t="str" cm="1">
        <f t="array" ref="S250">_xlfn.IFS(B250&lt;=25,"20-25",B250&lt;=35,"26-35",B250&lt;=45,"36-45",B250&gt;45,"46+")</f>
        <v>46+</v>
      </c>
      <c r="T250" t="str" cm="1">
        <f t="array" ref="T250">_xlfn.IFS(J250&lt;3500,"&lt;3.5K",J250&lt;5500,"3.5-5.5K",J250&lt;7500,"5.5-7.5K",J250&gt;=7500,"7.5K+")</f>
        <v>7.5K+</v>
      </c>
      <c r="U250">
        <f t="shared" si="3"/>
        <v>0</v>
      </c>
    </row>
    <row r="251" spans="1:21" x14ac:dyDescent="0.25">
      <c r="A251">
        <v>1513</v>
      </c>
      <c r="B251">
        <v>21</v>
      </c>
      <c r="C251" t="s">
        <v>23</v>
      </c>
      <c r="D251" t="s">
        <v>17</v>
      </c>
      <c r="E251" t="s">
        <v>40</v>
      </c>
      <c r="F251" t="s">
        <v>29</v>
      </c>
      <c r="G251" t="s">
        <v>33</v>
      </c>
      <c r="H251" t="s">
        <v>34</v>
      </c>
      <c r="I251">
        <v>11</v>
      </c>
      <c r="J251" s="2">
        <v>6043</v>
      </c>
      <c r="K251" t="s">
        <v>22</v>
      </c>
      <c r="L251">
        <v>2</v>
      </c>
      <c r="M251">
        <v>1</v>
      </c>
      <c r="N251">
        <v>0</v>
      </c>
      <c r="O251">
        <v>0</v>
      </c>
      <c r="P251">
        <v>0</v>
      </c>
      <c r="Q251" t="s">
        <v>22</v>
      </c>
      <c r="R251" t="str" cm="1">
        <f t="array" ref="R251">_xlfn.IFS(N251&lt;=1,"0-1 yrs",N251&lt;=4,"2-4 yrs",N251&lt;=9,"5-9 yrs",N251&gt;9,"10+ yrs")</f>
        <v>0-1 yrs</v>
      </c>
      <c r="S251" t="str" cm="1">
        <f t="array" ref="S251">_xlfn.IFS(B251&lt;=25,"20-25",B251&lt;=35,"26-35",B251&lt;=45,"36-45",B251&gt;45,"46+")</f>
        <v>20-25</v>
      </c>
      <c r="T251" t="str" cm="1">
        <f t="array" ref="T251">_xlfn.IFS(J251&lt;3500,"&lt;3.5K",J251&lt;5500,"3.5-5.5K",J251&lt;7500,"5.5-7.5K",J251&gt;=7500,"7.5K+")</f>
        <v>5.5-7.5K</v>
      </c>
      <c r="U251">
        <f t="shared" si="3"/>
        <v>0</v>
      </c>
    </row>
    <row r="252" spans="1:21" x14ac:dyDescent="0.25">
      <c r="A252">
        <v>1187</v>
      </c>
      <c r="B252">
        <v>40</v>
      </c>
      <c r="C252" t="s">
        <v>23</v>
      </c>
      <c r="D252" t="s">
        <v>17</v>
      </c>
      <c r="E252" t="s">
        <v>18</v>
      </c>
      <c r="F252" t="s">
        <v>26</v>
      </c>
      <c r="G252" t="s">
        <v>33</v>
      </c>
      <c r="H252" t="s">
        <v>21</v>
      </c>
      <c r="I252">
        <v>3</v>
      </c>
      <c r="J252" s="2">
        <v>10212</v>
      </c>
      <c r="K252" t="s">
        <v>22</v>
      </c>
      <c r="L252">
        <v>3</v>
      </c>
      <c r="M252">
        <v>4</v>
      </c>
      <c r="N252">
        <v>12</v>
      </c>
      <c r="O252">
        <v>7</v>
      </c>
      <c r="P252">
        <v>20</v>
      </c>
      <c r="Q252" t="s">
        <v>22</v>
      </c>
      <c r="R252" t="str" cm="1">
        <f t="array" ref="R252">_xlfn.IFS(N252&lt;=1,"0-1 yrs",N252&lt;=4,"2-4 yrs",N252&lt;=9,"5-9 yrs",N252&gt;9,"10+ yrs")</f>
        <v>10+ yrs</v>
      </c>
      <c r="S252" t="str" cm="1">
        <f t="array" ref="S252">_xlfn.IFS(B252&lt;=25,"20-25",B252&lt;=35,"26-35",B252&lt;=45,"36-45",B252&gt;45,"46+")</f>
        <v>36-45</v>
      </c>
      <c r="T252" t="str" cm="1">
        <f t="array" ref="T252">_xlfn.IFS(J252&lt;3500,"&lt;3.5K",J252&lt;5500,"3.5-5.5K",J252&lt;7500,"5.5-7.5K",J252&gt;=7500,"7.5K+")</f>
        <v>7.5K+</v>
      </c>
      <c r="U252">
        <f t="shared" si="3"/>
        <v>0</v>
      </c>
    </row>
    <row r="253" spans="1:21" x14ac:dyDescent="0.25">
      <c r="A253">
        <v>1158</v>
      </c>
      <c r="B253">
        <v>24</v>
      </c>
      <c r="C253" t="s">
        <v>16</v>
      </c>
      <c r="D253" t="s">
        <v>27</v>
      </c>
      <c r="E253" t="s">
        <v>43</v>
      </c>
      <c r="F253" t="s">
        <v>41</v>
      </c>
      <c r="G253" t="s">
        <v>37</v>
      </c>
      <c r="H253" t="s">
        <v>21</v>
      </c>
      <c r="I253">
        <v>22</v>
      </c>
      <c r="J253" s="2">
        <v>5917</v>
      </c>
      <c r="K253" t="s">
        <v>22</v>
      </c>
      <c r="L253">
        <v>3</v>
      </c>
      <c r="M253">
        <v>1</v>
      </c>
      <c r="N253">
        <v>0</v>
      </c>
      <c r="O253">
        <v>0</v>
      </c>
      <c r="P253">
        <v>0</v>
      </c>
      <c r="Q253" t="s">
        <v>22</v>
      </c>
      <c r="R253" t="str" cm="1">
        <f t="array" ref="R253">_xlfn.IFS(N253&lt;=1,"0-1 yrs",N253&lt;=4,"2-4 yrs",N253&lt;=9,"5-9 yrs",N253&gt;9,"10+ yrs")</f>
        <v>0-1 yrs</v>
      </c>
      <c r="S253" t="str" cm="1">
        <f t="array" ref="S253">_xlfn.IFS(B253&lt;=25,"20-25",B253&lt;=35,"26-35",B253&lt;=45,"36-45",B253&gt;45,"46+")</f>
        <v>20-25</v>
      </c>
      <c r="T253" t="str" cm="1">
        <f t="array" ref="T253">_xlfn.IFS(J253&lt;3500,"&lt;3.5K",J253&lt;5500,"3.5-5.5K",J253&lt;7500,"5.5-7.5K",J253&gt;=7500,"7.5K+")</f>
        <v>5.5-7.5K</v>
      </c>
      <c r="U253">
        <f t="shared" si="3"/>
        <v>0</v>
      </c>
    </row>
    <row r="254" spans="1:21" x14ac:dyDescent="0.25">
      <c r="A254">
        <v>1820</v>
      </c>
      <c r="B254">
        <v>43</v>
      </c>
      <c r="C254" t="s">
        <v>16</v>
      </c>
      <c r="D254" t="s">
        <v>24</v>
      </c>
      <c r="E254" t="s">
        <v>25</v>
      </c>
      <c r="F254" t="s">
        <v>41</v>
      </c>
      <c r="G254" t="s">
        <v>20</v>
      </c>
      <c r="H254" t="s">
        <v>21</v>
      </c>
      <c r="I254">
        <v>1</v>
      </c>
      <c r="J254" s="2">
        <v>10459</v>
      </c>
      <c r="K254" t="s">
        <v>22</v>
      </c>
      <c r="L254">
        <v>1</v>
      </c>
      <c r="M254">
        <v>3</v>
      </c>
      <c r="N254">
        <v>0</v>
      </c>
      <c r="O254">
        <v>0</v>
      </c>
      <c r="P254">
        <v>12</v>
      </c>
      <c r="Q254" t="s">
        <v>42</v>
      </c>
      <c r="R254" t="str" cm="1">
        <f t="array" ref="R254">_xlfn.IFS(N254&lt;=1,"0-1 yrs",N254&lt;=4,"2-4 yrs",N254&lt;=9,"5-9 yrs",N254&gt;9,"10+ yrs")</f>
        <v>0-1 yrs</v>
      </c>
      <c r="S254" t="str" cm="1">
        <f t="array" ref="S254">_xlfn.IFS(B254&lt;=25,"20-25",B254&lt;=35,"26-35",B254&lt;=45,"36-45",B254&gt;45,"46+")</f>
        <v>36-45</v>
      </c>
      <c r="T254" t="str" cm="1">
        <f t="array" ref="T254">_xlfn.IFS(J254&lt;3500,"&lt;3.5K",J254&lt;5500,"3.5-5.5K",J254&lt;7500,"5.5-7.5K",J254&gt;=7500,"7.5K+")</f>
        <v>7.5K+</v>
      </c>
      <c r="U254">
        <f t="shared" si="3"/>
        <v>1</v>
      </c>
    </row>
    <row r="255" spans="1:21" x14ac:dyDescent="0.25">
      <c r="A255">
        <v>1898</v>
      </c>
      <c r="B255">
        <v>41</v>
      </c>
      <c r="C255" t="s">
        <v>16</v>
      </c>
      <c r="D255" t="s">
        <v>24</v>
      </c>
      <c r="E255" t="s">
        <v>46</v>
      </c>
      <c r="F255" t="s">
        <v>38</v>
      </c>
      <c r="G255" t="s">
        <v>20</v>
      </c>
      <c r="H255" t="s">
        <v>21</v>
      </c>
      <c r="I255">
        <v>6</v>
      </c>
      <c r="J255" s="2">
        <v>6964</v>
      </c>
      <c r="K255" t="s">
        <v>22</v>
      </c>
      <c r="L255">
        <v>1</v>
      </c>
      <c r="M255">
        <v>4</v>
      </c>
      <c r="N255">
        <v>1</v>
      </c>
      <c r="O255">
        <v>1</v>
      </c>
      <c r="P255">
        <v>21</v>
      </c>
      <c r="Q255" t="s">
        <v>22</v>
      </c>
      <c r="R255" t="str" cm="1">
        <f t="array" ref="R255">_xlfn.IFS(N255&lt;=1,"0-1 yrs",N255&lt;=4,"2-4 yrs",N255&lt;=9,"5-9 yrs",N255&gt;9,"10+ yrs")</f>
        <v>0-1 yrs</v>
      </c>
      <c r="S255" t="str" cm="1">
        <f t="array" ref="S255">_xlfn.IFS(B255&lt;=25,"20-25",B255&lt;=35,"26-35",B255&lt;=45,"36-45",B255&gt;45,"46+")</f>
        <v>36-45</v>
      </c>
      <c r="T255" t="str" cm="1">
        <f t="array" ref="T255">_xlfn.IFS(J255&lt;3500,"&lt;3.5K",J255&lt;5500,"3.5-5.5K",J255&lt;7500,"5.5-7.5K",J255&gt;=7500,"7.5K+")</f>
        <v>5.5-7.5K</v>
      </c>
      <c r="U255">
        <f t="shared" si="3"/>
        <v>0</v>
      </c>
    </row>
    <row r="256" spans="1:21" x14ac:dyDescent="0.25">
      <c r="A256">
        <v>1975</v>
      </c>
      <c r="B256">
        <v>41</v>
      </c>
      <c r="C256" t="s">
        <v>16</v>
      </c>
      <c r="D256" t="s">
        <v>27</v>
      </c>
      <c r="E256" t="s">
        <v>44</v>
      </c>
      <c r="F256" t="s">
        <v>29</v>
      </c>
      <c r="G256" t="s">
        <v>33</v>
      </c>
      <c r="H256" t="s">
        <v>34</v>
      </c>
      <c r="I256">
        <v>13</v>
      </c>
      <c r="J256" s="2">
        <v>10507</v>
      </c>
      <c r="K256" t="s">
        <v>22</v>
      </c>
      <c r="L256">
        <v>1</v>
      </c>
      <c r="M256">
        <v>4</v>
      </c>
      <c r="N256">
        <v>2</v>
      </c>
      <c r="O256">
        <v>1</v>
      </c>
      <c r="P256">
        <v>21</v>
      </c>
      <c r="Q256" t="s">
        <v>22</v>
      </c>
      <c r="R256" t="str" cm="1">
        <f t="array" ref="R256">_xlfn.IFS(N256&lt;=1,"0-1 yrs",N256&lt;=4,"2-4 yrs",N256&lt;=9,"5-9 yrs",N256&gt;9,"10+ yrs")</f>
        <v>2-4 yrs</v>
      </c>
      <c r="S256" t="str" cm="1">
        <f t="array" ref="S256">_xlfn.IFS(B256&lt;=25,"20-25",B256&lt;=35,"26-35",B256&lt;=45,"36-45",B256&gt;45,"46+")</f>
        <v>36-45</v>
      </c>
      <c r="T256" t="str" cm="1">
        <f t="array" ref="T256">_xlfn.IFS(J256&lt;3500,"&lt;3.5K",J256&lt;5500,"3.5-5.5K",J256&lt;7500,"5.5-7.5K",J256&gt;=7500,"7.5K+")</f>
        <v>7.5K+</v>
      </c>
      <c r="U256">
        <f t="shared" si="3"/>
        <v>0</v>
      </c>
    </row>
    <row r="257" spans="1:21" x14ac:dyDescent="0.25">
      <c r="A257">
        <v>1313</v>
      </c>
      <c r="B257">
        <v>45</v>
      </c>
      <c r="C257" t="s">
        <v>16</v>
      </c>
      <c r="D257" t="s">
        <v>24</v>
      </c>
      <c r="E257" t="s">
        <v>25</v>
      </c>
      <c r="F257" t="s">
        <v>41</v>
      </c>
      <c r="G257" t="s">
        <v>33</v>
      </c>
      <c r="H257" t="s">
        <v>30</v>
      </c>
      <c r="I257">
        <v>22</v>
      </c>
      <c r="J257" s="2">
        <v>14867</v>
      </c>
      <c r="K257" t="s">
        <v>22</v>
      </c>
      <c r="L257">
        <v>1</v>
      </c>
      <c r="M257">
        <v>3</v>
      </c>
      <c r="N257">
        <v>1</v>
      </c>
      <c r="O257">
        <v>1</v>
      </c>
      <c r="P257">
        <v>22</v>
      </c>
      <c r="Q257" t="s">
        <v>22</v>
      </c>
      <c r="R257" t="str" cm="1">
        <f t="array" ref="R257">_xlfn.IFS(N257&lt;=1,"0-1 yrs",N257&lt;=4,"2-4 yrs",N257&lt;=9,"5-9 yrs",N257&gt;9,"10+ yrs")</f>
        <v>0-1 yrs</v>
      </c>
      <c r="S257" t="str" cm="1">
        <f t="array" ref="S257">_xlfn.IFS(B257&lt;=25,"20-25",B257&lt;=35,"26-35",B257&lt;=45,"36-45",B257&gt;45,"46+")</f>
        <v>36-45</v>
      </c>
      <c r="T257" t="str" cm="1">
        <f t="array" ref="T257">_xlfn.IFS(J257&lt;3500,"&lt;3.5K",J257&lt;5500,"3.5-5.5K",J257&lt;7500,"5.5-7.5K",J257&gt;=7500,"7.5K+")</f>
        <v>7.5K+</v>
      </c>
      <c r="U257">
        <f t="shared" si="3"/>
        <v>0</v>
      </c>
    </row>
    <row r="258" spans="1:21" x14ac:dyDescent="0.25">
      <c r="A258">
        <v>1671</v>
      </c>
      <c r="B258">
        <v>34</v>
      </c>
      <c r="C258" t="s">
        <v>23</v>
      </c>
      <c r="D258" t="s">
        <v>27</v>
      </c>
      <c r="E258" t="s">
        <v>44</v>
      </c>
      <c r="F258" t="s">
        <v>68</v>
      </c>
      <c r="G258" t="s">
        <v>37</v>
      </c>
      <c r="H258" t="s">
        <v>30</v>
      </c>
      <c r="I258">
        <v>8</v>
      </c>
      <c r="J258" s="2">
        <v>7737</v>
      </c>
      <c r="K258" t="s">
        <v>22</v>
      </c>
      <c r="L258">
        <v>2</v>
      </c>
      <c r="M258">
        <v>4</v>
      </c>
      <c r="N258">
        <v>1</v>
      </c>
      <c r="O258">
        <v>1</v>
      </c>
      <c r="P258">
        <v>7</v>
      </c>
      <c r="Q258" t="s">
        <v>22</v>
      </c>
      <c r="R258" t="str" cm="1">
        <f t="array" ref="R258">_xlfn.IFS(N258&lt;=1,"0-1 yrs",N258&lt;=4,"2-4 yrs",N258&lt;=9,"5-9 yrs",N258&gt;9,"10+ yrs")</f>
        <v>0-1 yrs</v>
      </c>
      <c r="S258" t="str" cm="1">
        <f t="array" ref="S258">_xlfn.IFS(B258&lt;=25,"20-25",B258&lt;=35,"26-35",B258&lt;=45,"36-45",B258&gt;45,"46+")</f>
        <v>26-35</v>
      </c>
      <c r="T258" t="str" cm="1">
        <f t="array" ref="T258">_xlfn.IFS(J258&lt;3500,"&lt;3.5K",J258&lt;5500,"3.5-5.5K",J258&lt;7500,"5.5-7.5K",J258&gt;=7500,"7.5K+")</f>
        <v>7.5K+</v>
      </c>
      <c r="U258">
        <f t="shared" si="3"/>
        <v>0</v>
      </c>
    </row>
    <row r="259" spans="1:21" x14ac:dyDescent="0.25">
      <c r="A259">
        <v>1059</v>
      </c>
      <c r="B259">
        <v>35</v>
      </c>
      <c r="C259" t="s">
        <v>23</v>
      </c>
      <c r="D259" t="s">
        <v>27</v>
      </c>
      <c r="E259" t="s">
        <v>28</v>
      </c>
      <c r="F259" t="s">
        <v>26</v>
      </c>
      <c r="G259" t="s">
        <v>33</v>
      </c>
      <c r="H259" t="s">
        <v>21</v>
      </c>
      <c r="I259">
        <v>26</v>
      </c>
      <c r="J259" s="2">
        <v>11249</v>
      </c>
      <c r="K259" t="s">
        <v>22</v>
      </c>
      <c r="L259">
        <v>3</v>
      </c>
      <c r="M259">
        <v>4</v>
      </c>
      <c r="N259">
        <v>3</v>
      </c>
      <c r="O259">
        <v>1</v>
      </c>
      <c r="P259">
        <v>8</v>
      </c>
      <c r="Q259" t="s">
        <v>22</v>
      </c>
      <c r="R259" t="str" cm="1">
        <f t="array" ref="R259">_xlfn.IFS(N259&lt;=1,"0-1 yrs",N259&lt;=4,"2-4 yrs",N259&lt;=9,"5-9 yrs",N259&gt;9,"10+ yrs")</f>
        <v>2-4 yrs</v>
      </c>
      <c r="S259" t="str" cm="1">
        <f t="array" ref="S259">_xlfn.IFS(B259&lt;=25,"20-25",B259&lt;=35,"26-35",B259&lt;=45,"36-45",B259&gt;45,"46+")</f>
        <v>26-35</v>
      </c>
      <c r="T259" t="str" cm="1">
        <f t="array" ref="T259">_xlfn.IFS(J259&lt;3500,"&lt;3.5K",J259&lt;5500,"3.5-5.5K",J259&lt;7500,"5.5-7.5K",J259&gt;=7500,"7.5K+")</f>
        <v>7.5K+</v>
      </c>
      <c r="U259">
        <f t="shared" ref="U259:U322" si="4">IF(Q259="Yes",1,0)</f>
        <v>0</v>
      </c>
    </row>
    <row r="260" spans="1:21" x14ac:dyDescent="0.25">
      <c r="A260">
        <v>1631</v>
      </c>
      <c r="B260">
        <v>50</v>
      </c>
      <c r="C260" t="s">
        <v>23</v>
      </c>
      <c r="D260" t="s">
        <v>38</v>
      </c>
      <c r="E260" t="s">
        <v>49</v>
      </c>
      <c r="F260" t="s">
        <v>38</v>
      </c>
      <c r="G260" t="s">
        <v>37</v>
      </c>
      <c r="H260" t="s">
        <v>21</v>
      </c>
      <c r="I260">
        <v>24</v>
      </c>
      <c r="J260" s="2">
        <v>11665</v>
      </c>
      <c r="K260" t="s">
        <v>22</v>
      </c>
      <c r="L260">
        <v>2</v>
      </c>
      <c r="M260">
        <v>2</v>
      </c>
      <c r="N260">
        <v>21</v>
      </c>
      <c r="O260">
        <v>16</v>
      </c>
      <c r="P260">
        <v>22</v>
      </c>
      <c r="Q260" t="s">
        <v>22</v>
      </c>
      <c r="R260" t="str" cm="1">
        <f t="array" ref="R260">_xlfn.IFS(N260&lt;=1,"0-1 yrs",N260&lt;=4,"2-4 yrs",N260&lt;=9,"5-9 yrs",N260&gt;9,"10+ yrs")</f>
        <v>10+ yrs</v>
      </c>
      <c r="S260" t="str" cm="1">
        <f t="array" ref="S260">_xlfn.IFS(B260&lt;=25,"20-25",B260&lt;=35,"26-35",B260&lt;=45,"36-45",B260&gt;45,"46+")</f>
        <v>46+</v>
      </c>
      <c r="T260" t="str" cm="1">
        <f t="array" ref="T260">_xlfn.IFS(J260&lt;3500,"&lt;3.5K",J260&lt;5500,"3.5-5.5K",J260&lt;7500,"5.5-7.5K",J260&gt;=7500,"7.5K+")</f>
        <v>7.5K+</v>
      </c>
      <c r="U260">
        <f t="shared" si="4"/>
        <v>0</v>
      </c>
    </row>
    <row r="261" spans="1:21" x14ac:dyDescent="0.25">
      <c r="A261">
        <v>1616</v>
      </c>
      <c r="B261">
        <v>45</v>
      </c>
      <c r="C261" t="s">
        <v>16</v>
      </c>
      <c r="D261" t="s">
        <v>47</v>
      </c>
      <c r="E261" t="s">
        <v>50</v>
      </c>
      <c r="F261" t="s">
        <v>26</v>
      </c>
      <c r="G261" t="s">
        <v>33</v>
      </c>
      <c r="H261" t="s">
        <v>30</v>
      </c>
      <c r="I261">
        <v>26</v>
      </c>
      <c r="J261" s="2">
        <v>11383</v>
      </c>
      <c r="K261" t="s">
        <v>22</v>
      </c>
      <c r="L261">
        <v>1</v>
      </c>
      <c r="M261">
        <v>2</v>
      </c>
      <c r="N261">
        <v>9</v>
      </c>
      <c r="O261">
        <v>3</v>
      </c>
      <c r="P261">
        <v>25</v>
      </c>
      <c r="Q261" t="s">
        <v>22</v>
      </c>
      <c r="R261" t="str" cm="1">
        <f t="array" ref="R261">_xlfn.IFS(N261&lt;=1,"0-1 yrs",N261&lt;=4,"2-4 yrs",N261&lt;=9,"5-9 yrs",N261&gt;9,"10+ yrs")</f>
        <v>5-9 yrs</v>
      </c>
      <c r="S261" t="str" cm="1">
        <f t="array" ref="S261">_xlfn.IFS(B261&lt;=25,"20-25",B261&lt;=35,"26-35",B261&lt;=45,"36-45",B261&gt;45,"46+")</f>
        <v>36-45</v>
      </c>
      <c r="T261" t="str" cm="1">
        <f t="array" ref="T261">_xlfn.IFS(J261&lt;3500,"&lt;3.5K",J261&lt;5500,"3.5-5.5K",J261&lt;7500,"5.5-7.5K",J261&gt;=7500,"7.5K+")</f>
        <v>7.5K+</v>
      </c>
      <c r="U261">
        <f t="shared" si="4"/>
        <v>0</v>
      </c>
    </row>
    <row r="262" spans="1:21" x14ac:dyDescent="0.25">
      <c r="A262">
        <v>1240</v>
      </c>
      <c r="B262">
        <v>37</v>
      </c>
      <c r="C262" t="s">
        <v>16</v>
      </c>
      <c r="D262" t="s">
        <v>17</v>
      </c>
      <c r="E262" t="s">
        <v>40</v>
      </c>
      <c r="F262" t="s">
        <v>29</v>
      </c>
      <c r="G262" t="s">
        <v>20</v>
      </c>
      <c r="H262" t="s">
        <v>30</v>
      </c>
      <c r="I262">
        <v>1</v>
      </c>
      <c r="J262" s="2">
        <v>5451</v>
      </c>
      <c r="K262" t="s">
        <v>22</v>
      </c>
      <c r="L262">
        <v>2</v>
      </c>
      <c r="M262">
        <v>2</v>
      </c>
      <c r="N262">
        <v>0</v>
      </c>
      <c r="O262">
        <v>0</v>
      </c>
      <c r="P262">
        <v>9</v>
      </c>
      <c r="Q262" t="s">
        <v>42</v>
      </c>
      <c r="R262" t="str" cm="1">
        <f t="array" ref="R262">_xlfn.IFS(N262&lt;=1,"0-1 yrs",N262&lt;=4,"2-4 yrs",N262&lt;=9,"5-9 yrs",N262&gt;9,"10+ yrs")</f>
        <v>0-1 yrs</v>
      </c>
      <c r="S262" t="str" cm="1">
        <f t="array" ref="S262">_xlfn.IFS(B262&lt;=25,"20-25",B262&lt;=35,"26-35",B262&lt;=45,"36-45",B262&gt;45,"46+")</f>
        <v>36-45</v>
      </c>
      <c r="T262" t="str" cm="1">
        <f t="array" ref="T262">_xlfn.IFS(J262&lt;3500,"&lt;3.5K",J262&lt;5500,"3.5-5.5K",J262&lt;7500,"5.5-7.5K",J262&gt;=7500,"7.5K+")</f>
        <v>3.5-5.5K</v>
      </c>
      <c r="U262">
        <f t="shared" si="4"/>
        <v>1</v>
      </c>
    </row>
    <row r="263" spans="1:21" x14ac:dyDescent="0.25">
      <c r="A263">
        <v>1340</v>
      </c>
      <c r="B263">
        <v>43</v>
      </c>
      <c r="C263" t="s">
        <v>23</v>
      </c>
      <c r="D263" t="s">
        <v>24</v>
      </c>
      <c r="E263" t="s">
        <v>45</v>
      </c>
      <c r="F263" t="s">
        <v>36</v>
      </c>
      <c r="G263" t="s">
        <v>33</v>
      </c>
      <c r="H263" t="s">
        <v>30</v>
      </c>
      <c r="I263">
        <v>7</v>
      </c>
      <c r="J263" s="2">
        <v>8553</v>
      </c>
      <c r="K263" t="s">
        <v>42</v>
      </c>
      <c r="L263">
        <v>1</v>
      </c>
      <c r="M263">
        <v>3</v>
      </c>
      <c r="N263">
        <v>19</v>
      </c>
      <c r="O263">
        <v>8</v>
      </c>
      <c r="P263">
        <v>19</v>
      </c>
      <c r="Q263" t="s">
        <v>22</v>
      </c>
      <c r="R263" t="str" cm="1">
        <f t="array" ref="R263">_xlfn.IFS(N263&lt;=1,"0-1 yrs",N263&lt;=4,"2-4 yrs",N263&lt;=9,"5-9 yrs",N263&gt;9,"10+ yrs")</f>
        <v>10+ yrs</v>
      </c>
      <c r="S263" t="str" cm="1">
        <f t="array" ref="S263">_xlfn.IFS(B263&lt;=25,"20-25",B263&lt;=35,"26-35",B263&lt;=45,"36-45",B263&gt;45,"46+")</f>
        <v>36-45</v>
      </c>
      <c r="T263" t="str" cm="1">
        <f t="array" ref="T263">_xlfn.IFS(J263&lt;3500,"&lt;3.5K",J263&lt;5500,"3.5-5.5K",J263&lt;7500,"5.5-7.5K",J263&gt;=7500,"7.5K+")</f>
        <v>7.5K+</v>
      </c>
      <c r="U263">
        <f t="shared" si="4"/>
        <v>0</v>
      </c>
    </row>
    <row r="264" spans="1:21" x14ac:dyDescent="0.25">
      <c r="A264">
        <v>1268</v>
      </c>
      <c r="B264">
        <v>37</v>
      </c>
      <c r="C264" t="s">
        <v>23</v>
      </c>
      <c r="D264" t="s">
        <v>24</v>
      </c>
      <c r="E264" t="s">
        <v>52</v>
      </c>
      <c r="F264" t="s">
        <v>19</v>
      </c>
      <c r="G264" t="s">
        <v>37</v>
      </c>
      <c r="H264" t="s">
        <v>30</v>
      </c>
      <c r="I264">
        <v>29</v>
      </c>
      <c r="J264" s="2">
        <v>7987</v>
      </c>
      <c r="K264" t="s">
        <v>22</v>
      </c>
      <c r="L264">
        <v>2</v>
      </c>
      <c r="M264">
        <v>4</v>
      </c>
      <c r="N264">
        <v>4</v>
      </c>
      <c r="O264">
        <v>3</v>
      </c>
      <c r="P264">
        <v>9</v>
      </c>
      <c r="Q264" t="s">
        <v>22</v>
      </c>
      <c r="R264" t="str" cm="1">
        <f t="array" ref="R264">_xlfn.IFS(N264&lt;=1,"0-1 yrs",N264&lt;=4,"2-4 yrs",N264&lt;=9,"5-9 yrs",N264&gt;9,"10+ yrs")</f>
        <v>2-4 yrs</v>
      </c>
      <c r="S264" t="str" cm="1">
        <f t="array" ref="S264">_xlfn.IFS(B264&lt;=25,"20-25",B264&lt;=35,"26-35",B264&lt;=45,"36-45",B264&gt;45,"46+")</f>
        <v>36-45</v>
      </c>
      <c r="T264" t="str" cm="1">
        <f t="array" ref="T264">_xlfn.IFS(J264&lt;3500,"&lt;3.5K",J264&lt;5500,"3.5-5.5K",J264&lt;7500,"5.5-7.5K",J264&gt;=7500,"7.5K+")</f>
        <v>7.5K+</v>
      </c>
      <c r="U264">
        <f t="shared" si="4"/>
        <v>0</v>
      </c>
    </row>
    <row r="265" spans="1:21" x14ac:dyDescent="0.25">
      <c r="A265">
        <v>1759</v>
      </c>
      <c r="B265">
        <v>37</v>
      </c>
      <c r="C265" t="s">
        <v>16</v>
      </c>
      <c r="D265" t="s">
        <v>17</v>
      </c>
      <c r="E265" t="s">
        <v>40</v>
      </c>
      <c r="F265" t="s">
        <v>36</v>
      </c>
      <c r="G265" t="s">
        <v>33</v>
      </c>
      <c r="H265" t="s">
        <v>34</v>
      </c>
      <c r="I265">
        <v>13</v>
      </c>
      <c r="J265" s="2">
        <v>8717</v>
      </c>
      <c r="K265" t="s">
        <v>42</v>
      </c>
      <c r="L265">
        <v>4</v>
      </c>
      <c r="M265">
        <v>4</v>
      </c>
      <c r="N265">
        <v>1</v>
      </c>
      <c r="O265">
        <v>0</v>
      </c>
      <c r="P265">
        <v>12</v>
      </c>
      <c r="Q265" t="s">
        <v>42</v>
      </c>
      <c r="R265" t="str" cm="1">
        <f t="array" ref="R265">_xlfn.IFS(N265&lt;=1,"0-1 yrs",N265&lt;=4,"2-4 yrs",N265&lt;=9,"5-9 yrs",N265&gt;9,"10+ yrs")</f>
        <v>0-1 yrs</v>
      </c>
      <c r="S265" t="str" cm="1">
        <f t="array" ref="S265">_xlfn.IFS(B265&lt;=25,"20-25",B265&lt;=35,"26-35",B265&lt;=45,"36-45",B265&gt;45,"46+")</f>
        <v>36-45</v>
      </c>
      <c r="T265" t="str" cm="1">
        <f t="array" ref="T265">_xlfn.IFS(J265&lt;3500,"&lt;3.5K",J265&lt;5500,"3.5-5.5K",J265&lt;7500,"5.5-7.5K",J265&gt;=7500,"7.5K+")</f>
        <v>7.5K+</v>
      </c>
      <c r="U265">
        <f t="shared" si="4"/>
        <v>1</v>
      </c>
    </row>
    <row r="266" spans="1:21" x14ac:dyDescent="0.25">
      <c r="A266">
        <v>1136</v>
      </c>
      <c r="B266">
        <v>41</v>
      </c>
      <c r="C266" t="s">
        <v>23</v>
      </c>
      <c r="D266" t="s">
        <v>17</v>
      </c>
      <c r="E266" t="s">
        <v>35</v>
      </c>
      <c r="F266" t="s">
        <v>19</v>
      </c>
      <c r="G266" t="s">
        <v>20</v>
      </c>
      <c r="H266" t="s">
        <v>21</v>
      </c>
      <c r="I266">
        <v>7</v>
      </c>
      <c r="J266" s="2">
        <v>7449</v>
      </c>
      <c r="K266" t="s">
        <v>22</v>
      </c>
      <c r="L266">
        <v>4</v>
      </c>
      <c r="M266">
        <v>4</v>
      </c>
      <c r="N266">
        <v>4</v>
      </c>
      <c r="O266">
        <v>0</v>
      </c>
      <c r="P266">
        <v>16</v>
      </c>
      <c r="Q266" t="s">
        <v>22</v>
      </c>
      <c r="R266" t="str" cm="1">
        <f t="array" ref="R266">_xlfn.IFS(N266&lt;=1,"0-1 yrs",N266&lt;=4,"2-4 yrs",N266&lt;=9,"5-9 yrs",N266&gt;9,"10+ yrs")</f>
        <v>2-4 yrs</v>
      </c>
      <c r="S266" t="str" cm="1">
        <f t="array" ref="S266">_xlfn.IFS(B266&lt;=25,"20-25",B266&lt;=35,"26-35",B266&lt;=45,"36-45",B266&gt;45,"46+")</f>
        <v>36-45</v>
      </c>
      <c r="T266" t="str" cm="1">
        <f t="array" ref="T266">_xlfn.IFS(J266&lt;3500,"&lt;3.5K",J266&lt;5500,"3.5-5.5K",J266&lt;7500,"5.5-7.5K",J266&gt;=7500,"7.5K+")</f>
        <v>5.5-7.5K</v>
      </c>
      <c r="U266">
        <f t="shared" si="4"/>
        <v>0</v>
      </c>
    </row>
    <row r="267" spans="1:21" x14ac:dyDescent="0.25">
      <c r="A267">
        <v>1020</v>
      </c>
      <c r="B267">
        <v>40</v>
      </c>
      <c r="C267" t="s">
        <v>16</v>
      </c>
      <c r="D267" t="s">
        <v>38</v>
      </c>
      <c r="E267" t="s">
        <v>49</v>
      </c>
      <c r="F267" t="s">
        <v>19</v>
      </c>
      <c r="G267" t="s">
        <v>33</v>
      </c>
      <c r="H267" t="s">
        <v>34</v>
      </c>
      <c r="I267">
        <v>17</v>
      </c>
      <c r="J267" s="2">
        <v>10485</v>
      </c>
      <c r="K267" t="s">
        <v>22</v>
      </c>
      <c r="L267">
        <v>1</v>
      </c>
      <c r="M267">
        <v>1</v>
      </c>
      <c r="N267">
        <v>0</v>
      </c>
      <c r="O267">
        <v>0</v>
      </c>
      <c r="P267">
        <v>20</v>
      </c>
      <c r="Q267" t="s">
        <v>42</v>
      </c>
      <c r="R267" t="str" cm="1">
        <f t="array" ref="R267">_xlfn.IFS(N267&lt;=1,"0-1 yrs",N267&lt;=4,"2-4 yrs",N267&lt;=9,"5-9 yrs",N267&gt;9,"10+ yrs")</f>
        <v>0-1 yrs</v>
      </c>
      <c r="S267" t="str" cm="1">
        <f t="array" ref="S267">_xlfn.IFS(B267&lt;=25,"20-25",B267&lt;=35,"26-35",B267&lt;=45,"36-45",B267&gt;45,"46+")</f>
        <v>36-45</v>
      </c>
      <c r="T267" t="str" cm="1">
        <f t="array" ref="T267">_xlfn.IFS(J267&lt;3500,"&lt;3.5K",J267&lt;5500,"3.5-5.5K",J267&lt;7500,"5.5-7.5K",J267&gt;=7500,"7.5K+")</f>
        <v>7.5K+</v>
      </c>
      <c r="U267">
        <f t="shared" si="4"/>
        <v>1</v>
      </c>
    </row>
    <row r="268" spans="1:21" x14ac:dyDescent="0.25">
      <c r="A268">
        <v>1781</v>
      </c>
      <c r="B268">
        <v>27</v>
      </c>
      <c r="C268" t="s">
        <v>23</v>
      </c>
      <c r="D268" t="s">
        <v>27</v>
      </c>
      <c r="E268" t="s">
        <v>44</v>
      </c>
      <c r="F268" t="s">
        <v>19</v>
      </c>
      <c r="G268" t="s">
        <v>37</v>
      </c>
      <c r="H268" t="s">
        <v>30</v>
      </c>
      <c r="I268">
        <v>3</v>
      </c>
      <c r="J268" s="2">
        <v>3030</v>
      </c>
      <c r="K268" t="s">
        <v>22</v>
      </c>
      <c r="L268">
        <v>4</v>
      </c>
      <c r="M268">
        <v>4</v>
      </c>
      <c r="N268">
        <v>0</v>
      </c>
      <c r="O268">
        <v>0</v>
      </c>
      <c r="P268">
        <v>0</v>
      </c>
      <c r="Q268" t="s">
        <v>22</v>
      </c>
      <c r="R268" t="str" cm="1">
        <f t="array" ref="R268">_xlfn.IFS(N268&lt;=1,"0-1 yrs",N268&lt;=4,"2-4 yrs",N268&lt;=9,"5-9 yrs",N268&gt;9,"10+ yrs")</f>
        <v>0-1 yrs</v>
      </c>
      <c r="S268" t="str" cm="1">
        <f t="array" ref="S268">_xlfn.IFS(B268&lt;=25,"20-25",B268&lt;=35,"26-35",B268&lt;=45,"36-45",B268&gt;45,"46+")</f>
        <v>26-35</v>
      </c>
      <c r="T268" t="str" cm="1">
        <f t="array" ref="T268">_xlfn.IFS(J268&lt;3500,"&lt;3.5K",J268&lt;5500,"3.5-5.5K",J268&lt;7500,"5.5-7.5K",J268&gt;=7500,"7.5K+")</f>
        <v>&lt;3.5K</v>
      </c>
      <c r="U268">
        <f t="shared" si="4"/>
        <v>0</v>
      </c>
    </row>
    <row r="269" spans="1:21" x14ac:dyDescent="0.25">
      <c r="A269">
        <v>1034</v>
      </c>
      <c r="B269">
        <v>59</v>
      </c>
      <c r="C269" t="s">
        <v>16</v>
      </c>
      <c r="D269" t="s">
        <v>47</v>
      </c>
      <c r="E269" t="s">
        <v>50</v>
      </c>
      <c r="F269" t="s">
        <v>38</v>
      </c>
      <c r="G269" t="s">
        <v>20</v>
      </c>
      <c r="H269" t="s">
        <v>30</v>
      </c>
      <c r="I269">
        <v>25</v>
      </c>
      <c r="J269" s="2">
        <v>10209</v>
      </c>
      <c r="K269" t="s">
        <v>22</v>
      </c>
      <c r="L269">
        <v>2</v>
      </c>
      <c r="M269">
        <v>4</v>
      </c>
      <c r="N269">
        <v>13</v>
      </c>
      <c r="O269">
        <v>13</v>
      </c>
      <c r="P269">
        <v>39</v>
      </c>
      <c r="Q269" t="s">
        <v>22</v>
      </c>
      <c r="R269" t="str" cm="1">
        <f t="array" ref="R269">_xlfn.IFS(N269&lt;=1,"0-1 yrs",N269&lt;=4,"2-4 yrs",N269&lt;=9,"5-9 yrs",N269&gt;9,"10+ yrs")</f>
        <v>10+ yrs</v>
      </c>
      <c r="S269" t="str" cm="1">
        <f t="array" ref="S269">_xlfn.IFS(B269&lt;=25,"20-25",B269&lt;=35,"26-35",B269&lt;=45,"36-45",B269&gt;45,"46+")</f>
        <v>46+</v>
      </c>
      <c r="T269" t="str" cm="1">
        <f t="array" ref="T269">_xlfn.IFS(J269&lt;3500,"&lt;3.5K",J269&lt;5500,"3.5-5.5K",J269&lt;7500,"5.5-7.5K",J269&gt;=7500,"7.5K+")</f>
        <v>7.5K+</v>
      </c>
      <c r="U269">
        <f t="shared" si="4"/>
        <v>0</v>
      </c>
    </row>
    <row r="270" spans="1:21" x14ac:dyDescent="0.25">
      <c r="A270">
        <v>1460</v>
      </c>
      <c r="B270">
        <v>41</v>
      </c>
      <c r="C270" t="s">
        <v>23</v>
      </c>
      <c r="D270" t="s">
        <v>24</v>
      </c>
      <c r="E270" t="s">
        <v>52</v>
      </c>
      <c r="F270" t="s">
        <v>29</v>
      </c>
      <c r="G270" t="s">
        <v>20</v>
      </c>
      <c r="H270" t="s">
        <v>30</v>
      </c>
      <c r="I270">
        <v>23</v>
      </c>
      <c r="J270" s="2">
        <v>11588</v>
      </c>
      <c r="K270" t="s">
        <v>42</v>
      </c>
      <c r="L270">
        <v>4</v>
      </c>
      <c r="M270">
        <v>4</v>
      </c>
      <c r="N270">
        <v>12</v>
      </c>
      <c r="O270">
        <v>1</v>
      </c>
      <c r="P270">
        <v>19</v>
      </c>
      <c r="Q270" t="s">
        <v>22</v>
      </c>
      <c r="R270" t="str" cm="1">
        <f t="array" ref="R270">_xlfn.IFS(N270&lt;=1,"0-1 yrs",N270&lt;=4,"2-4 yrs",N270&lt;=9,"5-9 yrs",N270&gt;9,"10+ yrs")</f>
        <v>10+ yrs</v>
      </c>
      <c r="S270" t="str" cm="1">
        <f t="array" ref="S270">_xlfn.IFS(B270&lt;=25,"20-25",B270&lt;=35,"26-35",B270&lt;=45,"36-45",B270&gt;45,"46+")</f>
        <v>36-45</v>
      </c>
      <c r="T270" t="str" cm="1">
        <f t="array" ref="T270">_xlfn.IFS(J270&lt;3500,"&lt;3.5K",J270&lt;5500,"3.5-5.5K",J270&lt;7500,"5.5-7.5K",J270&gt;=7500,"7.5K+")</f>
        <v>7.5K+</v>
      </c>
      <c r="U270">
        <f t="shared" si="4"/>
        <v>0</v>
      </c>
    </row>
    <row r="271" spans="1:21" x14ac:dyDescent="0.25">
      <c r="A271">
        <v>1108</v>
      </c>
      <c r="B271">
        <v>28</v>
      </c>
      <c r="C271" t="s">
        <v>16</v>
      </c>
      <c r="D271" t="s">
        <v>27</v>
      </c>
      <c r="E271" t="s">
        <v>44</v>
      </c>
      <c r="F271" t="s">
        <v>41</v>
      </c>
      <c r="G271" t="s">
        <v>33</v>
      </c>
      <c r="H271" t="s">
        <v>21</v>
      </c>
      <c r="I271">
        <v>3</v>
      </c>
      <c r="J271" s="2">
        <v>8023</v>
      </c>
      <c r="K271" t="s">
        <v>22</v>
      </c>
      <c r="L271">
        <v>4</v>
      </c>
      <c r="M271">
        <v>2</v>
      </c>
      <c r="N271">
        <v>2</v>
      </c>
      <c r="O271">
        <v>2</v>
      </c>
      <c r="P271">
        <v>8</v>
      </c>
      <c r="Q271" t="s">
        <v>22</v>
      </c>
      <c r="R271" t="str" cm="1">
        <f t="array" ref="R271">_xlfn.IFS(N271&lt;=1,"0-1 yrs",N271&lt;=4,"2-4 yrs",N271&lt;=9,"5-9 yrs",N271&gt;9,"10+ yrs")</f>
        <v>2-4 yrs</v>
      </c>
      <c r="S271" t="str" cm="1">
        <f t="array" ref="S271">_xlfn.IFS(B271&lt;=25,"20-25",B271&lt;=35,"26-35",B271&lt;=45,"36-45",B271&gt;45,"46+")</f>
        <v>26-35</v>
      </c>
      <c r="T271" t="str" cm="1">
        <f t="array" ref="T271">_xlfn.IFS(J271&lt;3500,"&lt;3.5K",J271&lt;5500,"3.5-5.5K",J271&lt;7500,"5.5-7.5K",J271&gt;=7500,"7.5K+")</f>
        <v>7.5K+</v>
      </c>
      <c r="U271">
        <f t="shared" si="4"/>
        <v>0</v>
      </c>
    </row>
    <row r="272" spans="1:21" x14ac:dyDescent="0.25">
      <c r="A272">
        <v>1761</v>
      </c>
      <c r="B272">
        <v>47</v>
      </c>
      <c r="C272" t="s">
        <v>23</v>
      </c>
      <c r="D272" t="s">
        <v>27</v>
      </c>
      <c r="E272" t="s">
        <v>28</v>
      </c>
      <c r="F272" t="s">
        <v>29</v>
      </c>
      <c r="G272" t="s">
        <v>37</v>
      </c>
      <c r="H272" t="s">
        <v>30</v>
      </c>
      <c r="I272">
        <v>18</v>
      </c>
      <c r="J272" s="2">
        <v>10950</v>
      </c>
      <c r="K272" t="s">
        <v>22</v>
      </c>
      <c r="L272">
        <v>4</v>
      </c>
      <c r="M272">
        <v>3</v>
      </c>
      <c r="N272">
        <v>24</v>
      </c>
      <c r="O272">
        <v>1</v>
      </c>
      <c r="P272">
        <v>25</v>
      </c>
      <c r="Q272" t="s">
        <v>22</v>
      </c>
      <c r="R272" t="str" cm="1">
        <f t="array" ref="R272">_xlfn.IFS(N272&lt;=1,"0-1 yrs",N272&lt;=4,"2-4 yrs",N272&lt;=9,"5-9 yrs",N272&gt;9,"10+ yrs")</f>
        <v>10+ yrs</v>
      </c>
      <c r="S272" t="str" cm="1">
        <f t="array" ref="S272">_xlfn.IFS(B272&lt;=25,"20-25",B272&lt;=35,"26-35",B272&lt;=45,"36-45",B272&gt;45,"46+")</f>
        <v>46+</v>
      </c>
      <c r="T272" t="str" cm="1">
        <f t="array" ref="T272">_xlfn.IFS(J272&lt;3500,"&lt;3.5K",J272&lt;5500,"3.5-5.5K",J272&lt;7500,"5.5-7.5K",J272&gt;=7500,"7.5K+")</f>
        <v>7.5K+</v>
      </c>
      <c r="U272">
        <f t="shared" si="4"/>
        <v>0</v>
      </c>
    </row>
    <row r="273" spans="1:21" x14ac:dyDescent="0.25">
      <c r="A273">
        <v>1612</v>
      </c>
      <c r="B273">
        <v>39</v>
      </c>
      <c r="C273" t="s">
        <v>16</v>
      </c>
      <c r="D273" t="s">
        <v>24</v>
      </c>
      <c r="E273" t="s">
        <v>46</v>
      </c>
      <c r="F273" t="s">
        <v>36</v>
      </c>
      <c r="G273" t="s">
        <v>20</v>
      </c>
      <c r="H273" t="s">
        <v>34</v>
      </c>
      <c r="I273">
        <v>20</v>
      </c>
      <c r="J273" s="2">
        <v>9677</v>
      </c>
      <c r="K273" t="s">
        <v>22</v>
      </c>
      <c r="L273">
        <v>3</v>
      </c>
      <c r="M273">
        <v>2</v>
      </c>
      <c r="N273">
        <v>12</v>
      </c>
      <c r="O273">
        <v>6</v>
      </c>
      <c r="P273">
        <v>19</v>
      </c>
      <c r="Q273" t="s">
        <v>22</v>
      </c>
      <c r="R273" t="str" cm="1">
        <f t="array" ref="R273">_xlfn.IFS(N273&lt;=1,"0-1 yrs",N273&lt;=4,"2-4 yrs",N273&lt;=9,"5-9 yrs",N273&gt;9,"10+ yrs")</f>
        <v>10+ yrs</v>
      </c>
      <c r="S273" t="str" cm="1">
        <f t="array" ref="S273">_xlfn.IFS(B273&lt;=25,"20-25",B273&lt;=35,"26-35",B273&lt;=45,"36-45",B273&gt;45,"46+")</f>
        <v>36-45</v>
      </c>
      <c r="T273" t="str" cm="1">
        <f t="array" ref="T273">_xlfn.IFS(J273&lt;3500,"&lt;3.5K",J273&lt;5500,"3.5-5.5K",J273&lt;7500,"5.5-7.5K",J273&gt;=7500,"7.5K+")</f>
        <v>7.5K+</v>
      </c>
      <c r="U273">
        <f t="shared" si="4"/>
        <v>0</v>
      </c>
    </row>
    <row r="274" spans="1:21" x14ac:dyDescent="0.25">
      <c r="A274">
        <v>1078</v>
      </c>
      <c r="B274">
        <v>46</v>
      </c>
      <c r="C274" t="s">
        <v>16</v>
      </c>
      <c r="D274" t="s">
        <v>17</v>
      </c>
      <c r="E274" t="s">
        <v>18</v>
      </c>
      <c r="F274" t="s">
        <v>26</v>
      </c>
      <c r="G274" t="s">
        <v>37</v>
      </c>
      <c r="H274" t="s">
        <v>30</v>
      </c>
      <c r="I274">
        <v>20</v>
      </c>
      <c r="J274" s="2">
        <v>10661</v>
      </c>
      <c r="K274" t="s">
        <v>22</v>
      </c>
      <c r="L274">
        <v>1</v>
      </c>
      <c r="M274">
        <v>4</v>
      </c>
      <c r="N274">
        <v>7</v>
      </c>
      <c r="O274">
        <v>7</v>
      </c>
      <c r="P274">
        <v>13</v>
      </c>
      <c r="Q274" t="s">
        <v>42</v>
      </c>
      <c r="R274" t="str" cm="1">
        <f t="array" ref="R274">_xlfn.IFS(N274&lt;=1,"0-1 yrs",N274&lt;=4,"2-4 yrs",N274&lt;=9,"5-9 yrs",N274&gt;9,"10+ yrs")</f>
        <v>5-9 yrs</v>
      </c>
      <c r="S274" t="str" cm="1">
        <f t="array" ref="S274">_xlfn.IFS(B274&lt;=25,"20-25",B274&lt;=35,"26-35",B274&lt;=45,"36-45",B274&gt;45,"46+")</f>
        <v>46+</v>
      </c>
      <c r="T274" t="str" cm="1">
        <f t="array" ref="T274">_xlfn.IFS(J274&lt;3500,"&lt;3.5K",J274&lt;5500,"3.5-5.5K",J274&lt;7500,"5.5-7.5K",J274&gt;=7500,"7.5K+")</f>
        <v>7.5K+</v>
      </c>
      <c r="U274">
        <f t="shared" si="4"/>
        <v>1</v>
      </c>
    </row>
    <row r="275" spans="1:21" x14ac:dyDescent="0.25">
      <c r="A275">
        <v>1214</v>
      </c>
      <c r="B275">
        <v>29</v>
      </c>
      <c r="C275" t="s">
        <v>16</v>
      </c>
      <c r="D275" t="s">
        <v>17</v>
      </c>
      <c r="E275" t="s">
        <v>35</v>
      </c>
      <c r="F275" t="s">
        <v>41</v>
      </c>
      <c r="G275" t="s">
        <v>33</v>
      </c>
      <c r="H275" t="s">
        <v>30</v>
      </c>
      <c r="I275">
        <v>9</v>
      </c>
      <c r="J275" s="2">
        <v>7240</v>
      </c>
      <c r="K275" t="s">
        <v>42</v>
      </c>
      <c r="L275">
        <v>4</v>
      </c>
      <c r="M275">
        <v>4</v>
      </c>
      <c r="N275">
        <v>3</v>
      </c>
      <c r="O275">
        <v>2</v>
      </c>
      <c r="P275">
        <v>9</v>
      </c>
      <c r="Q275" t="s">
        <v>22</v>
      </c>
      <c r="R275" t="str" cm="1">
        <f t="array" ref="R275">_xlfn.IFS(N275&lt;=1,"0-1 yrs",N275&lt;=4,"2-4 yrs",N275&lt;=9,"5-9 yrs",N275&gt;9,"10+ yrs")</f>
        <v>2-4 yrs</v>
      </c>
      <c r="S275" t="str" cm="1">
        <f t="array" ref="S275">_xlfn.IFS(B275&lt;=25,"20-25",B275&lt;=35,"26-35",B275&lt;=45,"36-45",B275&gt;45,"46+")</f>
        <v>26-35</v>
      </c>
      <c r="T275" t="str" cm="1">
        <f t="array" ref="T275">_xlfn.IFS(J275&lt;3500,"&lt;3.5K",J275&lt;5500,"3.5-5.5K",J275&lt;7500,"5.5-7.5K",J275&gt;=7500,"7.5K+")</f>
        <v>5.5-7.5K</v>
      </c>
      <c r="U275">
        <f t="shared" si="4"/>
        <v>0</v>
      </c>
    </row>
    <row r="276" spans="1:21" x14ac:dyDescent="0.25">
      <c r="A276">
        <v>1635</v>
      </c>
      <c r="B276">
        <v>35</v>
      </c>
      <c r="C276" t="s">
        <v>23</v>
      </c>
      <c r="D276" t="s">
        <v>24</v>
      </c>
      <c r="E276" t="s">
        <v>25</v>
      </c>
      <c r="F276" t="s">
        <v>19</v>
      </c>
      <c r="G276" t="s">
        <v>33</v>
      </c>
      <c r="H276" t="s">
        <v>21</v>
      </c>
      <c r="I276">
        <v>27</v>
      </c>
      <c r="J276" s="2">
        <v>11725</v>
      </c>
      <c r="K276" t="s">
        <v>42</v>
      </c>
      <c r="L276">
        <v>2</v>
      </c>
      <c r="M276">
        <v>2</v>
      </c>
      <c r="N276">
        <v>1</v>
      </c>
      <c r="O276">
        <v>1</v>
      </c>
      <c r="P276">
        <v>15</v>
      </c>
      <c r="Q276" t="s">
        <v>42</v>
      </c>
      <c r="R276" t="str" cm="1">
        <f t="array" ref="R276">_xlfn.IFS(N276&lt;=1,"0-1 yrs",N276&lt;=4,"2-4 yrs",N276&lt;=9,"5-9 yrs",N276&gt;9,"10+ yrs")</f>
        <v>0-1 yrs</v>
      </c>
      <c r="S276" t="str" cm="1">
        <f t="array" ref="S276">_xlfn.IFS(B276&lt;=25,"20-25",B276&lt;=35,"26-35",B276&lt;=45,"36-45",B276&gt;45,"46+")</f>
        <v>26-35</v>
      </c>
      <c r="T276" t="str" cm="1">
        <f t="array" ref="T276">_xlfn.IFS(J276&lt;3500,"&lt;3.5K",J276&lt;5500,"3.5-5.5K",J276&lt;7500,"5.5-7.5K",J276&gt;=7500,"7.5K+")</f>
        <v>7.5K+</v>
      </c>
      <c r="U276">
        <f t="shared" si="4"/>
        <v>1</v>
      </c>
    </row>
    <row r="277" spans="1:21" x14ac:dyDescent="0.25">
      <c r="A277">
        <v>1215</v>
      </c>
      <c r="B277">
        <v>35</v>
      </c>
      <c r="C277" t="s">
        <v>16</v>
      </c>
      <c r="D277" t="s">
        <v>47</v>
      </c>
      <c r="E277" t="s">
        <v>53</v>
      </c>
      <c r="F277" t="s">
        <v>29</v>
      </c>
      <c r="G277" t="s">
        <v>37</v>
      </c>
      <c r="H277" t="s">
        <v>21</v>
      </c>
      <c r="I277">
        <v>16</v>
      </c>
      <c r="J277" s="2">
        <v>8274</v>
      </c>
      <c r="K277" t="s">
        <v>22</v>
      </c>
      <c r="L277">
        <v>3</v>
      </c>
      <c r="M277">
        <v>4</v>
      </c>
      <c r="N277">
        <v>0</v>
      </c>
      <c r="O277">
        <v>0</v>
      </c>
      <c r="P277">
        <v>4</v>
      </c>
      <c r="Q277" t="s">
        <v>22</v>
      </c>
      <c r="R277" t="str" cm="1">
        <f t="array" ref="R277">_xlfn.IFS(N277&lt;=1,"0-1 yrs",N277&lt;=4,"2-4 yrs",N277&lt;=9,"5-9 yrs",N277&gt;9,"10+ yrs")</f>
        <v>0-1 yrs</v>
      </c>
      <c r="S277" t="str" cm="1">
        <f t="array" ref="S277">_xlfn.IFS(B277&lt;=25,"20-25",B277&lt;=35,"26-35",B277&lt;=45,"36-45",B277&gt;45,"46+")</f>
        <v>26-35</v>
      </c>
      <c r="T277" t="str" cm="1">
        <f t="array" ref="T277">_xlfn.IFS(J277&lt;3500,"&lt;3.5K",J277&lt;5500,"3.5-5.5K",J277&lt;7500,"5.5-7.5K",J277&gt;=7500,"7.5K+")</f>
        <v>7.5K+</v>
      </c>
      <c r="U277">
        <f t="shared" si="4"/>
        <v>0</v>
      </c>
    </row>
    <row r="278" spans="1:21" x14ac:dyDescent="0.25">
      <c r="A278">
        <v>1550</v>
      </c>
      <c r="B278">
        <v>23</v>
      </c>
      <c r="C278" t="s">
        <v>23</v>
      </c>
      <c r="D278" t="s">
        <v>24</v>
      </c>
      <c r="E278" t="s">
        <v>46</v>
      </c>
      <c r="F278" t="s">
        <v>36</v>
      </c>
      <c r="G278" t="s">
        <v>33</v>
      </c>
      <c r="H278" t="s">
        <v>30</v>
      </c>
      <c r="I278">
        <v>20</v>
      </c>
      <c r="J278" s="2">
        <v>5458</v>
      </c>
      <c r="K278" t="s">
        <v>42</v>
      </c>
      <c r="L278">
        <v>1</v>
      </c>
      <c r="M278">
        <v>4</v>
      </c>
      <c r="N278">
        <v>0</v>
      </c>
      <c r="O278">
        <v>0</v>
      </c>
      <c r="P278">
        <v>3</v>
      </c>
      <c r="Q278" t="s">
        <v>42</v>
      </c>
      <c r="R278" t="str" cm="1">
        <f t="array" ref="R278">_xlfn.IFS(N278&lt;=1,"0-1 yrs",N278&lt;=4,"2-4 yrs",N278&lt;=9,"5-9 yrs",N278&gt;9,"10+ yrs")</f>
        <v>0-1 yrs</v>
      </c>
      <c r="S278" t="str" cm="1">
        <f t="array" ref="S278">_xlfn.IFS(B278&lt;=25,"20-25",B278&lt;=35,"26-35",B278&lt;=45,"36-45",B278&gt;45,"46+")</f>
        <v>20-25</v>
      </c>
      <c r="T278" t="str" cm="1">
        <f t="array" ref="T278">_xlfn.IFS(J278&lt;3500,"&lt;3.5K",J278&lt;5500,"3.5-5.5K",J278&lt;7500,"5.5-7.5K",J278&gt;=7500,"7.5K+")</f>
        <v>3.5-5.5K</v>
      </c>
      <c r="U278">
        <f t="shared" si="4"/>
        <v>1</v>
      </c>
    </row>
    <row r="279" spans="1:21" x14ac:dyDescent="0.25">
      <c r="A279">
        <v>1519</v>
      </c>
      <c r="B279">
        <v>56</v>
      </c>
      <c r="C279" t="s">
        <v>16</v>
      </c>
      <c r="D279" t="s">
        <v>27</v>
      </c>
      <c r="E279" t="s">
        <v>43</v>
      </c>
      <c r="F279" t="s">
        <v>19</v>
      </c>
      <c r="G279" t="s">
        <v>37</v>
      </c>
      <c r="H279" t="s">
        <v>30</v>
      </c>
      <c r="I279">
        <v>23</v>
      </c>
      <c r="J279" s="2">
        <v>13282</v>
      </c>
      <c r="K279" t="s">
        <v>22</v>
      </c>
      <c r="L279">
        <v>4</v>
      </c>
      <c r="M279">
        <v>4</v>
      </c>
      <c r="N279">
        <v>22</v>
      </c>
      <c r="O279">
        <v>21</v>
      </c>
      <c r="P279">
        <v>36</v>
      </c>
      <c r="Q279" t="s">
        <v>22</v>
      </c>
      <c r="R279" t="str" cm="1">
        <f t="array" ref="R279">_xlfn.IFS(N279&lt;=1,"0-1 yrs",N279&lt;=4,"2-4 yrs",N279&lt;=9,"5-9 yrs",N279&gt;9,"10+ yrs")</f>
        <v>10+ yrs</v>
      </c>
      <c r="S279" t="str" cm="1">
        <f t="array" ref="S279">_xlfn.IFS(B279&lt;=25,"20-25",B279&lt;=35,"26-35",B279&lt;=45,"36-45",B279&gt;45,"46+")</f>
        <v>46+</v>
      </c>
      <c r="T279" t="str" cm="1">
        <f t="array" ref="T279">_xlfn.IFS(J279&lt;3500,"&lt;3.5K",J279&lt;5500,"3.5-5.5K",J279&lt;7500,"5.5-7.5K",J279&gt;=7500,"7.5K+")</f>
        <v>7.5K+</v>
      </c>
      <c r="U279">
        <f t="shared" si="4"/>
        <v>0</v>
      </c>
    </row>
    <row r="280" spans="1:21" x14ac:dyDescent="0.25">
      <c r="A280">
        <v>1007</v>
      </c>
      <c r="B280">
        <v>55</v>
      </c>
      <c r="C280" t="s">
        <v>16</v>
      </c>
      <c r="D280" t="s">
        <v>17</v>
      </c>
      <c r="E280" t="s">
        <v>40</v>
      </c>
      <c r="F280" t="s">
        <v>36</v>
      </c>
      <c r="G280" t="s">
        <v>33</v>
      </c>
      <c r="H280" t="s">
        <v>34</v>
      </c>
      <c r="I280">
        <v>5</v>
      </c>
      <c r="J280" s="2">
        <v>8597</v>
      </c>
      <c r="K280" t="s">
        <v>22</v>
      </c>
      <c r="L280">
        <v>3</v>
      </c>
      <c r="M280">
        <v>2</v>
      </c>
      <c r="N280">
        <v>13</v>
      </c>
      <c r="O280">
        <v>9</v>
      </c>
      <c r="P280">
        <v>22</v>
      </c>
      <c r="Q280" t="s">
        <v>22</v>
      </c>
      <c r="R280" t="str" cm="1">
        <f t="array" ref="R280">_xlfn.IFS(N280&lt;=1,"0-1 yrs",N280&lt;=4,"2-4 yrs",N280&lt;=9,"5-9 yrs",N280&gt;9,"10+ yrs")</f>
        <v>10+ yrs</v>
      </c>
      <c r="S280" t="str" cm="1">
        <f t="array" ref="S280">_xlfn.IFS(B280&lt;=25,"20-25",B280&lt;=35,"26-35",B280&lt;=45,"36-45",B280&gt;45,"46+")</f>
        <v>46+</v>
      </c>
      <c r="T280" t="str" cm="1">
        <f t="array" ref="T280">_xlfn.IFS(J280&lt;3500,"&lt;3.5K",J280&lt;5500,"3.5-5.5K",J280&lt;7500,"5.5-7.5K",J280&gt;=7500,"7.5K+")</f>
        <v>7.5K+</v>
      </c>
      <c r="U280">
        <f t="shared" si="4"/>
        <v>0</v>
      </c>
    </row>
    <row r="281" spans="1:21" x14ac:dyDescent="0.25">
      <c r="A281">
        <v>1846</v>
      </c>
      <c r="B281">
        <v>21</v>
      </c>
      <c r="C281" t="s">
        <v>16</v>
      </c>
      <c r="D281" t="s">
        <v>17</v>
      </c>
      <c r="E281" t="s">
        <v>35</v>
      </c>
      <c r="F281" t="s">
        <v>32</v>
      </c>
      <c r="G281" t="s">
        <v>20</v>
      </c>
      <c r="H281" t="s">
        <v>30</v>
      </c>
      <c r="I281">
        <v>24</v>
      </c>
      <c r="J281" s="2">
        <v>2299</v>
      </c>
      <c r="K281" t="s">
        <v>22</v>
      </c>
      <c r="L281">
        <v>2</v>
      </c>
      <c r="M281">
        <v>2</v>
      </c>
      <c r="N281">
        <v>0</v>
      </c>
      <c r="O281">
        <v>0</v>
      </c>
      <c r="P281">
        <v>0</v>
      </c>
      <c r="Q281" t="s">
        <v>22</v>
      </c>
      <c r="R281" t="str" cm="1">
        <f t="array" ref="R281">_xlfn.IFS(N281&lt;=1,"0-1 yrs",N281&lt;=4,"2-4 yrs",N281&lt;=9,"5-9 yrs",N281&gt;9,"10+ yrs")</f>
        <v>0-1 yrs</v>
      </c>
      <c r="S281" t="str" cm="1">
        <f t="array" ref="S281">_xlfn.IFS(B281&lt;=25,"20-25",B281&lt;=35,"26-35",B281&lt;=45,"36-45",B281&gt;45,"46+")</f>
        <v>20-25</v>
      </c>
      <c r="T281" t="str" cm="1">
        <f t="array" ref="T281">_xlfn.IFS(J281&lt;3500,"&lt;3.5K",J281&lt;5500,"3.5-5.5K",J281&lt;7500,"5.5-7.5K",J281&gt;=7500,"7.5K+")</f>
        <v>&lt;3.5K</v>
      </c>
      <c r="U281">
        <f t="shared" si="4"/>
        <v>0</v>
      </c>
    </row>
    <row r="282" spans="1:21" x14ac:dyDescent="0.25">
      <c r="A282">
        <v>1739</v>
      </c>
      <c r="B282">
        <v>54</v>
      </c>
      <c r="C282" t="s">
        <v>16</v>
      </c>
      <c r="D282" t="s">
        <v>17</v>
      </c>
      <c r="E282" t="s">
        <v>18</v>
      </c>
      <c r="F282" t="s">
        <v>41</v>
      </c>
      <c r="G282" t="s">
        <v>20</v>
      </c>
      <c r="H282" t="s">
        <v>21</v>
      </c>
      <c r="I282">
        <v>23</v>
      </c>
      <c r="J282" s="2">
        <v>15804</v>
      </c>
      <c r="K282" t="s">
        <v>22</v>
      </c>
      <c r="L282">
        <v>3</v>
      </c>
      <c r="M282">
        <v>3</v>
      </c>
      <c r="N282">
        <v>9</v>
      </c>
      <c r="O282">
        <v>1</v>
      </c>
      <c r="P282">
        <v>31</v>
      </c>
      <c r="Q282" t="s">
        <v>22</v>
      </c>
      <c r="R282" t="str" cm="1">
        <f t="array" ref="R282">_xlfn.IFS(N282&lt;=1,"0-1 yrs",N282&lt;=4,"2-4 yrs",N282&lt;=9,"5-9 yrs",N282&gt;9,"10+ yrs")</f>
        <v>5-9 yrs</v>
      </c>
      <c r="S282" t="str" cm="1">
        <f t="array" ref="S282">_xlfn.IFS(B282&lt;=25,"20-25",B282&lt;=35,"26-35",B282&lt;=45,"36-45",B282&gt;45,"46+")</f>
        <v>46+</v>
      </c>
      <c r="T282" t="str" cm="1">
        <f t="array" ref="T282">_xlfn.IFS(J282&lt;3500,"&lt;3.5K",J282&lt;5500,"3.5-5.5K",J282&lt;7500,"5.5-7.5K",J282&gt;=7500,"7.5K+")</f>
        <v>7.5K+</v>
      </c>
      <c r="U282">
        <f t="shared" si="4"/>
        <v>0</v>
      </c>
    </row>
    <row r="283" spans="1:21" x14ac:dyDescent="0.25">
      <c r="A283">
        <v>1477</v>
      </c>
      <c r="B283">
        <v>52</v>
      </c>
      <c r="C283" t="s">
        <v>16</v>
      </c>
      <c r="D283" t="s">
        <v>17</v>
      </c>
      <c r="E283" t="s">
        <v>18</v>
      </c>
      <c r="F283" t="s">
        <v>19</v>
      </c>
      <c r="G283" t="s">
        <v>20</v>
      </c>
      <c r="H283" t="s">
        <v>30</v>
      </c>
      <c r="I283">
        <v>4</v>
      </c>
      <c r="J283" s="2">
        <v>13764</v>
      </c>
      <c r="K283" t="s">
        <v>42</v>
      </c>
      <c r="L283">
        <v>4</v>
      </c>
      <c r="M283">
        <v>1</v>
      </c>
      <c r="N283">
        <v>18</v>
      </c>
      <c r="O283">
        <v>16</v>
      </c>
      <c r="P283">
        <v>32</v>
      </c>
      <c r="Q283" t="s">
        <v>22</v>
      </c>
      <c r="R283" t="str" cm="1">
        <f t="array" ref="R283">_xlfn.IFS(N283&lt;=1,"0-1 yrs",N283&lt;=4,"2-4 yrs",N283&lt;=9,"5-9 yrs",N283&gt;9,"10+ yrs")</f>
        <v>10+ yrs</v>
      </c>
      <c r="S283" t="str" cm="1">
        <f t="array" ref="S283">_xlfn.IFS(B283&lt;=25,"20-25",B283&lt;=35,"26-35",B283&lt;=45,"36-45",B283&gt;45,"46+")</f>
        <v>46+</v>
      </c>
      <c r="T283" t="str" cm="1">
        <f t="array" ref="T283">_xlfn.IFS(J283&lt;3500,"&lt;3.5K",J283&lt;5500,"3.5-5.5K",J283&lt;7500,"5.5-7.5K",J283&gt;=7500,"7.5K+")</f>
        <v>7.5K+</v>
      </c>
      <c r="U283">
        <f t="shared" si="4"/>
        <v>0</v>
      </c>
    </row>
    <row r="284" spans="1:21" x14ac:dyDescent="0.25">
      <c r="A284">
        <v>1113</v>
      </c>
      <c r="B284">
        <v>29</v>
      </c>
      <c r="C284" t="s">
        <v>23</v>
      </c>
      <c r="D284" t="s">
        <v>17</v>
      </c>
      <c r="E284" t="s">
        <v>40</v>
      </c>
      <c r="F284" t="s">
        <v>29</v>
      </c>
      <c r="G284" t="s">
        <v>33</v>
      </c>
      <c r="H284" t="s">
        <v>30</v>
      </c>
      <c r="I284">
        <v>12</v>
      </c>
      <c r="J284" s="2">
        <v>5104</v>
      </c>
      <c r="K284" t="s">
        <v>22</v>
      </c>
      <c r="L284">
        <v>1</v>
      </c>
      <c r="M284">
        <v>2</v>
      </c>
      <c r="N284">
        <v>7</v>
      </c>
      <c r="O284">
        <v>0</v>
      </c>
      <c r="P284">
        <v>9</v>
      </c>
      <c r="Q284" t="s">
        <v>22</v>
      </c>
      <c r="R284" t="str" cm="1">
        <f t="array" ref="R284">_xlfn.IFS(N284&lt;=1,"0-1 yrs",N284&lt;=4,"2-4 yrs",N284&lt;=9,"5-9 yrs",N284&gt;9,"10+ yrs")</f>
        <v>5-9 yrs</v>
      </c>
      <c r="S284" t="str" cm="1">
        <f t="array" ref="S284">_xlfn.IFS(B284&lt;=25,"20-25",B284&lt;=35,"26-35",B284&lt;=45,"36-45",B284&gt;45,"46+")</f>
        <v>26-35</v>
      </c>
      <c r="T284" t="str" cm="1">
        <f t="array" ref="T284">_xlfn.IFS(J284&lt;3500,"&lt;3.5K",J284&lt;5500,"3.5-5.5K",J284&lt;7500,"5.5-7.5K",J284&gt;=7500,"7.5K+")</f>
        <v>3.5-5.5K</v>
      </c>
      <c r="U284">
        <f t="shared" si="4"/>
        <v>0</v>
      </c>
    </row>
    <row r="285" spans="1:21" x14ac:dyDescent="0.25">
      <c r="A285">
        <v>1707</v>
      </c>
      <c r="B285">
        <v>53</v>
      </c>
      <c r="C285" t="s">
        <v>23</v>
      </c>
      <c r="D285" t="s">
        <v>24</v>
      </c>
      <c r="E285" t="s">
        <v>52</v>
      </c>
      <c r="F285" t="s">
        <v>36</v>
      </c>
      <c r="G285" t="s">
        <v>20</v>
      </c>
      <c r="H285" t="s">
        <v>21</v>
      </c>
      <c r="I285">
        <v>11</v>
      </c>
      <c r="J285" s="2">
        <v>12758</v>
      </c>
      <c r="K285" t="s">
        <v>22</v>
      </c>
      <c r="L285">
        <v>4</v>
      </c>
      <c r="M285">
        <v>4</v>
      </c>
      <c r="N285">
        <v>22</v>
      </c>
      <c r="O285">
        <v>19</v>
      </c>
      <c r="P285">
        <v>30</v>
      </c>
      <c r="Q285" t="s">
        <v>22</v>
      </c>
      <c r="R285" t="str" cm="1">
        <f t="array" ref="R285">_xlfn.IFS(N285&lt;=1,"0-1 yrs",N285&lt;=4,"2-4 yrs",N285&lt;=9,"5-9 yrs",N285&gt;9,"10+ yrs")</f>
        <v>10+ yrs</v>
      </c>
      <c r="S285" t="str" cm="1">
        <f t="array" ref="S285">_xlfn.IFS(B285&lt;=25,"20-25",B285&lt;=35,"26-35",B285&lt;=45,"36-45",B285&gt;45,"46+")</f>
        <v>46+</v>
      </c>
      <c r="T285" t="str" cm="1">
        <f t="array" ref="T285">_xlfn.IFS(J285&lt;3500,"&lt;3.5K",J285&lt;5500,"3.5-5.5K",J285&lt;7500,"5.5-7.5K",J285&gt;=7500,"7.5K+")</f>
        <v>7.5K+</v>
      </c>
      <c r="U285">
        <f t="shared" si="4"/>
        <v>0</v>
      </c>
    </row>
    <row r="286" spans="1:21" x14ac:dyDescent="0.25">
      <c r="A286">
        <v>1142</v>
      </c>
      <c r="B286">
        <v>50</v>
      </c>
      <c r="C286" t="s">
        <v>16</v>
      </c>
      <c r="D286" t="s">
        <v>17</v>
      </c>
      <c r="E286" t="s">
        <v>40</v>
      </c>
      <c r="F286" t="s">
        <v>26</v>
      </c>
      <c r="G286" t="s">
        <v>33</v>
      </c>
      <c r="H286" t="s">
        <v>30</v>
      </c>
      <c r="I286">
        <v>22</v>
      </c>
      <c r="J286" s="2">
        <v>12506</v>
      </c>
      <c r="K286" t="s">
        <v>22</v>
      </c>
      <c r="L286">
        <v>4</v>
      </c>
      <c r="M286">
        <v>2</v>
      </c>
      <c r="N286">
        <v>19</v>
      </c>
      <c r="O286">
        <v>11</v>
      </c>
      <c r="P286">
        <v>30</v>
      </c>
      <c r="Q286" t="s">
        <v>22</v>
      </c>
      <c r="R286" t="str" cm="1">
        <f t="array" ref="R286">_xlfn.IFS(N286&lt;=1,"0-1 yrs",N286&lt;=4,"2-4 yrs",N286&lt;=9,"5-9 yrs",N286&gt;9,"10+ yrs")</f>
        <v>10+ yrs</v>
      </c>
      <c r="S286" t="str" cm="1">
        <f t="array" ref="S286">_xlfn.IFS(B286&lt;=25,"20-25",B286&lt;=35,"26-35",B286&lt;=45,"36-45",B286&gt;45,"46+")</f>
        <v>46+</v>
      </c>
      <c r="T286" t="str" cm="1">
        <f t="array" ref="T286">_xlfn.IFS(J286&lt;3500,"&lt;3.5K",J286&lt;5500,"3.5-5.5K",J286&lt;7500,"5.5-7.5K",J286&gt;=7500,"7.5K+")</f>
        <v>7.5K+</v>
      </c>
      <c r="U286">
        <f t="shared" si="4"/>
        <v>0</v>
      </c>
    </row>
    <row r="287" spans="1:21" x14ac:dyDescent="0.25">
      <c r="A287">
        <v>1870</v>
      </c>
      <c r="B287">
        <v>55</v>
      </c>
      <c r="C287" t="s">
        <v>23</v>
      </c>
      <c r="D287" t="s">
        <v>24</v>
      </c>
      <c r="E287" t="s">
        <v>25</v>
      </c>
      <c r="F287" t="s">
        <v>41</v>
      </c>
      <c r="G287" t="s">
        <v>37</v>
      </c>
      <c r="H287" t="s">
        <v>34</v>
      </c>
      <c r="I287">
        <v>12</v>
      </c>
      <c r="J287" s="2">
        <v>13554</v>
      </c>
      <c r="K287" t="s">
        <v>22</v>
      </c>
      <c r="L287">
        <v>1</v>
      </c>
      <c r="M287">
        <v>3</v>
      </c>
      <c r="N287">
        <v>0</v>
      </c>
      <c r="O287">
        <v>0</v>
      </c>
      <c r="P287">
        <v>26</v>
      </c>
      <c r="Q287" t="s">
        <v>22</v>
      </c>
      <c r="R287" t="str" cm="1">
        <f t="array" ref="R287">_xlfn.IFS(N287&lt;=1,"0-1 yrs",N287&lt;=4,"2-4 yrs",N287&lt;=9,"5-9 yrs",N287&gt;9,"10+ yrs")</f>
        <v>0-1 yrs</v>
      </c>
      <c r="S287" t="str" cm="1">
        <f t="array" ref="S287">_xlfn.IFS(B287&lt;=25,"20-25",B287&lt;=35,"26-35",B287&lt;=45,"36-45",B287&gt;45,"46+")</f>
        <v>46+</v>
      </c>
      <c r="T287" t="str" cm="1">
        <f t="array" ref="T287">_xlfn.IFS(J287&lt;3500,"&lt;3.5K",J287&lt;5500,"3.5-5.5K",J287&lt;7500,"5.5-7.5K",J287&gt;=7500,"7.5K+")</f>
        <v>7.5K+</v>
      </c>
      <c r="U287">
        <f t="shared" si="4"/>
        <v>0</v>
      </c>
    </row>
    <row r="288" spans="1:21" x14ac:dyDescent="0.25">
      <c r="A288">
        <v>1048</v>
      </c>
      <c r="B288">
        <v>37</v>
      </c>
      <c r="C288" t="s">
        <v>16</v>
      </c>
      <c r="D288" t="s">
        <v>24</v>
      </c>
      <c r="E288" t="s">
        <v>52</v>
      </c>
      <c r="F288" t="s">
        <v>19</v>
      </c>
      <c r="G288" t="s">
        <v>33</v>
      </c>
      <c r="H288" t="s">
        <v>34</v>
      </c>
      <c r="I288">
        <v>16</v>
      </c>
      <c r="J288" s="2">
        <v>8252</v>
      </c>
      <c r="K288" t="s">
        <v>22</v>
      </c>
      <c r="L288">
        <v>1</v>
      </c>
      <c r="M288">
        <v>1</v>
      </c>
      <c r="N288">
        <v>4</v>
      </c>
      <c r="O288">
        <v>1</v>
      </c>
      <c r="P288">
        <v>14</v>
      </c>
      <c r="Q288" t="s">
        <v>22</v>
      </c>
      <c r="R288" t="str" cm="1">
        <f t="array" ref="R288">_xlfn.IFS(N288&lt;=1,"0-1 yrs",N288&lt;=4,"2-4 yrs",N288&lt;=9,"5-9 yrs",N288&gt;9,"10+ yrs")</f>
        <v>2-4 yrs</v>
      </c>
      <c r="S288" t="str" cm="1">
        <f t="array" ref="S288">_xlfn.IFS(B288&lt;=25,"20-25",B288&lt;=35,"26-35",B288&lt;=45,"36-45",B288&gt;45,"46+")</f>
        <v>36-45</v>
      </c>
      <c r="T288" t="str" cm="1">
        <f t="array" ref="T288">_xlfn.IFS(J288&lt;3500,"&lt;3.5K",J288&lt;5500,"3.5-5.5K",J288&lt;7500,"5.5-7.5K",J288&gt;=7500,"7.5K+")</f>
        <v>7.5K+</v>
      </c>
      <c r="U288">
        <f t="shared" si="4"/>
        <v>0</v>
      </c>
    </row>
    <row r="289" spans="1:21" x14ac:dyDescent="0.25">
      <c r="A289">
        <v>1505</v>
      </c>
      <c r="B289">
        <v>45</v>
      </c>
      <c r="C289" t="s">
        <v>16</v>
      </c>
      <c r="D289" t="s">
        <v>24</v>
      </c>
      <c r="E289" t="s">
        <v>46</v>
      </c>
      <c r="F289" t="s">
        <v>38</v>
      </c>
      <c r="G289" t="s">
        <v>37</v>
      </c>
      <c r="H289" t="s">
        <v>30</v>
      </c>
      <c r="I289">
        <v>20</v>
      </c>
      <c r="J289" s="2">
        <v>10315</v>
      </c>
      <c r="K289" t="s">
        <v>22</v>
      </c>
      <c r="L289">
        <v>4</v>
      </c>
      <c r="M289">
        <v>3</v>
      </c>
      <c r="N289">
        <v>15</v>
      </c>
      <c r="O289">
        <v>14</v>
      </c>
      <c r="P289">
        <v>23</v>
      </c>
      <c r="Q289" t="s">
        <v>22</v>
      </c>
      <c r="R289" t="str" cm="1">
        <f t="array" ref="R289">_xlfn.IFS(N289&lt;=1,"0-1 yrs",N289&lt;=4,"2-4 yrs",N289&lt;=9,"5-9 yrs",N289&gt;9,"10+ yrs")</f>
        <v>10+ yrs</v>
      </c>
      <c r="S289" t="str" cm="1">
        <f t="array" ref="S289">_xlfn.IFS(B289&lt;=25,"20-25",B289&lt;=35,"26-35",B289&lt;=45,"36-45",B289&gt;45,"46+")</f>
        <v>36-45</v>
      </c>
      <c r="T289" t="str" cm="1">
        <f t="array" ref="T289">_xlfn.IFS(J289&lt;3500,"&lt;3.5K",J289&lt;5500,"3.5-5.5K",J289&lt;7500,"5.5-7.5K",J289&gt;=7500,"7.5K+")</f>
        <v>7.5K+</v>
      </c>
      <c r="U289">
        <f t="shared" si="4"/>
        <v>0</v>
      </c>
    </row>
    <row r="290" spans="1:21" x14ac:dyDescent="0.25">
      <c r="A290">
        <v>1423</v>
      </c>
      <c r="B290">
        <v>35</v>
      </c>
      <c r="C290" t="s">
        <v>23</v>
      </c>
      <c r="D290" t="s">
        <v>24</v>
      </c>
      <c r="E290" t="s">
        <v>46</v>
      </c>
      <c r="F290" t="s">
        <v>29</v>
      </c>
      <c r="G290" t="s">
        <v>20</v>
      </c>
      <c r="H290" t="s">
        <v>34</v>
      </c>
      <c r="I290">
        <v>14</v>
      </c>
      <c r="J290" s="2">
        <v>4580</v>
      </c>
      <c r="K290" t="s">
        <v>42</v>
      </c>
      <c r="L290">
        <v>4</v>
      </c>
      <c r="M290">
        <v>4</v>
      </c>
      <c r="N290">
        <v>6</v>
      </c>
      <c r="O290">
        <v>1</v>
      </c>
      <c r="P290">
        <v>10</v>
      </c>
      <c r="Q290" t="s">
        <v>42</v>
      </c>
      <c r="R290" t="str" cm="1">
        <f t="array" ref="R290">_xlfn.IFS(N290&lt;=1,"0-1 yrs",N290&lt;=4,"2-4 yrs",N290&lt;=9,"5-9 yrs",N290&gt;9,"10+ yrs")</f>
        <v>5-9 yrs</v>
      </c>
      <c r="S290" t="str" cm="1">
        <f t="array" ref="S290">_xlfn.IFS(B290&lt;=25,"20-25",B290&lt;=35,"26-35",B290&lt;=45,"36-45",B290&gt;45,"46+")</f>
        <v>26-35</v>
      </c>
      <c r="T290" t="str" cm="1">
        <f t="array" ref="T290">_xlfn.IFS(J290&lt;3500,"&lt;3.5K",J290&lt;5500,"3.5-5.5K",J290&lt;7500,"5.5-7.5K",J290&gt;=7500,"7.5K+")</f>
        <v>3.5-5.5K</v>
      </c>
      <c r="U290">
        <f t="shared" si="4"/>
        <v>1</v>
      </c>
    </row>
    <row r="291" spans="1:21" x14ac:dyDescent="0.25">
      <c r="A291">
        <v>1718</v>
      </c>
      <c r="B291">
        <v>52</v>
      </c>
      <c r="C291" t="s">
        <v>16</v>
      </c>
      <c r="D291" t="s">
        <v>17</v>
      </c>
      <c r="E291" t="s">
        <v>35</v>
      </c>
      <c r="F291" t="s">
        <v>32</v>
      </c>
      <c r="G291" t="s">
        <v>20</v>
      </c>
      <c r="H291" t="s">
        <v>34</v>
      </c>
      <c r="I291">
        <v>24</v>
      </c>
      <c r="J291" s="2">
        <v>9871</v>
      </c>
      <c r="K291" t="s">
        <v>22</v>
      </c>
      <c r="L291">
        <v>1</v>
      </c>
      <c r="M291">
        <v>1</v>
      </c>
      <c r="N291">
        <v>14</v>
      </c>
      <c r="O291">
        <v>4</v>
      </c>
      <c r="P291">
        <v>23</v>
      </c>
      <c r="Q291" t="s">
        <v>22</v>
      </c>
      <c r="R291" t="str" cm="1">
        <f t="array" ref="R291">_xlfn.IFS(N291&lt;=1,"0-1 yrs",N291&lt;=4,"2-4 yrs",N291&lt;=9,"5-9 yrs",N291&gt;9,"10+ yrs")</f>
        <v>10+ yrs</v>
      </c>
      <c r="S291" t="str" cm="1">
        <f t="array" ref="S291">_xlfn.IFS(B291&lt;=25,"20-25",B291&lt;=35,"26-35",B291&lt;=45,"36-45",B291&gt;45,"46+")</f>
        <v>46+</v>
      </c>
      <c r="T291" t="str" cm="1">
        <f t="array" ref="T291">_xlfn.IFS(J291&lt;3500,"&lt;3.5K",J291&lt;5500,"3.5-5.5K",J291&lt;7500,"5.5-7.5K",J291&gt;=7500,"7.5K+")</f>
        <v>7.5K+</v>
      </c>
      <c r="U291">
        <f t="shared" si="4"/>
        <v>0</v>
      </c>
    </row>
    <row r="292" spans="1:21" x14ac:dyDescent="0.25">
      <c r="A292">
        <v>1939</v>
      </c>
      <c r="B292">
        <v>36</v>
      </c>
      <c r="C292" t="s">
        <v>16</v>
      </c>
      <c r="D292" t="s">
        <v>17</v>
      </c>
      <c r="E292" t="s">
        <v>35</v>
      </c>
      <c r="F292" t="s">
        <v>29</v>
      </c>
      <c r="G292" t="s">
        <v>33</v>
      </c>
      <c r="H292" t="s">
        <v>21</v>
      </c>
      <c r="I292">
        <v>14</v>
      </c>
      <c r="J292" s="2">
        <v>6993</v>
      </c>
      <c r="K292" t="s">
        <v>42</v>
      </c>
      <c r="L292">
        <v>3</v>
      </c>
      <c r="M292">
        <v>2</v>
      </c>
      <c r="N292">
        <v>0</v>
      </c>
      <c r="O292">
        <v>0</v>
      </c>
      <c r="P292">
        <v>15</v>
      </c>
      <c r="Q292" t="s">
        <v>22</v>
      </c>
      <c r="R292" t="str" cm="1">
        <f t="array" ref="R292">_xlfn.IFS(N292&lt;=1,"0-1 yrs",N292&lt;=4,"2-4 yrs",N292&lt;=9,"5-9 yrs",N292&gt;9,"10+ yrs")</f>
        <v>0-1 yrs</v>
      </c>
      <c r="S292" t="str" cm="1">
        <f t="array" ref="S292">_xlfn.IFS(B292&lt;=25,"20-25",B292&lt;=35,"26-35",B292&lt;=45,"36-45",B292&gt;45,"46+")</f>
        <v>36-45</v>
      </c>
      <c r="T292" t="str" cm="1">
        <f t="array" ref="T292">_xlfn.IFS(J292&lt;3500,"&lt;3.5K",J292&lt;5500,"3.5-5.5K",J292&lt;7500,"5.5-7.5K",J292&gt;=7500,"7.5K+")</f>
        <v>5.5-7.5K</v>
      </c>
      <c r="U292">
        <f t="shared" si="4"/>
        <v>0</v>
      </c>
    </row>
    <row r="293" spans="1:21" x14ac:dyDescent="0.25">
      <c r="A293">
        <v>1623</v>
      </c>
      <c r="B293">
        <v>55</v>
      </c>
      <c r="C293" t="s">
        <v>23</v>
      </c>
      <c r="D293" t="s">
        <v>27</v>
      </c>
      <c r="E293" t="s">
        <v>31</v>
      </c>
      <c r="F293" t="s">
        <v>36</v>
      </c>
      <c r="G293" t="s">
        <v>33</v>
      </c>
      <c r="H293" t="s">
        <v>30</v>
      </c>
      <c r="I293">
        <v>28</v>
      </c>
      <c r="J293" s="2">
        <v>11175</v>
      </c>
      <c r="K293" t="s">
        <v>22</v>
      </c>
      <c r="L293">
        <v>2</v>
      </c>
      <c r="M293">
        <v>1</v>
      </c>
      <c r="N293">
        <v>1</v>
      </c>
      <c r="O293">
        <v>0</v>
      </c>
      <c r="P293">
        <v>26</v>
      </c>
      <c r="Q293" t="s">
        <v>22</v>
      </c>
      <c r="R293" t="str" cm="1">
        <f t="array" ref="R293">_xlfn.IFS(N293&lt;=1,"0-1 yrs",N293&lt;=4,"2-4 yrs",N293&lt;=9,"5-9 yrs",N293&gt;9,"10+ yrs")</f>
        <v>0-1 yrs</v>
      </c>
      <c r="S293" t="str" cm="1">
        <f t="array" ref="S293">_xlfn.IFS(B293&lt;=25,"20-25",B293&lt;=35,"26-35",B293&lt;=45,"36-45",B293&gt;45,"46+")</f>
        <v>46+</v>
      </c>
      <c r="T293" t="str" cm="1">
        <f t="array" ref="T293">_xlfn.IFS(J293&lt;3500,"&lt;3.5K",J293&lt;5500,"3.5-5.5K",J293&lt;7500,"5.5-7.5K",J293&gt;=7500,"7.5K+")</f>
        <v>7.5K+</v>
      </c>
      <c r="U293">
        <f t="shared" si="4"/>
        <v>0</v>
      </c>
    </row>
    <row r="294" spans="1:21" x14ac:dyDescent="0.25">
      <c r="A294">
        <v>1334</v>
      </c>
      <c r="B294">
        <v>29</v>
      </c>
      <c r="C294" t="s">
        <v>16</v>
      </c>
      <c r="D294" t="s">
        <v>17</v>
      </c>
      <c r="E294" t="s">
        <v>18</v>
      </c>
      <c r="F294" t="s">
        <v>19</v>
      </c>
      <c r="G294" t="s">
        <v>20</v>
      </c>
      <c r="H294" t="s">
        <v>30</v>
      </c>
      <c r="I294">
        <v>26</v>
      </c>
      <c r="J294" s="2">
        <v>6696</v>
      </c>
      <c r="K294" t="s">
        <v>22</v>
      </c>
      <c r="L294">
        <v>2</v>
      </c>
      <c r="M294">
        <v>3</v>
      </c>
      <c r="N294">
        <v>0</v>
      </c>
      <c r="O294">
        <v>0</v>
      </c>
      <c r="P294">
        <v>2</v>
      </c>
      <c r="Q294" t="s">
        <v>22</v>
      </c>
      <c r="R294" t="str" cm="1">
        <f t="array" ref="R294">_xlfn.IFS(N294&lt;=1,"0-1 yrs",N294&lt;=4,"2-4 yrs",N294&lt;=9,"5-9 yrs",N294&gt;9,"10+ yrs")</f>
        <v>0-1 yrs</v>
      </c>
      <c r="S294" t="str" cm="1">
        <f t="array" ref="S294">_xlfn.IFS(B294&lt;=25,"20-25",B294&lt;=35,"26-35",B294&lt;=45,"36-45",B294&gt;45,"46+")</f>
        <v>26-35</v>
      </c>
      <c r="T294" t="str" cm="1">
        <f t="array" ref="T294">_xlfn.IFS(J294&lt;3500,"&lt;3.5K",J294&lt;5500,"3.5-5.5K",J294&lt;7500,"5.5-7.5K",J294&gt;=7500,"7.5K+")</f>
        <v>5.5-7.5K</v>
      </c>
      <c r="U294">
        <f t="shared" si="4"/>
        <v>0</v>
      </c>
    </row>
    <row r="295" spans="1:21" x14ac:dyDescent="0.25">
      <c r="A295">
        <v>1436</v>
      </c>
      <c r="B295">
        <v>49</v>
      </c>
      <c r="C295" t="s">
        <v>16</v>
      </c>
      <c r="D295" t="s">
        <v>24</v>
      </c>
      <c r="E295" t="s">
        <v>45</v>
      </c>
      <c r="F295" t="s">
        <v>36</v>
      </c>
      <c r="G295" t="s">
        <v>33</v>
      </c>
      <c r="H295" t="s">
        <v>21</v>
      </c>
      <c r="I295">
        <v>10</v>
      </c>
      <c r="J295" s="2">
        <v>10622</v>
      </c>
      <c r="K295" t="s">
        <v>22</v>
      </c>
      <c r="L295">
        <v>2</v>
      </c>
      <c r="M295">
        <v>4</v>
      </c>
      <c r="N295">
        <v>9</v>
      </c>
      <c r="O295">
        <v>2</v>
      </c>
      <c r="P295">
        <v>24</v>
      </c>
      <c r="Q295" t="s">
        <v>22</v>
      </c>
      <c r="R295" t="str" cm="1">
        <f t="array" ref="R295">_xlfn.IFS(N295&lt;=1,"0-1 yrs",N295&lt;=4,"2-4 yrs",N295&lt;=9,"5-9 yrs",N295&gt;9,"10+ yrs")</f>
        <v>5-9 yrs</v>
      </c>
      <c r="S295" t="str" cm="1">
        <f t="array" ref="S295">_xlfn.IFS(B295&lt;=25,"20-25",B295&lt;=35,"26-35",B295&lt;=45,"36-45",B295&gt;45,"46+")</f>
        <v>46+</v>
      </c>
      <c r="T295" t="str" cm="1">
        <f t="array" ref="T295">_xlfn.IFS(J295&lt;3500,"&lt;3.5K",J295&lt;5500,"3.5-5.5K",J295&lt;7500,"5.5-7.5K",J295&gt;=7500,"7.5K+")</f>
        <v>7.5K+</v>
      </c>
      <c r="U295">
        <f t="shared" si="4"/>
        <v>0</v>
      </c>
    </row>
    <row r="296" spans="1:21" x14ac:dyDescent="0.25">
      <c r="A296">
        <v>1485</v>
      </c>
      <c r="B296">
        <v>31</v>
      </c>
      <c r="C296" t="s">
        <v>23</v>
      </c>
      <c r="D296" t="s">
        <v>17</v>
      </c>
      <c r="E296" t="s">
        <v>35</v>
      </c>
      <c r="F296" t="s">
        <v>26</v>
      </c>
      <c r="G296" t="s">
        <v>33</v>
      </c>
      <c r="H296" t="s">
        <v>34</v>
      </c>
      <c r="I296">
        <v>7</v>
      </c>
      <c r="J296" s="2">
        <v>6585</v>
      </c>
      <c r="K296" t="s">
        <v>22</v>
      </c>
      <c r="M296">
        <v>1</v>
      </c>
      <c r="N296">
        <v>1</v>
      </c>
      <c r="O296">
        <v>0</v>
      </c>
      <c r="P296">
        <v>3</v>
      </c>
      <c r="Q296" t="s">
        <v>42</v>
      </c>
      <c r="R296" t="str" cm="1">
        <f t="array" ref="R296">_xlfn.IFS(N296&lt;=1,"0-1 yrs",N296&lt;=4,"2-4 yrs",N296&lt;=9,"5-9 yrs",N296&gt;9,"10+ yrs")</f>
        <v>0-1 yrs</v>
      </c>
      <c r="S296" t="str" cm="1">
        <f t="array" ref="S296">_xlfn.IFS(B296&lt;=25,"20-25",B296&lt;=35,"26-35",B296&lt;=45,"36-45",B296&gt;45,"46+")</f>
        <v>26-35</v>
      </c>
      <c r="T296" t="str" cm="1">
        <f t="array" ref="T296">_xlfn.IFS(J296&lt;3500,"&lt;3.5K",J296&lt;5500,"3.5-5.5K",J296&lt;7500,"5.5-7.5K",J296&gt;=7500,"7.5K+")</f>
        <v>5.5-7.5K</v>
      </c>
      <c r="U296">
        <f t="shared" si="4"/>
        <v>1</v>
      </c>
    </row>
    <row r="297" spans="1:21" x14ac:dyDescent="0.25">
      <c r="A297">
        <v>1336</v>
      </c>
      <c r="B297">
        <v>55</v>
      </c>
      <c r="C297" t="s">
        <v>16</v>
      </c>
      <c r="D297" t="s">
        <v>17</v>
      </c>
      <c r="E297" t="s">
        <v>18</v>
      </c>
      <c r="F297" t="s">
        <v>38</v>
      </c>
      <c r="G297" t="s">
        <v>33</v>
      </c>
      <c r="H297" t="s">
        <v>34</v>
      </c>
      <c r="I297">
        <v>21</v>
      </c>
      <c r="J297" s="2">
        <v>16276</v>
      </c>
      <c r="K297" t="s">
        <v>42</v>
      </c>
      <c r="L297">
        <v>3</v>
      </c>
      <c r="M297">
        <v>4</v>
      </c>
      <c r="N297">
        <v>14</v>
      </c>
      <c r="O297">
        <v>4</v>
      </c>
      <c r="P297">
        <v>34</v>
      </c>
      <c r="Q297" t="s">
        <v>22</v>
      </c>
      <c r="R297" t="str" cm="1">
        <f t="array" ref="R297">_xlfn.IFS(N297&lt;=1,"0-1 yrs",N297&lt;=4,"2-4 yrs",N297&lt;=9,"5-9 yrs",N297&gt;9,"10+ yrs")</f>
        <v>10+ yrs</v>
      </c>
      <c r="S297" t="str" cm="1">
        <f t="array" ref="S297">_xlfn.IFS(B297&lt;=25,"20-25",B297&lt;=35,"26-35",B297&lt;=45,"36-45",B297&gt;45,"46+")</f>
        <v>46+</v>
      </c>
      <c r="T297" t="str" cm="1">
        <f t="array" ref="T297">_xlfn.IFS(J297&lt;3500,"&lt;3.5K",J297&lt;5500,"3.5-5.5K",J297&lt;7500,"5.5-7.5K",J297&gt;=7500,"7.5K+")</f>
        <v>7.5K+</v>
      </c>
      <c r="U297">
        <f t="shared" si="4"/>
        <v>0</v>
      </c>
    </row>
    <row r="298" spans="1:21" x14ac:dyDescent="0.25">
      <c r="A298">
        <v>1331</v>
      </c>
      <c r="B298">
        <v>53</v>
      </c>
      <c r="C298" t="s">
        <v>16</v>
      </c>
      <c r="D298" t="s">
        <v>27</v>
      </c>
      <c r="E298" t="s">
        <v>31</v>
      </c>
      <c r="F298" t="s">
        <v>29</v>
      </c>
      <c r="G298" t="s">
        <v>37</v>
      </c>
      <c r="H298" t="s">
        <v>34</v>
      </c>
      <c r="I298">
        <v>2</v>
      </c>
      <c r="J298" s="2">
        <v>10132</v>
      </c>
      <c r="K298" t="s">
        <v>22</v>
      </c>
      <c r="L298">
        <v>3</v>
      </c>
      <c r="M298">
        <v>2</v>
      </c>
      <c r="N298">
        <v>12</v>
      </c>
      <c r="O298">
        <v>10</v>
      </c>
      <c r="P298">
        <v>27</v>
      </c>
      <c r="Q298" t="s">
        <v>22</v>
      </c>
      <c r="R298" t="str" cm="1">
        <f t="array" ref="R298">_xlfn.IFS(N298&lt;=1,"0-1 yrs",N298&lt;=4,"2-4 yrs",N298&lt;=9,"5-9 yrs",N298&gt;9,"10+ yrs")</f>
        <v>10+ yrs</v>
      </c>
      <c r="S298" t="str" cm="1">
        <f t="array" ref="S298">_xlfn.IFS(B298&lt;=25,"20-25",B298&lt;=35,"26-35",B298&lt;=45,"36-45",B298&gt;45,"46+")</f>
        <v>46+</v>
      </c>
      <c r="T298" t="str" cm="1">
        <f t="array" ref="T298">_xlfn.IFS(J298&lt;3500,"&lt;3.5K",J298&lt;5500,"3.5-5.5K",J298&lt;7500,"5.5-7.5K",J298&gt;=7500,"7.5K+")</f>
        <v>7.5K+</v>
      </c>
      <c r="U298">
        <f t="shared" si="4"/>
        <v>0</v>
      </c>
    </row>
    <row r="299" spans="1:21" x14ac:dyDescent="0.25">
      <c r="A299">
        <v>1290</v>
      </c>
      <c r="B299">
        <v>30</v>
      </c>
      <c r="C299" t="s">
        <v>23</v>
      </c>
      <c r="D299" t="s">
        <v>17</v>
      </c>
      <c r="E299" t="s">
        <v>18</v>
      </c>
      <c r="F299" t="s">
        <v>36</v>
      </c>
      <c r="G299" t="s">
        <v>20</v>
      </c>
      <c r="H299" t="s">
        <v>21</v>
      </c>
      <c r="I299">
        <v>25</v>
      </c>
      <c r="J299" s="2">
        <v>9010</v>
      </c>
      <c r="K299" t="s">
        <v>42</v>
      </c>
      <c r="L299">
        <v>4</v>
      </c>
      <c r="M299">
        <v>3</v>
      </c>
      <c r="N299">
        <v>1</v>
      </c>
      <c r="O299">
        <v>0</v>
      </c>
      <c r="P299">
        <v>6</v>
      </c>
      <c r="Q299" t="s">
        <v>22</v>
      </c>
      <c r="R299" t="str" cm="1">
        <f t="array" ref="R299">_xlfn.IFS(N299&lt;=1,"0-1 yrs",N299&lt;=4,"2-4 yrs",N299&lt;=9,"5-9 yrs",N299&gt;9,"10+ yrs")</f>
        <v>0-1 yrs</v>
      </c>
      <c r="S299" t="str" cm="1">
        <f t="array" ref="S299">_xlfn.IFS(B299&lt;=25,"20-25",B299&lt;=35,"26-35",B299&lt;=45,"36-45",B299&gt;45,"46+")</f>
        <v>26-35</v>
      </c>
      <c r="T299" t="str" cm="1">
        <f t="array" ref="T299">_xlfn.IFS(J299&lt;3500,"&lt;3.5K",J299&lt;5500,"3.5-5.5K",J299&lt;7500,"5.5-7.5K",J299&gt;=7500,"7.5K+")</f>
        <v>7.5K+</v>
      </c>
      <c r="U299">
        <f t="shared" si="4"/>
        <v>0</v>
      </c>
    </row>
    <row r="300" spans="1:21" x14ac:dyDescent="0.25">
      <c r="A300">
        <v>1832</v>
      </c>
      <c r="B300">
        <v>49</v>
      </c>
      <c r="C300" t="s">
        <v>16</v>
      </c>
      <c r="D300" t="s">
        <v>17</v>
      </c>
      <c r="E300" t="s">
        <v>18</v>
      </c>
      <c r="F300" t="s">
        <v>19</v>
      </c>
      <c r="G300" t="s">
        <v>20</v>
      </c>
      <c r="H300" t="s">
        <v>21</v>
      </c>
      <c r="I300">
        <v>20</v>
      </c>
      <c r="J300" s="2">
        <v>12742</v>
      </c>
      <c r="K300" t="s">
        <v>42</v>
      </c>
      <c r="L300">
        <v>4</v>
      </c>
      <c r="M300">
        <v>3</v>
      </c>
      <c r="N300">
        <v>1</v>
      </c>
      <c r="O300">
        <v>0</v>
      </c>
      <c r="P300">
        <v>19</v>
      </c>
      <c r="Q300" t="s">
        <v>22</v>
      </c>
      <c r="R300" t="str" cm="1">
        <f t="array" ref="R300">_xlfn.IFS(N300&lt;=1,"0-1 yrs",N300&lt;=4,"2-4 yrs",N300&lt;=9,"5-9 yrs",N300&gt;9,"10+ yrs")</f>
        <v>0-1 yrs</v>
      </c>
      <c r="S300" t="str" cm="1">
        <f t="array" ref="S300">_xlfn.IFS(B300&lt;=25,"20-25",B300&lt;=35,"26-35",B300&lt;=45,"36-45",B300&gt;45,"46+")</f>
        <v>46+</v>
      </c>
      <c r="T300" t="str" cm="1">
        <f t="array" ref="T300">_xlfn.IFS(J300&lt;3500,"&lt;3.5K",J300&lt;5500,"3.5-5.5K",J300&lt;7500,"5.5-7.5K",J300&gt;=7500,"7.5K+")</f>
        <v>7.5K+</v>
      </c>
      <c r="U300">
        <f t="shared" si="4"/>
        <v>0</v>
      </c>
    </row>
    <row r="301" spans="1:21" x14ac:dyDescent="0.25">
      <c r="A301">
        <v>1728</v>
      </c>
      <c r="B301">
        <v>51</v>
      </c>
      <c r="C301" t="s">
        <v>16</v>
      </c>
      <c r="D301" t="s">
        <v>17</v>
      </c>
      <c r="E301" t="s">
        <v>40</v>
      </c>
      <c r="F301" t="s">
        <v>36</v>
      </c>
      <c r="G301" t="s">
        <v>20</v>
      </c>
      <c r="H301" t="s">
        <v>34</v>
      </c>
      <c r="I301">
        <v>3</v>
      </c>
      <c r="J301" s="2">
        <v>10071</v>
      </c>
      <c r="K301" t="s">
        <v>22</v>
      </c>
      <c r="L301">
        <v>2</v>
      </c>
      <c r="M301">
        <v>3</v>
      </c>
      <c r="N301">
        <v>21</v>
      </c>
      <c r="O301">
        <v>4</v>
      </c>
      <c r="P301">
        <v>29</v>
      </c>
      <c r="Q301" t="s">
        <v>22</v>
      </c>
      <c r="R301" t="str" cm="1">
        <f t="array" ref="R301">_xlfn.IFS(N301&lt;=1,"0-1 yrs",N301&lt;=4,"2-4 yrs",N301&lt;=9,"5-9 yrs",N301&gt;9,"10+ yrs")</f>
        <v>10+ yrs</v>
      </c>
      <c r="S301" t="str" cm="1">
        <f t="array" ref="S301">_xlfn.IFS(B301&lt;=25,"20-25",B301&lt;=35,"26-35",B301&lt;=45,"36-45",B301&gt;45,"46+")</f>
        <v>46+</v>
      </c>
      <c r="T301" t="str" cm="1">
        <f t="array" ref="T301">_xlfn.IFS(J301&lt;3500,"&lt;3.5K",J301&lt;5500,"3.5-5.5K",J301&lt;7500,"5.5-7.5K",J301&gt;=7500,"7.5K+")</f>
        <v>7.5K+</v>
      </c>
      <c r="U301">
        <f t="shared" si="4"/>
        <v>0</v>
      </c>
    </row>
    <row r="302" spans="1:21" x14ac:dyDescent="0.25">
      <c r="A302">
        <v>1264</v>
      </c>
      <c r="B302">
        <v>55</v>
      </c>
      <c r="C302" t="s">
        <v>16</v>
      </c>
      <c r="D302" t="s">
        <v>27</v>
      </c>
      <c r="E302" t="s">
        <v>44</v>
      </c>
      <c r="F302" t="s">
        <v>19</v>
      </c>
      <c r="G302" t="s">
        <v>20</v>
      </c>
      <c r="H302" t="s">
        <v>30</v>
      </c>
      <c r="I302">
        <v>22</v>
      </c>
      <c r="J302" s="2">
        <v>9796</v>
      </c>
      <c r="K302" t="s">
        <v>42</v>
      </c>
      <c r="L302">
        <v>4</v>
      </c>
      <c r="M302">
        <v>1</v>
      </c>
      <c r="N302">
        <v>22</v>
      </c>
      <c r="O302">
        <v>21</v>
      </c>
      <c r="P302">
        <v>31</v>
      </c>
      <c r="Q302" t="s">
        <v>42</v>
      </c>
      <c r="R302" t="str" cm="1">
        <f t="array" ref="R302">_xlfn.IFS(N302&lt;=1,"0-1 yrs",N302&lt;=4,"2-4 yrs",N302&lt;=9,"5-9 yrs",N302&gt;9,"10+ yrs")</f>
        <v>10+ yrs</v>
      </c>
      <c r="S302" t="str" cm="1">
        <f t="array" ref="S302">_xlfn.IFS(B302&lt;=25,"20-25",B302&lt;=35,"26-35",B302&lt;=45,"36-45",B302&gt;45,"46+")</f>
        <v>46+</v>
      </c>
      <c r="T302" t="str" cm="1">
        <f t="array" ref="T302">_xlfn.IFS(J302&lt;3500,"&lt;3.5K",J302&lt;5500,"3.5-5.5K",J302&lt;7500,"5.5-7.5K",J302&gt;=7500,"7.5K+")</f>
        <v>7.5K+</v>
      </c>
      <c r="U302">
        <f t="shared" si="4"/>
        <v>1</v>
      </c>
    </row>
    <row r="303" spans="1:21" x14ac:dyDescent="0.25">
      <c r="A303">
        <v>1819</v>
      </c>
      <c r="B303">
        <v>37</v>
      </c>
      <c r="C303" t="s">
        <v>16</v>
      </c>
      <c r="D303" t="s">
        <v>47</v>
      </c>
      <c r="E303" t="s">
        <v>53</v>
      </c>
      <c r="F303" t="s">
        <v>32</v>
      </c>
      <c r="G303" t="s">
        <v>20</v>
      </c>
      <c r="H303" t="s">
        <v>34</v>
      </c>
      <c r="I303">
        <v>17</v>
      </c>
      <c r="J303" s="2">
        <v>13762</v>
      </c>
      <c r="K303" t="s">
        <v>22</v>
      </c>
      <c r="L303">
        <v>3</v>
      </c>
      <c r="M303">
        <v>1</v>
      </c>
      <c r="N303">
        <v>8</v>
      </c>
      <c r="O303">
        <v>3</v>
      </c>
      <c r="P303">
        <v>17</v>
      </c>
      <c r="Q303" t="s">
        <v>22</v>
      </c>
      <c r="R303" t="str" cm="1">
        <f t="array" ref="R303">_xlfn.IFS(N303&lt;=1,"0-1 yrs",N303&lt;=4,"2-4 yrs",N303&lt;=9,"5-9 yrs",N303&gt;9,"10+ yrs")</f>
        <v>5-9 yrs</v>
      </c>
      <c r="S303" t="str" cm="1">
        <f t="array" ref="S303">_xlfn.IFS(B303&lt;=25,"20-25",B303&lt;=35,"26-35",B303&lt;=45,"36-45",B303&gt;45,"46+")</f>
        <v>36-45</v>
      </c>
      <c r="T303" t="str" cm="1">
        <f t="array" ref="T303">_xlfn.IFS(J303&lt;3500,"&lt;3.5K",J303&lt;5500,"3.5-5.5K",J303&lt;7500,"5.5-7.5K",J303&gt;=7500,"7.5K+")</f>
        <v>7.5K+</v>
      </c>
      <c r="U303">
        <f t="shared" si="4"/>
        <v>0</v>
      </c>
    </row>
    <row r="304" spans="1:21" x14ac:dyDescent="0.25">
      <c r="A304">
        <v>1977</v>
      </c>
      <c r="B304">
        <v>44</v>
      </c>
      <c r="C304" t="s">
        <v>16</v>
      </c>
      <c r="D304" t="s">
        <v>24</v>
      </c>
      <c r="E304" t="s">
        <v>25</v>
      </c>
      <c r="F304" t="s">
        <v>36</v>
      </c>
      <c r="G304" t="s">
        <v>33</v>
      </c>
      <c r="H304" t="s">
        <v>34</v>
      </c>
      <c r="I304">
        <v>23</v>
      </c>
      <c r="J304" s="2">
        <v>10616</v>
      </c>
      <c r="K304" t="s">
        <v>22</v>
      </c>
      <c r="L304">
        <v>4</v>
      </c>
      <c r="M304">
        <v>1</v>
      </c>
      <c r="N304">
        <v>0</v>
      </c>
      <c r="O304">
        <v>0</v>
      </c>
      <c r="P304">
        <v>20</v>
      </c>
      <c r="Q304" t="s">
        <v>22</v>
      </c>
      <c r="R304" t="str" cm="1">
        <f t="array" ref="R304">_xlfn.IFS(N304&lt;=1,"0-1 yrs",N304&lt;=4,"2-4 yrs",N304&lt;=9,"5-9 yrs",N304&gt;9,"10+ yrs")</f>
        <v>0-1 yrs</v>
      </c>
      <c r="S304" t="str" cm="1">
        <f t="array" ref="S304">_xlfn.IFS(B304&lt;=25,"20-25",B304&lt;=35,"26-35",B304&lt;=45,"36-45",B304&gt;45,"46+")</f>
        <v>36-45</v>
      </c>
      <c r="T304" t="str" cm="1">
        <f t="array" ref="T304">_xlfn.IFS(J304&lt;3500,"&lt;3.5K",J304&lt;5500,"3.5-5.5K",J304&lt;7500,"5.5-7.5K",J304&gt;=7500,"7.5K+")</f>
        <v>7.5K+</v>
      </c>
      <c r="U304">
        <f t="shared" si="4"/>
        <v>0</v>
      </c>
    </row>
    <row r="305" spans="1:21" x14ac:dyDescent="0.25">
      <c r="A305">
        <v>1563</v>
      </c>
      <c r="B305">
        <v>60</v>
      </c>
      <c r="C305" t="s">
        <v>23</v>
      </c>
      <c r="D305" t="s">
        <v>24</v>
      </c>
      <c r="E305" t="s">
        <v>45</v>
      </c>
      <c r="F305" t="s">
        <v>41</v>
      </c>
      <c r="G305" t="s">
        <v>20</v>
      </c>
      <c r="H305" t="s">
        <v>30</v>
      </c>
      <c r="I305">
        <v>13</v>
      </c>
      <c r="J305" s="2">
        <v>11918</v>
      </c>
      <c r="K305" t="s">
        <v>22</v>
      </c>
      <c r="L305">
        <v>2</v>
      </c>
      <c r="M305">
        <v>4</v>
      </c>
      <c r="N305">
        <v>1</v>
      </c>
      <c r="O305">
        <v>0</v>
      </c>
      <c r="P305">
        <v>40</v>
      </c>
      <c r="Q305" t="s">
        <v>42</v>
      </c>
      <c r="R305" t="str" cm="1">
        <f t="array" ref="R305">_xlfn.IFS(N305&lt;=1,"0-1 yrs",N305&lt;=4,"2-4 yrs",N305&lt;=9,"5-9 yrs",N305&gt;9,"10+ yrs")</f>
        <v>0-1 yrs</v>
      </c>
      <c r="S305" t="str" cm="1">
        <f t="array" ref="S305">_xlfn.IFS(B305&lt;=25,"20-25",B305&lt;=35,"26-35",B305&lt;=45,"36-45",B305&gt;45,"46+")</f>
        <v>46+</v>
      </c>
      <c r="T305" t="str" cm="1">
        <f t="array" ref="T305">_xlfn.IFS(J305&lt;3500,"&lt;3.5K",J305&lt;5500,"3.5-5.5K",J305&lt;7500,"5.5-7.5K",J305&gt;=7500,"7.5K+")</f>
        <v>7.5K+</v>
      </c>
      <c r="U305">
        <f t="shared" si="4"/>
        <v>1</v>
      </c>
    </row>
    <row r="306" spans="1:21" x14ac:dyDescent="0.25">
      <c r="A306">
        <v>1506</v>
      </c>
      <c r="B306">
        <v>25</v>
      </c>
      <c r="C306" t="s">
        <v>23</v>
      </c>
      <c r="D306" t="s">
        <v>24</v>
      </c>
      <c r="E306" t="s">
        <v>25</v>
      </c>
      <c r="F306" t="s">
        <v>32</v>
      </c>
      <c r="G306" t="s">
        <v>20</v>
      </c>
      <c r="H306" t="s">
        <v>30</v>
      </c>
      <c r="I306">
        <v>21</v>
      </c>
      <c r="J306" s="2">
        <v>9445</v>
      </c>
      <c r="K306" t="s">
        <v>42</v>
      </c>
      <c r="L306">
        <v>2</v>
      </c>
      <c r="M306">
        <v>1</v>
      </c>
      <c r="N306">
        <v>0</v>
      </c>
      <c r="O306">
        <v>0</v>
      </c>
      <c r="P306">
        <v>1</v>
      </c>
      <c r="Q306" t="s">
        <v>42</v>
      </c>
      <c r="R306" t="str" cm="1">
        <f t="array" ref="R306">_xlfn.IFS(N306&lt;=1,"0-1 yrs",N306&lt;=4,"2-4 yrs",N306&lt;=9,"5-9 yrs",N306&gt;9,"10+ yrs")</f>
        <v>0-1 yrs</v>
      </c>
      <c r="S306" t="str" cm="1">
        <f t="array" ref="S306">_xlfn.IFS(B306&lt;=25,"20-25",B306&lt;=35,"26-35",B306&lt;=45,"36-45",B306&gt;45,"46+")</f>
        <v>20-25</v>
      </c>
      <c r="T306" t="str" cm="1">
        <f t="array" ref="T306">_xlfn.IFS(J306&lt;3500,"&lt;3.5K",J306&lt;5500,"3.5-5.5K",J306&lt;7500,"5.5-7.5K",J306&gt;=7500,"7.5K+")</f>
        <v>7.5K+</v>
      </c>
      <c r="U306">
        <f t="shared" si="4"/>
        <v>1</v>
      </c>
    </row>
    <row r="307" spans="1:21" x14ac:dyDescent="0.25">
      <c r="A307">
        <v>1300</v>
      </c>
      <c r="B307">
        <v>36</v>
      </c>
      <c r="C307" t="s">
        <v>16</v>
      </c>
      <c r="D307" t="s">
        <v>17</v>
      </c>
      <c r="E307" t="s">
        <v>40</v>
      </c>
      <c r="F307" t="s">
        <v>29</v>
      </c>
      <c r="G307" t="s">
        <v>37</v>
      </c>
      <c r="H307" t="s">
        <v>34</v>
      </c>
      <c r="I307">
        <v>24</v>
      </c>
      <c r="J307" s="2">
        <v>6785</v>
      </c>
      <c r="K307" t="s">
        <v>42</v>
      </c>
      <c r="L307">
        <v>3</v>
      </c>
      <c r="M307">
        <v>2</v>
      </c>
      <c r="N307">
        <v>1</v>
      </c>
      <c r="O307">
        <v>1</v>
      </c>
      <c r="P307">
        <v>8</v>
      </c>
      <c r="Q307" t="s">
        <v>22</v>
      </c>
      <c r="R307" t="str" cm="1">
        <f t="array" ref="R307">_xlfn.IFS(N307&lt;=1,"0-1 yrs",N307&lt;=4,"2-4 yrs",N307&lt;=9,"5-9 yrs",N307&gt;9,"10+ yrs")</f>
        <v>0-1 yrs</v>
      </c>
      <c r="S307" t="str" cm="1">
        <f t="array" ref="S307">_xlfn.IFS(B307&lt;=25,"20-25",B307&lt;=35,"26-35",B307&lt;=45,"36-45",B307&gt;45,"46+")</f>
        <v>36-45</v>
      </c>
      <c r="T307" t="str" cm="1">
        <f t="array" ref="T307">_xlfn.IFS(J307&lt;3500,"&lt;3.5K",J307&lt;5500,"3.5-5.5K",J307&lt;7500,"5.5-7.5K",J307&gt;=7500,"7.5K+")</f>
        <v>5.5-7.5K</v>
      </c>
      <c r="U307">
        <f t="shared" si="4"/>
        <v>0</v>
      </c>
    </row>
    <row r="308" spans="1:21" x14ac:dyDescent="0.25">
      <c r="A308">
        <v>1265</v>
      </c>
      <c r="B308">
        <v>55</v>
      </c>
      <c r="C308" t="s">
        <v>16</v>
      </c>
      <c r="D308" t="s">
        <v>47</v>
      </c>
      <c r="E308" t="s">
        <v>50</v>
      </c>
      <c r="F308" t="s">
        <v>36</v>
      </c>
      <c r="G308" t="s">
        <v>20</v>
      </c>
      <c r="H308" t="s">
        <v>34</v>
      </c>
      <c r="I308">
        <v>20</v>
      </c>
      <c r="J308" s="2">
        <v>9739</v>
      </c>
      <c r="K308" t="s">
        <v>42</v>
      </c>
      <c r="L308">
        <v>2</v>
      </c>
      <c r="M308">
        <v>4</v>
      </c>
      <c r="N308">
        <v>1</v>
      </c>
      <c r="O308">
        <v>0</v>
      </c>
      <c r="P308">
        <v>23</v>
      </c>
      <c r="Q308" t="s">
        <v>42</v>
      </c>
      <c r="R308" t="str" cm="1">
        <f t="array" ref="R308">_xlfn.IFS(N308&lt;=1,"0-1 yrs",N308&lt;=4,"2-4 yrs",N308&lt;=9,"5-9 yrs",N308&gt;9,"10+ yrs")</f>
        <v>0-1 yrs</v>
      </c>
      <c r="S308" t="str" cm="1">
        <f t="array" ref="S308">_xlfn.IFS(B308&lt;=25,"20-25",B308&lt;=35,"26-35",B308&lt;=45,"36-45",B308&gt;45,"46+")</f>
        <v>46+</v>
      </c>
      <c r="T308" t="str" cm="1">
        <f t="array" ref="T308">_xlfn.IFS(J308&lt;3500,"&lt;3.5K",J308&lt;5500,"3.5-5.5K",J308&lt;7500,"5.5-7.5K",J308&gt;=7500,"7.5K+")</f>
        <v>7.5K+</v>
      </c>
      <c r="U308">
        <f t="shared" si="4"/>
        <v>1</v>
      </c>
    </row>
    <row r="309" spans="1:21" x14ac:dyDescent="0.25">
      <c r="A309">
        <v>1358</v>
      </c>
      <c r="B309">
        <v>28</v>
      </c>
      <c r="C309" t="s">
        <v>23</v>
      </c>
      <c r="D309" t="s">
        <v>24</v>
      </c>
      <c r="E309" t="s">
        <v>52</v>
      </c>
      <c r="F309" t="s">
        <v>32</v>
      </c>
      <c r="G309" t="s">
        <v>20</v>
      </c>
      <c r="H309" t="s">
        <v>34</v>
      </c>
      <c r="I309">
        <v>29</v>
      </c>
      <c r="J309" s="2">
        <v>4564</v>
      </c>
      <c r="K309" t="s">
        <v>22</v>
      </c>
      <c r="L309">
        <v>2</v>
      </c>
      <c r="M309">
        <v>3</v>
      </c>
      <c r="N309">
        <v>0</v>
      </c>
      <c r="O309">
        <v>0</v>
      </c>
      <c r="P309">
        <v>0</v>
      </c>
      <c r="Q309" t="s">
        <v>22</v>
      </c>
      <c r="R309" t="str" cm="1">
        <f t="array" ref="R309">_xlfn.IFS(N309&lt;=1,"0-1 yrs",N309&lt;=4,"2-4 yrs",N309&lt;=9,"5-9 yrs",N309&gt;9,"10+ yrs")</f>
        <v>0-1 yrs</v>
      </c>
      <c r="S309" t="str" cm="1">
        <f t="array" ref="S309">_xlfn.IFS(B309&lt;=25,"20-25",B309&lt;=35,"26-35",B309&lt;=45,"36-45",B309&gt;45,"46+")</f>
        <v>26-35</v>
      </c>
      <c r="T309" t="str" cm="1">
        <f t="array" ref="T309">_xlfn.IFS(J309&lt;3500,"&lt;3.5K",J309&lt;5500,"3.5-5.5K",J309&lt;7500,"5.5-7.5K",J309&gt;=7500,"7.5K+")</f>
        <v>3.5-5.5K</v>
      </c>
      <c r="U309">
        <f t="shared" si="4"/>
        <v>0</v>
      </c>
    </row>
    <row r="310" spans="1:21" x14ac:dyDescent="0.25">
      <c r="A310">
        <v>1590</v>
      </c>
      <c r="B310">
        <v>35</v>
      </c>
      <c r="C310" t="s">
        <v>16</v>
      </c>
      <c r="D310" t="s">
        <v>17</v>
      </c>
      <c r="E310" t="s">
        <v>18</v>
      </c>
      <c r="F310" t="s">
        <v>36</v>
      </c>
      <c r="G310" t="s">
        <v>33</v>
      </c>
      <c r="H310" t="s">
        <v>34</v>
      </c>
      <c r="I310">
        <v>3</v>
      </c>
      <c r="J310" s="2">
        <v>8990</v>
      </c>
      <c r="K310" t="s">
        <v>22</v>
      </c>
      <c r="L310">
        <v>2</v>
      </c>
      <c r="M310">
        <v>4</v>
      </c>
      <c r="N310">
        <v>3</v>
      </c>
      <c r="O310">
        <v>3</v>
      </c>
      <c r="P310">
        <v>13</v>
      </c>
      <c r="Q310" t="s">
        <v>22</v>
      </c>
      <c r="R310" t="str" cm="1">
        <f t="array" ref="R310">_xlfn.IFS(N310&lt;=1,"0-1 yrs",N310&lt;=4,"2-4 yrs",N310&lt;=9,"5-9 yrs",N310&gt;9,"10+ yrs")</f>
        <v>2-4 yrs</v>
      </c>
      <c r="S310" t="str" cm="1">
        <f t="array" ref="S310">_xlfn.IFS(B310&lt;=25,"20-25",B310&lt;=35,"26-35",B310&lt;=45,"36-45",B310&gt;45,"46+")</f>
        <v>26-35</v>
      </c>
      <c r="T310" t="str" cm="1">
        <f t="array" ref="T310">_xlfn.IFS(J310&lt;3500,"&lt;3.5K",J310&lt;5500,"3.5-5.5K",J310&lt;7500,"5.5-7.5K",J310&gt;=7500,"7.5K+")</f>
        <v>7.5K+</v>
      </c>
      <c r="U310">
        <f t="shared" si="4"/>
        <v>0</v>
      </c>
    </row>
    <row r="311" spans="1:21" x14ac:dyDescent="0.25">
      <c r="A311">
        <v>1527</v>
      </c>
      <c r="B311">
        <v>33</v>
      </c>
      <c r="C311" t="s">
        <v>16</v>
      </c>
      <c r="D311" t="s">
        <v>47</v>
      </c>
      <c r="E311" t="s">
        <v>48</v>
      </c>
      <c r="F311" t="s">
        <v>36</v>
      </c>
      <c r="G311" t="s">
        <v>37</v>
      </c>
      <c r="H311" t="s">
        <v>34</v>
      </c>
      <c r="I311">
        <v>12</v>
      </c>
      <c r="J311" s="2">
        <v>7259</v>
      </c>
      <c r="K311" t="s">
        <v>42</v>
      </c>
      <c r="L311">
        <v>1</v>
      </c>
      <c r="M311">
        <v>4</v>
      </c>
      <c r="N311">
        <v>2</v>
      </c>
      <c r="O311">
        <v>2</v>
      </c>
      <c r="P311">
        <v>7</v>
      </c>
      <c r="Q311" t="s">
        <v>22</v>
      </c>
      <c r="R311" t="str" cm="1">
        <f t="array" ref="R311">_xlfn.IFS(N311&lt;=1,"0-1 yrs",N311&lt;=4,"2-4 yrs",N311&lt;=9,"5-9 yrs",N311&gt;9,"10+ yrs")</f>
        <v>2-4 yrs</v>
      </c>
      <c r="S311" t="str" cm="1">
        <f t="array" ref="S311">_xlfn.IFS(B311&lt;=25,"20-25",B311&lt;=35,"26-35",B311&lt;=45,"36-45",B311&gt;45,"46+")</f>
        <v>26-35</v>
      </c>
      <c r="T311" t="str" cm="1">
        <f t="array" ref="T311">_xlfn.IFS(J311&lt;3500,"&lt;3.5K",J311&lt;5500,"3.5-5.5K",J311&lt;7500,"5.5-7.5K",J311&gt;=7500,"7.5K+")</f>
        <v>5.5-7.5K</v>
      </c>
      <c r="U311">
        <f t="shared" si="4"/>
        <v>0</v>
      </c>
    </row>
    <row r="312" spans="1:21" x14ac:dyDescent="0.25">
      <c r="A312">
        <v>1168</v>
      </c>
      <c r="B312">
        <v>44</v>
      </c>
      <c r="C312" t="s">
        <v>23</v>
      </c>
      <c r="D312" t="s">
        <v>17</v>
      </c>
      <c r="E312" t="s">
        <v>35</v>
      </c>
      <c r="F312" t="s">
        <v>32</v>
      </c>
      <c r="G312" t="s">
        <v>33</v>
      </c>
      <c r="H312" t="s">
        <v>34</v>
      </c>
      <c r="I312">
        <v>10</v>
      </c>
      <c r="J312" s="2">
        <v>6768</v>
      </c>
      <c r="K312" t="s">
        <v>42</v>
      </c>
      <c r="L312">
        <v>4</v>
      </c>
      <c r="M312">
        <v>2</v>
      </c>
      <c r="N312">
        <v>17</v>
      </c>
      <c r="O312">
        <v>7</v>
      </c>
      <c r="P312">
        <v>21</v>
      </c>
      <c r="Q312" t="s">
        <v>22</v>
      </c>
      <c r="R312" t="str" cm="1">
        <f t="array" ref="R312">_xlfn.IFS(N312&lt;=1,"0-1 yrs",N312&lt;=4,"2-4 yrs",N312&lt;=9,"5-9 yrs",N312&gt;9,"10+ yrs")</f>
        <v>10+ yrs</v>
      </c>
      <c r="S312" t="str" cm="1">
        <f t="array" ref="S312">_xlfn.IFS(B312&lt;=25,"20-25",B312&lt;=35,"26-35",B312&lt;=45,"36-45",B312&gt;45,"46+")</f>
        <v>36-45</v>
      </c>
      <c r="T312" t="str" cm="1">
        <f t="array" ref="T312">_xlfn.IFS(J312&lt;3500,"&lt;3.5K",J312&lt;5500,"3.5-5.5K",J312&lt;7500,"5.5-7.5K",J312&gt;=7500,"7.5K+")</f>
        <v>5.5-7.5K</v>
      </c>
      <c r="U312">
        <f t="shared" si="4"/>
        <v>0</v>
      </c>
    </row>
    <row r="313" spans="1:21" x14ac:dyDescent="0.25">
      <c r="A313">
        <v>1624</v>
      </c>
      <c r="B313">
        <v>30</v>
      </c>
      <c r="C313" t="s">
        <v>23</v>
      </c>
      <c r="D313" t="s">
        <v>17</v>
      </c>
      <c r="E313" t="s">
        <v>18</v>
      </c>
      <c r="F313" t="s">
        <v>19</v>
      </c>
      <c r="G313" t="s">
        <v>37</v>
      </c>
      <c r="H313" t="s">
        <v>30</v>
      </c>
      <c r="I313">
        <v>17</v>
      </c>
      <c r="J313" s="2">
        <v>10268</v>
      </c>
      <c r="K313" t="s">
        <v>42</v>
      </c>
      <c r="L313">
        <v>2</v>
      </c>
      <c r="M313">
        <v>3</v>
      </c>
      <c r="N313">
        <v>0</v>
      </c>
      <c r="O313">
        <v>0</v>
      </c>
      <c r="P313">
        <v>0</v>
      </c>
      <c r="Q313" t="s">
        <v>22</v>
      </c>
      <c r="R313" t="str" cm="1">
        <f t="array" ref="R313">_xlfn.IFS(N313&lt;=1,"0-1 yrs",N313&lt;=4,"2-4 yrs",N313&lt;=9,"5-9 yrs",N313&gt;9,"10+ yrs")</f>
        <v>0-1 yrs</v>
      </c>
      <c r="S313" t="str" cm="1">
        <f t="array" ref="S313">_xlfn.IFS(B313&lt;=25,"20-25",B313&lt;=35,"26-35",B313&lt;=45,"36-45",B313&gt;45,"46+")</f>
        <v>26-35</v>
      </c>
      <c r="T313" t="str" cm="1">
        <f t="array" ref="T313">_xlfn.IFS(J313&lt;3500,"&lt;3.5K",J313&lt;5500,"3.5-5.5K",J313&lt;7500,"5.5-7.5K",J313&gt;=7500,"7.5K+")</f>
        <v>7.5K+</v>
      </c>
      <c r="U313">
        <f t="shared" si="4"/>
        <v>0</v>
      </c>
    </row>
    <row r="314" spans="1:21" x14ac:dyDescent="0.25">
      <c r="A314">
        <v>1432</v>
      </c>
      <c r="B314">
        <v>34</v>
      </c>
      <c r="C314" t="s">
        <v>16</v>
      </c>
      <c r="D314" t="s">
        <v>17</v>
      </c>
      <c r="E314" t="s">
        <v>18</v>
      </c>
      <c r="F314" t="s">
        <v>29</v>
      </c>
      <c r="G314" t="s">
        <v>33</v>
      </c>
      <c r="H314" t="s">
        <v>21</v>
      </c>
      <c r="I314">
        <v>15</v>
      </c>
      <c r="J314" s="2">
        <v>12302</v>
      </c>
      <c r="K314" t="s">
        <v>22</v>
      </c>
      <c r="L314">
        <v>1</v>
      </c>
      <c r="M314">
        <v>1</v>
      </c>
      <c r="N314">
        <v>4</v>
      </c>
      <c r="O314">
        <v>3</v>
      </c>
      <c r="P314">
        <v>5</v>
      </c>
      <c r="Q314" t="s">
        <v>22</v>
      </c>
      <c r="R314" t="str" cm="1">
        <f t="array" ref="R314">_xlfn.IFS(N314&lt;=1,"0-1 yrs",N314&lt;=4,"2-4 yrs",N314&lt;=9,"5-9 yrs",N314&gt;9,"10+ yrs")</f>
        <v>2-4 yrs</v>
      </c>
      <c r="S314" t="str" cm="1">
        <f t="array" ref="S314">_xlfn.IFS(B314&lt;=25,"20-25",B314&lt;=35,"26-35",B314&lt;=45,"36-45",B314&gt;45,"46+")</f>
        <v>26-35</v>
      </c>
      <c r="T314" t="str" cm="1">
        <f t="array" ref="T314">_xlfn.IFS(J314&lt;3500,"&lt;3.5K",J314&lt;5500,"3.5-5.5K",J314&lt;7500,"5.5-7.5K",J314&gt;=7500,"7.5K+")</f>
        <v>7.5K+</v>
      </c>
      <c r="U314">
        <f t="shared" si="4"/>
        <v>0</v>
      </c>
    </row>
    <row r="315" spans="1:21" x14ac:dyDescent="0.25">
      <c r="A315">
        <v>1980</v>
      </c>
      <c r="B315">
        <v>33</v>
      </c>
      <c r="C315" t="s">
        <v>23</v>
      </c>
      <c r="D315" t="s">
        <v>24</v>
      </c>
      <c r="E315" t="s">
        <v>45</v>
      </c>
      <c r="F315" t="s">
        <v>41</v>
      </c>
      <c r="G315" t="s">
        <v>33</v>
      </c>
      <c r="H315" t="s">
        <v>30</v>
      </c>
      <c r="I315">
        <v>27</v>
      </c>
      <c r="J315" s="2">
        <v>7594</v>
      </c>
      <c r="K315" t="s">
        <v>22</v>
      </c>
      <c r="L315">
        <v>3</v>
      </c>
      <c r="M315">
        <v>2</v>
      </c>
      <c r="N315">
        <v>1</v>
      </c>
      <c r="O315">
        <v>0</v>
      </c>
      <c r="P315">
        <v>9</v>
      </c>
      <c r="Q315" t="s">
        <v>22</v>
      </c>
      <c r="R315" t="str" cm="1">
        <f t="array" ref="R315">_xlfn.IFS(N315&lt;=1,"0-1 yrs",N315&lt;=4,"2-4 yrs",N315&lt;=9,"5-9 yrs",N315&gt;9,"10+ yrs")</f>
        <v>0-1 yrs</v>
      </c>
      <c r="S315" t="str" cm="1">
        <f t="array" ref="S315">_xlfn.IFS(B315&lt;=25,"20-25",B315&lt;=35,"26-35",B315&lt;=45,"36-45",B315&gt;45,"46+")</f>
        <v>26-35</v>
      </c>
      <c r="T315" t="str" cm="1">
        <f t="array" ref="T315">_xlfn.IFS(J315&lt;3500,"&lt;3.5K",J315&lt;5500,"3.5-5.5K",J315&lt;7500,"5.5-7.5K",J315&gt;=7500,"7.5K+")</f>
        <v>7.5K+</v>
      </c>
      <c r="U315">
        <f t="shared" si="4"/>
        <v>0</v>
      </c>
    </row>
    <row r="316" spans="1:21" x14ac:dyDescent="0.25">
      <c r="A316">
        <v>1172</v>
      </c>
      <c r="B316">
        <v>33</v>
      </c>
      <c r="C316" t="s">
        <v>16</v>
      </c>
      <c r="D316" t="s">
        <v>47</v>
      </c>
      <c r="E316" t="s">
        <v>50</v>
      </c>
      <c r="F316" t="s">
        <v>32</v>
      </c>
      <c r="G316" t="s">
        <v>37</v>
      </c>
      <c r="H316" t="s">
        <v>21</v>
      </c>
      <c r="I316">
        <v>8</v>
      </c>
      <c r="J316" s="2">
        <v>7238</v>
      </c>
      <c r="K316" t="s">
        <v>22</v>
      </c>
      <c r="L316">
        <v>4</v>
      </c>
      <c r="M316">
        <v>2</v>
      </c>
      <c r="N316">
        <v>5</v>
      </c>
      <c r="O316">
        <v>0</v>
      </c>
      <c r="P316">
        <v>5</v>
      </c>
      <c r="Q316" t="s">
        <v>22</v>
      </c>
      <c r="R316" t="str" cm="1">
        <f t="array" ref="R316">_xlfn.IFS(N316&lt;=1,"0-1 yrs",N316&lt;=4,"2-4 yrs",N316&lt;=9,"5-9 yrs",N316&gt;9,"10+ yrs")</f>
        <v>5-9 yrs</v>
      </c>
      <c r="S316" t="str" cm="1">
        <f t="array" ref="S316">_xlfn.IFS(B316&lt;=25,"20-25",B316&lt;=35,"26-35",B316&lt;=45,"36-45",B316&gt;45,"46+")</f>
        <v>26-35</v>
      </c>
      <c r="T316" t="str" cm="1">
        <f t="array" ref="T316">_xlfn.IFS(J316&lt;3500,"&lt;3.5K",J316&lt;5500,"3.5-5.5K",J316&lt;7500,"5.5-7.5K",J316&gt;=7500,"7.5K+")</f>
        <v>5.5-7.5K</v>
      </c>
      <c r="U316">
        <f t="shared" si="4"/>
        <v>0</v>
      </c>
    </row>
    <row r="317" spans="1:21" x14ac:dyDescent="0.25">
      <c r="A317">
        <v>1855</v>
      </c>
      <c r="B317">
        <v>31</v>
      </c>
      <c r="C317" t="s">
        <v>16</v>
      </c>
      <c r="D317" t="s">
        <v>38</v>
      </c>
      <c r="E317" t="s">
        <v>49</v>
      </c>
      <c r="F317" t="s">
        <v>26</v>
      </c>
      <c r="G317" t="s">
        <v>37</v>
      </c>
      <c r="H317" t="s">
        <v>34</v>
      </c>
      <c r="I317">
        <v>5</v>
      </c>
      <c r="J317" s="2">
        <v>8797</v>
      </c>
      <c r="K317" t="s">
        <v>42</v>
      </c>
      <c r="L317">
        <v>2</v>
      </c>
      <c r="M317">
        <v>3</v>
      </c>
      <c r="N317">
        <v>2</v>
      </c>
      <c r="O317">
        <v>0</v>
      </c>
      <c r="P317">
        <v>2</v>
      </c>
      <c r="Q317" t="s">
        <v>22</v>
      </c>
      <c r="R317" t="str" cm="1">
        <f t="array" ref="R317">_xlfn.IFS(N317&lt;=1,"0-1 yrs",N317&lt;=4,"2-4 yrs",N317&lt;=9,"5-9 yrs",N317&gt;9,"10+ yrs")</f>
        <v>2-4 yrs</v>
      </c>
      <c r="S317" t="str" cm="1">
        <f t="array" ref="S317">_xlfn.IFS(B317&lt;=25,"20-25",B317&lt;=35,"26-35",B317&lt;=45,"36-45",B317&gt;45,"46+")</f>
        <v>26-35</v>
      </c>
      <c r="T317" t="str" cm="1">
        <f t="array" ref="T317">_xlfn.IFS(J317&lt;3500,"&lt;3.5K",J317&lt;5500,"3.5-5.5K",J317&lt;7500,"5.5-7.5K",J317&gt;=7500,"7.5K+")</f>
        <v>7.5K+</v>
      </c>
      <c r="U317">
        <f t="shared" si="4"/>
        <v>0</v>
      </c>
    </row>
    <row r="318" spans="1:21" x14ac:dyDescent="0.25">
      <c r="A318">
        <v>1230</v>
      </c>
      <c r="B318">
        <v>25</v>
      </c>
      <c r="C318" t="s">
        <v>16</v>
      </c>
      <c r="D318" t="s">
        <v>27</v>
      </c>
      <c r="E318" t="s">
        <v>31</v>
      </c>
      <c r="F318" t="s">
        <v>29</v>
      </c>
      <c r="G318" t="s">
        <v>37</v>
      </c>
      <c r="H318" t="s">
        <v>21</v>
      </c>
      <c r="I318">
        <v>27</v>
      </c>
      <c r="J318" s="2">
        <v>3885</v>
      </c>
      <c r="K318" t="s">
        <v>22</v>
      </c>
      <c r="L318">
        <v>2</v>
      </c>
      <c r="M318">
        <v>1</v>
      </c>
      <c r="N318">
        <v>0</v>
      </c>
      <c r="O318">
        <v>0</v>
      </c>
      <c r="P318">
        <v>0</v>
      </c>
      <c r="Q318" t="s">
        <v>22</v>
      </c>
      <c r="R318" t="str" cm="1">
        <f t="array" ref="R318">_xlfn.IFS(N318&lt;=1,"0-1 yrs",N318&lt;=4,"2-4 yrs",N318&lt;=9,"5-9 yrs",N318&gt;9,"10+ yrs")</f>
        <v>0-1 yrs</v>
      </c>
      <c r="S318" t="str" cm="1">
        <f t="array" ref="S318">_xlfn.IFS(B318&lt;=25,"20-25",B318&lt;=35,"26-35",B318&lt;=45,"36-45",B318&gt;45,"46+")</f>
        <v>20-25</v>
      </c>
      <c r="T318" t="str" cm="1">
        <f t="array" ref="T318">_xlfn.IFS(J318&lt;3500,"&lt;3.5K",J318&lt;5500,"3.5-5.5K",J318&lt;7500,"5.5-7.5K",J318&gt;=7500,"7.5K+")</f>
        <v>3.5-5.5K</v>
      </c>
      <c r="U318">
        <f t="shared" si="4"/>
        <v>0</v>
      </c>
    </row>
    <row r="319" spans="1:21" x14ac:dyDescent="0.25">
      <c r="A319">
        <v>1323</v>
      </c>
      <c r="B319">
        <v>21</v>
      </c>
      <c r="C319" t="s">
        <v>16</v>
      </c>
      <c r="D319" t="s">
        <v>24</v>
      </c>
      <c r="E319" t="s">
        <v>52</v>
      </c>
      <c r="F319" t="s">
        <v>29</v>
      </c>
      <c r="G319" t="s">
        <v>37</v>
      </c>
      <c r="H319" t="s">
        <v>21</v>
      </c>
      <c r="I319">
        <v>23</v>
      </c>
      <c r="J319" s="2">
        <v>6068</v>
      </c>
      <c r="K319" t="s">
        <v>42</v>
      </c>
      <c r="L319">
        <v>3</v>
      </c>
      <c r="M319">
        <v>4</v>
      </c>
      <c r="N319">
        <v>1</v>
      </c>
      <c r="O319">
        <v>1</v>
      </c>
      <c r="P319">
        <v>1</v>
      </c>
      <c r="Q319" t="s">
        <v>22</v>
      </c>
      <c r="R319" t="str" cm="1">
        <f t="array" ref="R319">_xlfn.IFS(N319&lt;=1,"0-1 yrs",N319&lt;=4,"2-4 yrs",N319&lt;=9,"5-9 yrs",N319&gt;9,"10+ yrs")</f>
        <v>0-1 yrs</v>
      </c>
      <c r="S319" t="str" cm="1">
        <f t="array" ref="S319">_xlfn.IFS(B319&lt;=25,"20-25",B319&lt;=35,"26-35",B319&lt;=45,"36-45",B319&gt;45,"46+")</f>
        <v>20-25</v>
      </c>
      <c r="T319" t="str" cm="1">
        <f t="array" ref="T319">_xlfn.IFS(J319&lt;3500,"&lt;3.5K",J319&lt;5500,"3.5-5.5K",J319&lt;7500,"5.5-7.5K",J319&gt;=7500,"7.5K+")</f>
        <v>5.5-7.5K</v>
      </c>
      <c r="U319">
        <f t="shared" si="4"/>
        <v>0</v>
      </c>
    </row>
    <row r="320" spans="1:21" x14ac:dyDescent="0.25">
      <c r="A320">
        <v>1653</v>
      </c>
      <c r="B320">
        <v>60</v>
      </c>
      <c r="C320" t="s">
        <v>23</v>
      </c>
      <c r="D320" t="s">
        <v>17</v>
      </c>
      <c r="E320" t="s">
        <v>40</v>
      </c>
      <c r="F320" t="s">
        <v>38</v>
      </c>
      <c r="G320" t="s">
        <v>37</v>
      </c>
      <c r="H320" t="s">
        <v>21</v>
      </c>
      <c r="I320">
        <v>1</v>
      </c>
      <c r="J320" s="2">
        <v>14728</v>
      </c>
      <c r="K320" t="s">
        <v>22</v>
      </c>
      <c r="L320">
        <v>2</v>
      </c>
      <c r="M320">
        <v>2</v>
      </c>
      <c r="N320">
        <v>4</v>
      </c>
      <c r="O320">
        <v>2</v>
      </c>
      <c r="P320">
        <v>40</v>
      </c>
      <c r="Q320" t="s">
        <v>22</v>
      </c>
      <c r="R320" t="str" cm="1">
        <f t="array" ref="R320">_xlfn.IFS(N320&lt;=1,"0-1 yrs",N320&lt;=4,"2-4 yrs",N320&lt;=9,"5-9 yrs",N320&gt;9,"10+ yrs")</f>
        <v>2-4 yrs</v>
      </c>
      <c r="S320" t="str" cm="1">
        <f t="array" ref="S320">_xlfn.IFS(B320&lt;=25,"20-25",B320&lt;=35,"26-35",B320&lt;=45,"36-45",B320&gt;45,"46+")</f>
        <v>46+</v>
      </c>
      <c r="T320" t="str" cm="1">
        <f t="array" ref="T320">_xlfn.IFS(J320&lt;3500,"&lt;3.5K",J320&lt;5500,"3.5-5.5K",J320&lt;7500,"5.5-7.5K",J320&gt;=7500,"7.5K+")</f>
        <v>7.5K+</v>
      </c>
      <c r="U320">
        <f t="shared" si="4"/>
        <v>0</v>
      </c>
    </row>
    <row r="321" spans="1:21" x14ac:dyDescent="0.25">
      <c r="A321">
        <v>1418</v>
      </c>
      <c r="B321">
        <v>21</v>
      </c>
      <c r="C321" t="s">
        <v>23</v>
      </c>
      <c r="D321" t="s">
        <v>24</v>
      </c>
      <c r="E321" t="s">
        <v>52</v>
      </c>
      <c r="F321" t="s">
        <v>41</v>
      </c>
      <c r="G321" t="s">
        <v>37</v>
      </c>
      <c r="H321" t="s">
        <v>21</v>
      </c>
      <c r="I321">
        <v>19</v>
      </c>
      <c r="J321" s="2">
        <v>5205</v>
      </c>
      <c r="K321" t="s">
        <v>22</v>
      </c>
      <c r="L321">
        <v>2</v>
      </c>
      <c r="M321">
        <v>1</v>
      </c>
      <c r="N321">
        <v>0</v>
      </c>
      <c r="O321">
        <v>0</v>
      </c>
      <c r="P321">
        <v>0</v>
      </c>
      <c r="Q321" t="s">
        <v>22</v>
      </c>
      <c r="R321" t="str" cm="1">
        <f t="array" ref="R321">_xlfn.IFS(N321&lt;=1,"0-1 yrs",N321&lt;=4,"2-4 yrs",N321&lt;=9,"5-9 yrs",N321&gt;9,"10+ yrs")</f>
        <v>0-1 yrs</v>
      </c>
      <c r="S321" t="str" cm="1">
        <f t="array" ref="S321">_xlfn.IFS(B321&lt;=25,"20-25",B321&lt;=35,"26-35",B321&lt;=45,"36-45",B321&gt;45,"46+")</f>
        <v>20-25</v>
      </c>
      <c r="T321" t="str" cm="1">
        <f t="array" ref="T321">_xlfn.IFS(J321&lt;3500,"&lt;3.5K",J321&lt;5500,"3.5-5.5K",J321&lt;7500,"5.5-7.5K",J321&gt;=7500,"7.5K+")</f>
        <v>3.5-5.5K</v>
      </c>
      <c r="U321">
        <f t="shared" si="4"/>
        <v>0</v>
      </c>
    </row>
    <row r="322" spans="1:21" x14ac:dyDescent="0.25">
      <c r="A322">
        <v>1112</v>
      </c>
      <c r="B322">
        <v>48</v>
      </c>
      <c r="C322" t="s">
        <v>16</v>
      </c>
      <c r="D322" t="s">
        <v>27</v>
      </c>
      <c r="E322" t="s">
        <v>44</v>
      </c>
      <c r="F322" t="s">
        <v>29</v>
      </c>
      <c r="G322" t="s">
        <v>37</v>
      </c>
      <c r="H322" t="s">
        <v>30</v>
      </c>
      <c r="I322">
        <v>21</v>
      </c>
      <c r="J322" s="2">
        <v>11883</v>
      </c>
      <c r="K322" t="s">
        <v>42</v>
      </c>
      <c r="L322">
        <v>3</v>
      </c>
      <c r="M322">
        <v>1</v>
      </c>
      <c r="N322">
        <v>11</v>
      </c>
      <c r="O322">
        <v>9</v>
      </c>
      <c r="P322">
        <v>28</v>
      </c>
      <c r="Q322" t="s">
        <v>22</v>
      </c>
      <c r="R322" t="str" cm="1">
        <f t="array" ref="R322">_xlfn.IFS(N322&lt;=1,"0-1 yrs",N322&lt;=4,"2-4 yrs",N322&lt;=9,"5-9 yrs",N322&gt;9,"10+ yrs")</f>
        <v>10+ yrs</v>
      </c>
      <c r="S322" t="str" cm="1">
        <f t="array" ref="S322">_xlfn.IFS(B322&lt;=25,"20-25",B322&lt;=35,"26-35",B322&lt;=45,"36-45",B322&gt;45,"46+")</f>
        <v>46+</v>
      </c>
      <c r="T322" t="str" cm="1">
        <f t="array" ref="T322">_xlfn.IFS(J322&lt;3500,"&lt;3.5K",J322&lt;5500,"3.5-5.5K",J322&lt;7500,"5.5-7.5K",J322&gt;=7500,"7.5K+")</f>
        <v>7.5K+</v>
      </c>
      <c r="U322">
        <f t="shared" si="4"/>
        <v>0</v>
      </c>
    </row>
    <row r="323" spans="1:21" x14ac:dyDescent="0.25">
      <c r="A323">
        <v>1794</v>
      </c>
      <c r="B323">
        <v>58</v>
      </c>
      <c r="C323" t="s">
        <v>23</v>
      </c>
      <c r="D323" t="s">
        <v>17</v>
      </c>
      <c r="E323" t="s">
        <v>18</v>
      </c>
      <c r="F323" t="s">
        <v>19</v>
      </c>
      <c r="G323" t="s">
        <v>20</v>
      </c>
      <c r="H323" t="s">
        <v>34</v>
      </c>
      <c r="I323">
        <v>24</v>
      </c>
      <c r="J323" s="2">
        <v>14694</v>
      </c>
      <c r="K323" t="s">
        <v>22</v>
      </c>
      <c r="L323">
        <v>3</v>
      </c>
      <c r="M323">
        <v>3</v>
      </c>
      <c r="N323">
        <v>18</v>
      </c>
      <c r="O323">
        <v>12</v>
      </c>
      <c r="P323">
        <v>35</v>
      </c>
      <c r="Q323" t="s">
        <v>42</v>
      </c>
      <c r="R323" t="str" cm="1">
        <f t="array" ref="R323">_xlfn.IFS(N323&lt;=1,"0-1 yrs",N323&lt;=4,"2-4 yrs",N323&lt;=9,"5-9 yrs",N323&gt;9,"10+ yrs")</f>
        <v>10+ yrs</v>
      </c>
      <c r="S323" t="str" cm="1">
        <f t="array" ref="S323">_xlfn.IFS(B323&lt;=25,"20-25",B323&lt;=35,"26-35",B323&lt;=45,"36-45",B323&gt;45,"46+")</f>
        <v>46+</v>
      </c>
      <c r="T323" t="str" cm="1">
        <f t="array" ref="T323">_xlfn.IFS(J323&lt;3500,"&lt;3.5K",J323&lt;5500,"3.5-5.5K",J323&lt;7500,"5.5-7.5K",J323&gt;=7500,"7.5K+")</f>
        <v>7.5K+</v>
      </c>
      <c r="U323">
        <f t="shared" ref="U323:U386" si="5">IF(Q323="Yes",1,0)</f>
        <v>1</v>
      </c>
    </row>
    <row r="324" spans="1:21" x14ac:dyDescent="0.25">
      <c r="A324">
        <v>1572</v>
      </c>
      <c r="B324">
        <v>60</v>
      </c>
      <c r="C324" t="s">
        <v>23</v>
      </c>
      <c r="D324" t="s">
        <v>24</v>
      </c>
      <c r="E324" t="s">
        <v>45</v>
      </c>
      <c r="F324" t="s">
        <v>41</v>
      </c>
      <c r="G324" t="s">
        <v>20</v>
      </c>
      <c r="H324" t="s">
        <v>34</v>
      </c>
      <c r="I324">
        <v>3</v>
      </c>
      <c r="J324" s="2">
        <v>11879</v>
      </c>
      <c r="K324" t="s">
        <v>42</v>
      </c>
      <c r="L324">
        <v>4</v>
      </c>
      <c r="M324">
        <v>1</v>
      </c>
      <c r="N324">
        <v>3</v>
      </c>
      <c r="O324">
        <v>1</v>
      </c>
      <c r="P324">
        <v>37</v>
      </c>
      <c r="Q324" t="s">
        <v>22</v>
      </c>
      <c r="R324" t="str" cm="1">
        <f t="array" ref="R324">_xlfn.IFS(N324&lt;=1,"0-1 yrs",N324&lt;=4,"2-4 yrs",N324&lt;=9,"5-9 yrs",N324&gt;9,"10+ yrs")</f>
        <v>2-4 yrs</v>
      </c>
      <c r="S324" t="str" cm="1">
        <f t="array" ref="S324">_xlfn.IFS(B324&lt;=25,"20-25",B324&lt;=35,"26-35",B324&lt;=45,"36-45",B324&gt;45,"46+")</f>
        <v>46+</v>
      </c>
      <c r="T324" t="str" cm="1">
        <f t="array" ref="T324">_xlfn.IFS(J324&lt;3500,"&lt;3.5K",J324&lt;5500,"3.5-5.5K",J324&lt;7500,"5.5-7.5K",J324&gt;=7500,"7.5K+")</f>
        <v>7.5K+</v>
      </c>
      <c r="U324">
        <f t="shared" si="5"/>
        <v>0</v>
      </c>
    </row>
    <row r="325" spans="1:21" x14ac:dyDescent="0.25">
      <c r="A325">
        <v>1031</v>
      </c>
      <c r="B325">
        <v>48</v>
      </c>
      <c r="C325" t="s">
        <v>23</v>
      </c>
      <c r="D325" t="s">
        <v>24</v>
      </c>
      <c r="E325" t="s">
        <v>45</v>
      </c>
      <c r="F325" t="s">
        <v>19</v>
      </c>
      <c r="G325" t="s">
        <v>33</v>
      </c>
      <c r="H325" t="s">
        <v>34</v>
      </c>
      <c r="I325">
        <v>25</v>
      </c>
      <c r="J325" s="2">
        <v>7884</v>
      </c>
      <c r="K325" t="s">
        <v>42</v>
      </c>
      <c r="L325">
        <v>3</v>
      </c>
      <c r="M325">
        <v>3</v>
      </c>
      <c r="N325">
        <v>5</v>
      </c>
      <c r="O325">
        <v>5</v>
      </c>
      <c r="P325">
        <v>21</v>
      </c>
      <c r="Q325" t="s">
        <v>42</v>
      </c>
      <c r="R325" t="str" cm="1">
        <f t="array" ref="R325">_xlfn.IFS(N325&lt;=1,"0-1 yrs",N325&lt;=4,"2-4 yrs",N325&lt;=9,"5-9 yrs",N325&gt;9,"10+ yrs")</f>
        <v>5-9 yrs</v>
      </c>
      <c r="S325" t="str" cm="1">
        <f t="array" ref="S325">_xlfn.IFS(B325&lt;=25,"20-25",B325&lt;=35,"26-35",B325&lt;=45,"36-45",B325&gt;45,"46+")</f>
        <v>46+</v>
      </c>
      <c r="T325" t="str" cm="1">
        <f t="array" ref="T325">_xlfn.IFS(J325&lt;3500,"&lt;3.5K",J325&lt;5500,"3.5-5.5K",J325&lt;7500,"5.5-7.5K",J325&gt;=7500,"7.5K+")</f>
        <v>7.5K+</v>
      </c>
      <c r="U325">
        <f t="shared" si="5"/>
        <v>1</v>
      </c>
    </row>
    <row r="326" spans="1:21" x14ac:dyDescent="0.25">
      <c r="A326">
        <v>1139</v>
      </c>
      <c r="B326">
        <v>36</v>
      </c>
      <c r="C326" t="s">
        <v>23</v>
      </c>
      <c r="D326" t="s">
        <v>17</v>
      </c>
      <c r="E326" t="s">
        <v>35</v>
      </c>
      <c r="F326" t="s">
        <v>41</v>
      </c>
      <c r="G326" t="s">
        <v>37</v>
      </c>
      <c r="H326" t="s">
        <v>34</v>
      </c>
      <c r="I326">
        <v>17</v>
      </c>
      <c r="J326" s="2">
        <v>6948</v>
      </c>
      <c r="K326" t="s">
        <v>22</v>
      </c>
      <c r="L326">
        <v>2</v>
      </c>
      <c r="M326">
        <v>4</v>
      </c>
      <c r="N326">
        <v>5</v>
      </c>
      <c r="O326">
        <v>2</v>
      </c>
      <c r="P326">
        <v>11</v>
      </c>
      <c r="Q326" t="s">
        <v>22</v>
      </c>
      <c r="R326" t="str" cm="1">
        <f t="array" ref="R326">_xlfn.IFS(N326&lt;=1,"0-1 yrs",N326&lt;=4,"2-4 yrs",N326&lt;=9,"5-9 yrs",N326&gt;9,"10+ yrs")</f>
        <v>5-9 yrs</v>
      </c>
      <c r="S326" t="str" cm="1">
        <f t="array" ref="S326">_xlfn.IFS(B326&lt;=25,"20-25",B326&lt;=35,"26-35",B326&lt;=45,"36-45",B326&gt;45,"46+")</f>
        <v>36-45</v>
      </c>
      <c r="T326" t="str" cm="1">
        <f t="array" ref="T326">_xlfn.IFS(J326&lt;3500,"&lt;3.5K",J326&lt;5500,"3.5-5.5K",J326&lt;7500,"5.5-7.5K",J326&gt;=7500,"7.5K+")</f>
        <v>5.5-7.5K</v>
      </c>
      <c r="U326">
        <f t="shared" si="5"/>
        <v>0</v>
      </c>
    </row>
    <row r="327" spans="1:21" x14ac:dyDescent="0.25">
      <c r="A327">
        <v>1914</v>
      </c>
      <c r="B327">
        <v>50</v>
      </c>
      <c r="C327" t="s">
        <v>23</v>
      </c>
      <c r="D327" t="s">
        <v>17</v>
      </c>
      <c r="E327" t="s">
        <v>35</v>
      </c>
      <c r="F327" t="s">
        <v>29</v>
      </c>
      <c r="G327" t="s">
        <v>20</v>
      </c>
      <c r="H327" t="s">
        <v>21</v>
      </c>
      <c r="I327">
        <v>24</v>
      </c>
      <c r="J327" s="2">
        <v>9474</v>
      </c>
      <c r="K327" t="s">
        <v>22</v>
      </c>
      <c r="L327">
        <v>3</v>
      </c>
      <c r="M327">
        <v>3</v>
      </c>
      <c r="N327">
        <v>21</v>
      </c>
      <c r="O327">
        <v>11</v>
      </c>
      <c r="P327">
        <v>27</v>
      </c>
      <c r="Q327" t="s">
        <v>42</v>
      </c>
      <c r="R327" t="str" cm="1">
        <f t="array" ref="R327">_xlfn.IFS(N327&lt;=1,"0-1 yrs",N327&lt;=4,"2-4 yrs",N327&lt;=9,"5-9 yrs",N327&gt;9,"10+ yrs")</f>
        <v>10+ yrs</v>
      </c>
      <c r="S327" t="str" cm="1">
        <f t="array" ref="S327">_xlfn.IFS(B327&lt;=25,"20-25",B327&lt;=35,"26-35",B327&lt;=45,"36-45",B327&gt;45,"46+")</f>
        <v>46+</v>
      </c>
      <c r="T327" t="str" cm="1">
        <f t="array" ref="T327">_xlfn.IFS(J327&lt;3500,"&lt;3.5K",J327&lt;5500,"3.5-5.5K",J327&lt;7500,"5.5-7.5K",J327&gt;=7500,"7.5K+")</f>
        <v>7.5K+</v>
      </c>
      <c r="U327">
        <f t="shared" si="5"/>
        <v>1</v>
      </c>
    </row>
    <row r="328" spans="1:21" x14ac:dyDescent="0.25">
      <c r="A328">
        <v>1356</v>
      </c>
      <c r="B328">
        <v>42</v>
      </c>
      <c r="C328" t="s">
        <v>16</v>
      </c>
      <c r="D328" t="s">
        <v>17</v>
      </c>
      <c r="E328" t="s">
        <v>35</v>
      </c>
      <c r="F328" t="s">
        <v>19</v>
      </c>
      <c r="G328" t="s">
        <v>20</v>
      </c>
      <c r="H328" t="s">
        <v>30</v>
      </c>
      <c r="I328">
        <v>9</v>
      </c>
      <c r="J328" s="2">
        <v>8836</v>
      </c>
      <c r="K328" t="s">
        <v>22</v>
      </c>
      <c r="L328">
        <v>4</v>
      </c>
      <c r="M328">
        <v>1</v>
      </c>
      <c r="N328">
        <v>8</v>
      </c>
      <c r="O328">
        <v>0</v>
      </c>
      <c r="P328">
        <v>15</v>
      </c>
      <c r="Q328" t="s">
        <v>22</v>
      </c>
      <c r="R328" t="str" cm="1">
        <f t="array" ref="R328">_xlfn.IFS(N328&lt;=1,"0-1 yrs",N328&lt;=4,"2-4 yrs",N328&lt;=9,"5-9 yrs",N328&gt;9,"10+ yrs")</f>
        <v>5-9 yrs</v>
      </c>
      <c r="S328" t="str" cm="1">
        <f t="array" ref="S328">_xlfn.IFS(B328&lt;=25,"20-25",B328&lt;=35,"26-35",B328&lt;=45,"36-45",B328&gt;45,"46+")</f>
        <v>36-45</v>
      </c>
      <c r="T328" t="str" cm="1">
        <f t="array" ref="T328">_xlfn.IFS(J328&lt;3500,"&lt;3.5K",J328&lt;5500,"3.5-5.5K",J328&lt;7500,"5.5-7.5K",J328&gt;=7500,"7.5K+")</f>
        <v>7.5K+</v>
      </c>
      <c r="U328">
        <f t="shared" si="5"/>
        <v>0</v>
      </c>
    </row>
    <row r="329" spans="1:21" x14ac:dyDescent="0.25">
      <c r="A329">
        <v>1706</v>
      </c>
      <c r="B329">
        <v>43</v>
      </c>
      <c r="C329" t="s">
        <v>16</v>
      </c>
      <c r="D329" t="s">
        <v>17</v>
      </c>
      <c r="E329" t="s">
        <v>40</v>
      </c>
      <c r="F329" t="s">
        <v>32</v>
      </c>
      <c r="G329" t="s">
        <v>37</v>
      </c>
      <c r="H329" t="s">
        <v>34</v>
      </c>
      <c r="I329">
        <v>19</v>
      </c>
      <c r="J329" s="2">
        <v>9113</v>
      </c>
      <c r="K329" t="s">
        <v>42</v>
      </c>
      <c r="L329">
        <v>1</v>
      </c>
      <c r="M329">
        <v>3</v>
      </c>
      <c r="N329">
        <v>1</v>
      </c>
      <c r="O329">
        <v>0</v>
      </c>
      <c r="P329">
        <v>12</v>
      </c>
      <c r="Q329" t="s">
        <v>22</v>
      </c>
      <c r="R329" t="str" cm="1">
        <f t="array" ref="R329">_xlfn.IFS(N329&lt;=1,"0-1 yrs",N329&lt;=4,"2-4 yrs",N329&lt;=9,"5-9 yrs",N329&gt;9,"10+ yrs")</f>
        <v>0-1 yrs</v>
      </c>
      <c r="S329" t="str" cm="1">
        <f t="array" ref="S329">_xlfn.IFS(B329&lt;=25,"20-25",B329&lt;=35,"26-35",B329&lt;=45,"36-45",B329&gt;45,"46+")</f>
        <v>36-45</v>
      </c>
      <c r="T329" t="str" cm="1">
        <f t="array" ref="T329">_xlfn.IFS(J329&lt;3500,"&lt;3.5K",J329&lt;5500,"3.5-5.5K",J329&lt;7500,"5.5-7.5K",J329&gt;=7500,"7.5K+")</f>
        <v>7.5K+</v>
      </c>
      <c r="U329">
        <f t="shared" si="5"/>
        <v>0</v>
      </c>
    </row>
    <row r="330" spans="1:21" x14ac:dyDescent="0.25">
      <c r="A330">
        <v>1006</v>
      </c>
      <c r="B330">
        <v>34</v>
      </c>
      <c r="C330" t="s">
        <v>23</v>
      </c>
      <c r="D330" t="s">
        <v>27</v>
      </c>
      <c r="E330" t="s">
        <v>31</v>
      </c>
      <c r="F330" t="s">
        <v>38</v>
      </c>
      <c r="G330" t="s">
        <v>20</v>
      </c>
      <c r="H330" t="s">
        <v>34</v>
      </c>
      <c r="I330">
        <v>16</v>
      </c>
      <c r="J330" s="2">
        <v>6161</v>
      </c>
      <c r="K330" t="s">
        <v>42</v>
      </c>
      <c r="L330">
        <v>2</v>
      </c>
      <c r="M330">
        <v>3</v>
      </c>
      <c r="N330">
        <v>6</v>
      </c>
      <c r="O330">
        <v>2</v>
      </c>
      <c r="P330">
        <v>13</v>
      </c>
      <c r="Q330" t="s">
        <v>22</v>
      </c>
      <c r="R330" t="str" cm="1">
        <f t="array" ref="R330">_xlfn.IFS(N330&lt;=1,"0-1 yrs",N330&lt;=4,"2-4 yrs",N330&lt;=9,"5-9 yrs",N330&gt;9,"10+ yrs")</f>
        <v>5-9 yrs</v>
      </c>
      <c r="S330" t="str" cm="1">
        <f t="array" ref="S330">_xlfn.IFS(B330&lt;=25,"20-25",B330&lt;=35,"26-35",B330&lt;=45,"36-45",B330&gt;45,"46+")</f>
        <v>26-35</v>
      </c>
      <c r="T330" t="str" cm="1">
        <f t="array" ref="T330">_xlfn.IFS(J330&lt;3500,"&lt;3.5K",J330&lt;5500,"3.5-5.5K",J330&lt;7500,"5.5-7.5K",J330&gt;=7500,"7.5K+")</f>
        <v>5.5-7.5K</v>
      </c>
      <c r="U330">
        <f t="shared" si="5"/>
        <v>0</v>
      </c>
    </row>
    <row r="331" spans="1:21" x14ac:dyDescent="0.25">
      <c r="A331">
        <v>1085</v>
      </c>
      <c r="B331">
        <v>56</v>
      </c>
      <c r="C331" t="s">
        <v>23</v>
      </c>
      <c r="D331" t="s">
        <v>17</v>
      </c>
      <c r="E331" t="s">
        <v>40</v>
      </c>
      <c r="F331" t="s">
        <v>19</v>
      </c>
      <c r="G331" t="s">
        <v>20</v>
      </c>
      <c r="H331" t="s">
        <v>30</v>
      </c>
      <c r="I331">
        <v>15</v>
      </c>
      <c r="J331" s="2">
        <v>10155</v>
      </c>
      <c r="K331" t="s">
        <v>22</v>
      </c>
      <c r="L331">
        <v>1</v>
      </c>
      <c r="M331">
        <v>2</v>
      </c>
      <c r="N331">
        <v>23</v>
      </c>
      <c r="O331">
        <v>20</v>
      </c>
      <c r="P331">
        <v>30</v>
      </c>
      <c r="Q331" t="s">
        <v>22</v>
      </c>
      <c r="R331" t="str" cm="1">
        <f t="array" ref="R331">_xlfn.IFS(N331&lt;=1,"0-1 yrs",N331&lt;=4,"2-4 yrs",N331&lt;=9,"5-9 yrs",N331&gt;9,"10+ yrs")</f>
        <v>10+ yrs</v>
      </c>
      <c r="S331" t="str" cm="1">
        <f t="array" ref="S331">_xlfn.IFS(B331&lt;=25,"20-25",B331&lt;=35,"26-35",B331&lt;=45,"36-45",B331&gt;45,"46+")</f>
        <v>46+</v>
      </c>
      <c r="T331" t="str" cm="1">
        <f t="array" ref="T331">_xlfn.IFS(J331&lt;3500,"&lt;3.5K",J331&lt;5500,"3.5-5.5K",J331&lt;7500,"5.5-7.5K",J331&gt;=7500,"7.5K+")</f>
        <v>7.5K+</v>
      </c>
      <c r="U331">
        <f t="shared" si="5"/>
        <v>0</v>
      </c>
    </row>
    <row r="332" spans="1:21" x14ac:dyDescent="0.25">
      <c r="A332">
        <v>1260</v>
      </c>
      <c r="B332">
        <v>56</v>
      </c>
      <c r="C332" t="s">
        <v>23</v>
      </c>
      <c r="D332" t="s">
        <v>47</v>
      </c>
      <c r="E332" t="s">
        <v>53</v>
      </c>
      <c r="F332" t="s">
        <v>41</v>
      </c>
      <c r="G332" t="s">
        <v>33</v>
      </c>
      <c r="H332" t="s">
        <v>30</v>
      </c>
      <c r="I332">
        <v>22</v>
      </c>
      <c r="J332" s="2">
        <v>13996</v>
      </c>
      <c r="K332" t="s">
        <v>22</v>
      </c>
      <c r="L332">
        <v>4</v>
      </c>
      <c r="M332">
        <v>2</v>
      </c>
      <c r="N332">
        <v>21</v>
      </c>
      <c r="O332">
        <v>10</v>
      </c>
      <c r="P332">
        <v>31</v>
      </c>
      <c r="Q332" t="s">
        <v>22</v>
      </c>
      <c r="R332" t="str" cm="1">
        <f t="array" ref="R332">_xlfn.IFS(N332&lt;=1,"0-1 yrs",N332&lt;=4,"2-4 yrs",N332&lt;=9,"5-9 yrs",N332&gt;9,"10+ yrs")</f>
        <v>10+ yrs</v>
      </c>
      <c r="S332" t="str" cm="1">
        <f t="array" ref="S332">_xlfn.IFS(B332&lt;=25,"20-25",B332&lt;=35,"26-35",B332&lt;=45,"36-45",B332&gt;45,"46+")</f>
        <v>46+</v>
      </c>
      <c r="T332" t="str" cm="1">
        <f t="array" ref="T332">_xlfn.IFS(J332&lt;3500,"&lt;3.5K",J332&lt;5500,"3.5-5.5K",J332&lt;7500,"5.5-7.5K",J332&gt;=7500,"7.5K+")</f>
        <v>7.5K+</v>
      </c>
      <c r="U332">
        <f t="shared" si="5"/>
        <v>0</v>
      </c>
    </row>
    <row r="333" spans="1:21" x14ac:dyDescent="0.25">
      <c r="A333">
        <v>1159</v>
      </c>
      <c r="B333">
        <v>55</v>
      </c>
      <c r="C333" t="s">
        <v>16</v>
      </c>
      <c r="D333" t="s">
        <v>17</v>
      </c>
      <c r="E333" t="s">
        <v>18</v>
      </c>
      <c r="F333" t="s">
        <v>36</v>
      </c>
      <c r="G333" t="s">
        <v>37</v>
      </c>
      <c r="H333" t="s">
        <v>34</v>
      </c>
      <c r="I333">
        <v>6</v>
      </c>
      <c r="J333" s="2">
        <v>14235</v>
      </c>
      <c r="K333" t="s">
        <v>22</v>
      </c>
      <c r="L333">
        <v>1</v>
      </c>
      <c r="M333">
        <v>4</v>
      </c>
      <c r="N333">
        <v>23</v>
      </c>
      <c r="O333">
        <v>8</v>
      </c>
      <c r="P333">
        <v>30</v>
      </c>
      <c r="Q333" t="s">
        <v>42</v>
      </c>
      <c r="R333" t="str" cm="1">
        <f t="array" ref="R333">_xlfn.IFS(N333&lt;=1,"0-1 yrs",N333&lt;=4,"2-4 yrs",N333&lt;=9,"5-9 yrs",N333&gt;9,"10+ yrs")</f>
        <v>10+ yrs</v>
      </c>
      <c r="S333" t="str" cm="1">
        <f t="array" ref="S333">_xlfn.IFS(B333&lt;=25,"20-25",B333&lt;=35,"26-35",B333&lt;=45,"36-45",B333&gt;45,"46+")</f>
        <v>46+</v>
      </c>
      <c r="T333" t="str" cm="1">
        <f t="array" ref="T333">_xlfn.IFS(J333&lt;3500,"&lt;3.5K",J333&lt;5500,"3.5-5.5K",J333&lt;7500,"5.5-7.5K",J333&gt;=7500,"7.5K+")</f>
        <v>7.5K+</v>
      </c>
      <c r="U333">
        <f t="shared" si="5"/>
        <v>1</v>
      </c>
    </row>
    <row r="334" spans="1:21" x14ac:dyDescent="0.25">
      <c r="A334">
        <v>1100</v>
      </c>
      <c r="B334">
        <v>35</v>
      </c>
      <c r="C334" t="s">
        <v>23</v>
      </c>
      <c r="D334" t="s">
        <v>17</v>
      </c>
      <c r="E334" t="s">
        <v>35</v>
      </c>
      <c r="F334" t="s">
        <v>29</v>
      </c>
      <c r="G334" t="s">
        <v>20</v>
      </c>
      <c r="H334" t="s">
        <v>21</v>
      </c>
      <c r="I334">
        <v>7</v>
      </c>
      <c r="J334" s="2">
        <v>7534</v>
      </c>
      <c r="K334" t="s">
        <v>22</v>
      </c>
      <c r="L334">
        <v>3</v>
      </c>
      <c r="M334">
        <v>4</v>
      </c>
      <c r="N334">
        <v>14</v>
      </c>
      <c r="O334">
        <v>3</v>
      </c>
      <c r="P334">
        <v>15</v>
      </c>
      <c r="Q334" t="s">
        <v>22</v>
      </c>
      <c r="R334" t="str" cm="1">
        <f t="array" ref="R334">_xlfn.IFS(N334&lt;=1,"0-1 yrs",N334&lt;=4,"2-4 yrs",N334&lt;=9,"5-9 yrs",N334&gt;9,"10+ yrs")</f>
        <v>10+ yrs</v>
      </c>
      <c r="S334" t="str" cm="1">
        <f t="array" ref="S334">_xlfn.IFS(B334&lt;=25,"20-25",B334&lt;=35,"26-35",B334&lt;=45,"36-45",B334&gt;45,"46+")</f>
        <v>26-35</v>
      </c>
      <c r="T334" t="str" cm="1">
        <f t="array" ref="T334">_xlfn.IFS(J334&lt;3500,"&lt;3.5K",J334&lt;5500,"3.5-5.5K",J334&lt;7500,"5.5-7.5K",J334&gt;=7500,"7.5K+")</f>
        <v>7.5K+</v>
      </c>
      <c r="U334">
        <f t="shared" si="5"/>
        <v>0</v>
      </c>
    </row>
    <row r="335" spans="1:21" x14ac:dyDescent="0.25">
      <c r="A335">
        <v>1626</v>
      </c>
      <c r="B335">
        <v>57</v>
      </c>
      <c r="C335" t="s">
        <v>23</v>
      </c>
      <c r="D335" t="s">
        <v>38</v>
      </c>
      <c r="E335" t="s">
        <v>39</v>
      </c>
      <c r="F335" t="s">
        <v>41</v>
      </c>
      <c r="G335" t="s">
        <v>33</v>
      </c>
      <c r="H335" t="s">
        <v>21</v>
      </c>
      <c r="I335">
        <v>29</v>
      </c>
      <c r="J335" s="2">
        <v>10948</v>
      </c>
      <c r="K335" t="s">
        <v>22</v>
      </c>
      <c r="L335">
        <v>3</v>
      </c>
      <c r="M335">
        <v>3</v>
      </c>
      <c r="N335">
        <v>19</v>
      </c>
      <c r="O335">
        <v>13</v>
      </c>
      <c r="P335">
        <v>31</v>
      </c>
      <c r="Q335" t="s">
        <v>22</v>
      </c>
      <c r="R335" t="str" cm="1">
        <f t="array" ref="R335">_xlfn.IFS(N335&lt;=1,"0-1 yrs",N335&lt;=4,"2-4 yrs",N335&lt;=9,"5-9 yrs",N335&gt;9,"10+ yrs")</f>
        <v>10+ yrs</v>
      </c>
      <c r="S335" t="str" cm="1">
        <f t="array" ref="S335">_xlfn.IFS(B335&lt;=25,"20-25",B335&lt;=35,"26-35",B335&lt;=45,"36-45",B335&gt;45,"46+")</f>
        <v>46+</v>
      </c>
      <c r="T335" t="str" cm="1">
        <f t="array" ref="T335">_xlfn.IFS(J335&lt;3500,"&lt;3.5K",J335&lt;5500,"3.5-5.5K",J335&lt;7500,"5.5-7.5K",J335&gt;=7500,"7.5K+")</f>
        <v>7.5K+</v>
      </c>
      <c r="U335">
        <f t="shared" si="5"/>
        <v>0</v>
      </c>
    </row>
    <row r="336" spans="1:21" x14ac:dyDescent="0.25">
      <c r="A336">
        <v>1515</v>
      </c>
      <c r="B336">
        <v>55</v>
      </c>
      <c r="C336" t="s">
        <v>23</v>
      </c>
      <c r="D336" t="s">
        <v>27</v>
      </c>
      <c r="E336" t="s">
        <v>31</v>
      </c>
      <c r="F336" t="s">
        <v>29</v>
      </c>
      <c r="G336" t="s">
        <v>20</v>
      </c>
      <c r="H336" t="s">
        <v>30</v>
      </c>
      <c r="I336">
        <v>23</v>
      </c>
      <c r="J336" s="2">
        <v>12212</v>
      </c>
      <c r="K336" t="s">
        <v>22</v>
      </c>
      <c r="L336">
        <v>3</v>
      </c>
      <c r="M336">
        <v>2</v>
      </c>
      <c r="N336">
        <v>20</v>
      </c>
      <c r="O336">
        <v>3</v>
      </c>
      <c r="P336">
        <v>33</v>
      </c>
      <c r="Q336" t="s">
        <v>22</v>
      </c>
      <c r="R336" t="str" cm="1">
        <f t="array" ref="R336">_xlfn.IFS(N336&lt;=1,"0-1 yrs",N336&lt;=4,"2-4 yrs",N336&lt;=9,"5-9 yrs",N336&gt;9,"10+ yrs")</f>
        <v>10+ yrs</v>
      </c>
      <c r="S336" t="str" cm="1">
        <f t="array" ref="S336">_xlfn.IFS(B336&lt;=25,"20-25",B336&lt;=35,"26-35",B336&lt;=45,"36-45",B336&gt;45,"46+")</f>
        <v>46+</v>
      </c>
      <c r="T336" t="str" cm="1">
        <f t="array" ref="T336">_xlfn.IFS(J336&lt;3500,"&lt;3.5K",J336&lt;5500,"3.5-5.5K",J336&lt;7500,"5.5-7.5K",J336&gt;=7500,"7.5K+")</f>
        <v>7.5K+</v>
      </c>
      <c r="U336">
        <f t="shared" si="5"/>
        <v>0</v>
      </c>
    </row>
    <row r="337" spans="1:21" x14ac:dyDescent="0.25">
      <c r="A337">
        <v>1437</v>
      </c>
      <c r="B337">
        <v>59</v>
      </c>
      <c r="C337" t="s">
        <v>23</v>
      </c>
      <c r="D337" t="s">
        <v>17</v>
      </c>
      <c r="E337" t="s">
        <v>40</v>
      </c>
      <c r="F337" t="s">
        <v>29</v>
      </c>
      <c r="G337" t="s">
        <v>33</v>
      </c>
      <c r="H337" t="s">
        <v>21</v>
      </c>
      <c r="I337">
        <v>2</v>
      </c>
      <c r="J337" s="2">
        <v>11206</v>
      </c>
      <c r="K337" t="s">
        <v>42</v>
      </c>
      <c r="L337">
        <v>2</v>
      </c>
      <c r="M337">
        <v>2</v>
      </c>
      <c r="N337">
        <v>9</v>
      </c>
      <c r="O337">
        <v>2</v>
      </c>
      <c r="P337">
        <v>39</v>
      </c>
      <c r="Q337" t="s">
        <v>22</v>
      </c>
      <c r="R337" t="str" cm="1">
        <f t="array" ref="R337">_xlfn.IFS(N337&lt;=1,"0-1 yrs",N337&lt;=4,"2-4 yrs",N337&lt;=9,"5-9 yrs",N337&gt;9,"10+ yrs")</f>
        <v>5-9 yrs</v>
      </c>
      <c r="S337" t="str" cm="1">
        <f t="array" ref="S337">_xlfn.IFS(B337&lt;=25,"20-25",B337&lt;=35,"26-35",B337&lt;=45,"36-45",B337&gt;45,"46+")</f>
        <v>46+</v>
      </c>
      <c r="T337" t="str" cm="1">
        <f t="array" ref="T337">_xlfn.IFS(J337&lt;3500,"&lt;3.5K",J337&lt;5500,"3.5-5.5K",J337&lt;7500,"5.5-7.5K",J337&gt;=7500,"7.5K+")</f>
        <v>7.5K+</v>
      </c>
      <c r="U337">
        <f t="shared" si="5"/>
        <v>0</v>
      </c>
    </row>
    <row r="338" spans="1:21" x14ac:dyDescent="0.25">
      <c r="A338">
        <v>1931</v>
      </c>
      <c r="B338">
        <v>34</v>
      </c>
      <c r="C338" t="s">
        <v>23</v>
      </c>
      <c r="D338" t="s">
        <v>27</v>
      </c>
      <c r="E338" t="s">
        <v>43</v>
      </c>
      <c r="F338" t="s">
        <v>38</v>
      </c>
      <c r="G338" t="s">
        <v>37</v>
      </c>
      <c r="H338" t="s">
        <v>30</v>
      </c>
      <c r="I338">
        <v>24</v>
      </c>
      <c r="J338" s="2">
        <v>8555</v>
      </c>
      <c r="K338" t="s">
        <v>42</v>
      </c>
      <c r="L338">
        <v>2</v>
      </c>
      <c r="M338">
        <v>3</v>
      </c>
      <c r="N338">
        <v>2</v>
      </c>
      <c r="O338">
        <v>1</v>
      </c>
      <c r="P338">
        <v>12</v>
      </c>
      <c r="Q338" t="s">
        <v>22</v>
      </c>
      <c r="R338" t="str" cm="1">
        <f t="array" ref="R338">_xlfn.IFS(N338&lt;=1,"0-1 yrs",N338&lt;=4,"2-4 yrs",N338&lt;=9,"5-9 yrs",N338&gt;9,"10+ yrs")</f>
        <v>2-4 yrs</v>
      </c>
      <c r="S338" t="str" cm="1">
        <f t="array" ref="S338">_xlfn.IFS(B338&lt;=25,"20-25",B338&lt;=35,"26-35",B338&lt;=45,"36-45",B338&gt;45,"46+")</f>
        <v>26-35</v>
      </c>
      <c r="T338" t="str" cm="1">
        <f t="array" ref="T338">_xlfn.IFS(J338&lt;3500,"&lt;3.5K",J338&lt;5500,"3.5-5.5K",J338&lt;7500,"5.5-7.5K",J338&gt;=7500,"7.5K+")</f>
        <v>7.5K+</v>
      </c>
      <c r="U338">
        <f t="shared" si="5"/>
        <v>0</v>
      </c>
    </row>
    <row r="339" spans="1:21" x14ac:dyDescent="0.25">
      <c r="A339">
        <v>1561</v>
      </c>
      <c r="B339">
        <v>54</v>
      </c>
      <c r="C339" t="s">
        <v>16</v>
      </c>
      <c r="D339" t="s">
        <v>27</v>
      </c>
      <c r="E339" t="s">
        <v>43</v>
      </c>
      <c r="F339" t="s">
        <v>26</v>
      </c>
      <c r="G339" t="s">
        <v>37</v>
      </c>
      <c r="H339" t="s">
        <v>30</v>
      </c>
      <c r="I339">
        <v>3</v>
      </c>
      <c r="J339" s="2">
        <v>12083</v>
      </c>
      <c r="K339" t="s">
        <v>42</v>
      </c>
      <c r="L339">
        <v>2</v>
      </c>
      <c r="M339">
        <v>4</v>
      </c>
      <c r="N339">
        <v>7</v>
      </c>
      <c r="O339">
        <v>0</v>
      </c>
      <c r="P339">
        <v>29</v>
      </c>
      <c r="Q339" t="s">
        <v>22</v>
      </c>
      <c r="R339" t="str" cm="1">
        <f t="array" ref="R339">_xlfn.IFS(N339&lt;=1,"0-1 yrs",N339&lt;=4,"2-4 yrs",N339&lt;=9,"5-9 yrs",N339&gt;9,"10+ yrs")</f>
        <v>5-9 yrs</v>
      </c>
      <c r="S339" t="str" cm="1">
        <f t="array" ref="S339">_xlfn.IFS(B339&lt;=25,"20-25",B339&lt;=35,"26-35",B339&lt;=45,"36-45",B339&gt;45,"46+")</f>
        <v>46+</v>
      </c>
      <c r="T339" t="str" cm="1">
        <f t="array" ref="T339">_xlfn.IFS(J339&lt;3500,"&lt;3.5K",J339&lt;5500,"3.5-5.5K",J339&lt;7500,"5.5-7.5K",J339&gt;=7500,"7.5K+")</f>
        <v>7.5K+</v>
      </c>
      <c r="U339">
        <f t="shared" si="5"/>
        <v>0</v>
      </c>
    </row>
    <row r="340" spans="1:21" x14ac:dyDescent="0.25">
      <c r="A340">
        <v>1826</v>
      </c>
      <c r="B340">
        <v>44</v>
      </c>
      <c r="C340" t="s">
        <v>16</v>
      </c>
      <c r="D340" t="s">
        <v>27</v>
      </c>
      <c r="E340" t="s">
        <v>31</v>
      </c>
      <c r="F340" t="s">
        <v>41</v>
      </c>
      <c r="G340" t="s">
        <v>37</v>
      </c>
      <c r="H340" t="s">
        <v>30</v>
      </c>
      <c r="I340">
        <v>18</v>
      </c>
      <c r="J340" s="2">
        <v>12136</v>
      </c>
      <c r="K340" t="s">
        <v>22</v>
      </c>
      <c r="L340">
        <v>3</v>
      </c>
      <c r="M340">
        <v>4</v>
      </c>
      <c r="N340">
        <v>4</v>
      </c>
      <c r="O340">
        <v>3</v>
      </c>
      <c r="P340">
        <v>24</v>
      </c>
      <c r="Q340" t="s">
        <v>42</v>
      </c>
      <c r="R340" t="str" cm="1">
        <f t="array" ref="R340">_xlfn.IFS(N340&lt;=1,"0-1 yrs",N340&lt;=4,"2-4 yrs",N340&lt;=9,"5-9 yrs",N340&gt;9,"10+ yrs")</f>
        <v>2-4 yrs</v>
      </c>
      <c r="S340" t="str" cm="1">
        <f t="array" ref="S340">_xlfn.IFS(B340&lt;=25,"20-25",B340&lt;=35,"26-35",B340&lt;=45,"36-45",B340&gt;45,"46+")</f>
        <v>36-45</v>
      </c>
      <c r="T340" t="str" cm="1">
        <f t="array" ref="T340">_xlfn.IFS(J340&lt;3500,"&lt;3.5K",J340&lt;5500,"3.5-5.5K",J340&lt;7500,"5.5-7.5K",J340&gt;=7500,"7.5K+")</f>
        <v>7.5K+</v>
      </c>
      <c r="U340">
        <f t="shared" si="5"/>
        <v>1</v>
      </c>
    </row>
    <row r="341" spans="1:21" x14ac:dyDescent="0.25">
      <c r="A341">
        <v>1283</v>
      </c>
      <c r="B341">
        <v>27</v>
      </c>
      <c r="C341" t="s">
        <v>23</v>
      </c>
      <c r="D341" t="s">
        <v>24</v>
      </c>
      <c r="E341" t="s">
        <v>52</v>
      </c>
      <c r="F341" t="s">
        <v>32</v>
      </c>
      <c r="G341" t="s">
        <v>20</v>
      </c>
      <c r="H341" t="s">
        <v>30</v>
      </c>
      <c r="I341">
        <v>29</v>
      </c>
      <c r="J341" s="2">
        <v>7333</v>
      </c>
      <c r="K341" t="s">
        <v>22</v>
      </c>
      <c r="L341">
        <v>3</v>
      </c>
      <c r="M341">
        <v>2</v>
      </c>
      <c r="N341">
        <v>6</v>
      </c>
      <c r="O341">
        <v>4</v>
      </c>
      <c r="P341">
        <v>7</v>
      </c>
      <c r="Q341" t="s">
        <v>22</v>
      </c>
      <c r="R341" t="str" cm="1">
        <f t="array" ref="R341">_xlfn.IFS(N341&lt;=1,"0-1 yrs",N341&lt;=4,"2-4 yrs",N341&lt;=9,"5-9 yrs",N341&gt;9,"10+ yrs")</f>
        <v>5-9 yrs</v>
      </c>
      <c r="S341" t="str" cm="1">
        <f t="array" ref="S341">_xlfn.IFS(B341&lt;=25,"20-25",B341&lt;=35,"26-35",B341&lt;=45,"36-45",B341&gt;45,"46+")</f>
        <v>26-35</v>
      </c>
      <c r="T341" t="str" cm="1">
        <f t="array" ref="T341">_xlfn.IFS(J341&lt;3500,"&lt;3.5K",J341&lt;5500,"3.5-5.5K",J341&lt;7500,"5.5-7.5K",J341&gt;=7500,"7.5K+")</f>
        <v>5.5-7.5K</v>
      </c>
      <c r="U341">
        <f t="shared" si="5"/>
        <v>0</v>
      </c>
    </row>
    <row r="342" spans="1:21" x14ac:dyDescent="0.25">
      <c r="A342">
        <v>1473</v>
      </c>
      <c r="B342">
        <v>56</v>
      </c>
      <c r="C342" t="s">
        <v>16</v>
      </c>
      <c r="D342" t="s">
        <v>24</v>
      </c>
      <c r="E342" t="s">
        <v>45</v>
      </c>
      <c r="F342" t="s">
        <v>26</v>
      </c>
      <c r="G342" t="s">
        <v>20</v>
      </c>
      <c r="H342" t="s">
        <v>21</v>
      </c>
      <c r="I342">
        <v>22</v>
      </c>
      <c r="J342" s="2">
        <v>10693</v>
      </c>
      <c r="K342" t="s">
        <v>42</v>
      </c>
      <c r="L342">
        <v>2</v>
      </c>
      <c r="M342">
        <v>2</v>
      </c>
      <c r="N342">
        <v>6</v>
      </c>
      <c r="O342">
        <v>2</v>
      </c>
      <c r="P342">
        <v>31</v>
      </c>
      <c r="Q342" t="s">
        <v>22</v>
      </c>
      <c r="R342" t="str" cm="1">
        <f t="array" ref="R342">_xlfn.IFS(N342&lt;=1,"0-1 yrs",N342&lt;=4,"2-4 yrs",N342&lt;=9,"5-9 yrs",N342&gt;9,"10+ yrs")</f>
        <v>5-9 yrs</v>
      </c>
      <c r="S342" t="str" cm="1">
        <f t="array" ref="S342">_xlfn.IFS(B342&lt;=25,"20-25",B342&lt;=35,"26-35",B342&lt;=45,"36-45",B342&gt;45,"46+")</f>
        <v>46+</v>
      </c>
      <c r="T342" t="str" cm="1">
        <f t="array" ref="T342">_xlfn.IFS(J342&lt;3500,"&lt;3.5K",J342&lt;5500,"3.5-5.5K",J342&lt;7500,"5.5-7.5K",J342&gt;=7500,"7.5K+")</f>
        <v>7.5K+</v>
      </c>
      <c r="U342">
        <f t="shared" si="5"/>
        <v>0</v>
      </c>
    </row>
    <row r="343" spans="1:21" x14ac:dyDescent="0.25">
      <c r="A343">
        <v>1472</v>
      </c>
      <c r="B343">
        <v>21</v>
      </c>
      <c r="C343" t="s">
        <v>23</v>
      </c>
      <c r="D343" t="s">
        <v>27</v>
      </c>
      <c r="E343" t="s">
        <v>43</v>
      </c>
      <c r="F343" t="s">
        <v>41</v>
      </c>
      <c r="G343" t="s">
        <v>20</v>
      </c>
      <c r="H343" t="s">
        <v>30</v>
      </c>
      <c r="I343">
        <v>27</v>
      </c>
      <c r="J343" s="2">
        <v>4885</v>
      </c>
      <c r="K343" t="s">
        <v>22</v>
      </c>
      <c r="L343">
        <v>4</v>
      </c>
      <c r="M343">
        <v>2</v>
      </c>
      <c r="N343">
        <v>0</v>
      </c>
      <c r="O343">
        <v>0</v>
      </c>
      <c r="P343">
        <v>0</v>
      </c>
      <c r="Q343" t="s">
        <v>22</v>
      </c>
      <c r="R343" t="str" cm="1">
        <f t="array" ref="R343">_xlfn.IFS(N343&lt;=1,"0-1 yrs",N343&lt;=4,"2-4 yrs",N343&lt;=9,"5-9 yrs",N343&gt;9,"10+ yrs")</f>
        <v>0-1 yrs</v>
      </c>
      <c r="S343" t="str" cm="1">
        <f t="array" ref="S343">_xlfn.IFS(B343&lt;=25,"20-25",B343&lt;=35,"26-35",B343&lt;=45,"36-45",B343&gt;45,"46+")</f>
        <v>20-25</v>
      </c>
      <c r="T343" t="str" cm="1">
        <f t="array" ref="T343">_xlfn.IFS(J343&lt;3500,"&lt;3.5K",J343&lt;5500,"3.5-5.5K",J343&lt;7500,"5.5-7.5K",J343&gt;=7500,"7.5K+")</f>
        <v>3.5-5.5K</v>
      </c>
      <c r="U343">
        <f t="shared" si="5"/>
        <v>0</v>
      </c>
    </row>
    <row r="344" spans="1:21" x14ac:dyDescent="0.25">
      <c r="A344">
        <v>1941</v>
      </c>
      <c r="B344">
        <v>33</v>
      </c>
      <c r="C344" t="s">
        <v>16</v>
      </c>
      <c r="D344" t="s">
        <v>24</v>
      </c>
      <c r="E344" t="s">
        <v>52</v>
      </c>
      <c r="F344" t="s">
        <v>29</v>
      </c>
      <c r="G344" t="s">
        <v>37</v>
      </c>
      <c r="H344" t="s">
        <v>21</v>
      </c>
      <c r="I344">
        <v>5</v>
      </c>
      <c r="J344" s="2">
        <v>5095</v>
      </c>
      <c r="K344" t="s">
        <v>42</v>
      </c>
      <c r="L344">
        <v>3</v>
      </c>
      <c r="M344">
        <v>3</v>
      </c>
      <c r="N344">
        <v>5</v>
      </c>
      <c r="O344">
        <v>3</v>
      </c>
      <c r="P344">
        <v>7</v>
      </c>
      <c r="Q344" t="s">
        <v>22</v>
      </c>
      <c r="R344" t="str" cm="1">
        <f t="array" ref="R344">_xlfn.IFS(N344&lt;=1,"0-1 yrs",N344&lt;=4,"2-4 yrs",N344&lt;=9,"5-9 yrs",N344&gt;9,"10+ yrs")</f>
        <v>5-9 yrs</v>
      </c>
      <c r="S344" t="str" cm="1">
        <f t="array" ref="S344">_xlfn.IFS(B344&lt;=25,"20-25",B344&lt;=35,"26-35",B344&lt;=45,"36-45",B344&gt;45,"46+")</f>
        <v>26-35</v>
      </c>
      <c r="T344" t="str" cm="1">
        <f t="array" ref="T344">_xlfn.IFS(J344&lt;3500,"&lt;3.5K",J344&lt;5500,"3.5-5.5K",J344&lt;7500,"5.5-7.5K",J344&gt;=7500,"7.5K+")</f>
        <v>3.5-5.5K</v>
      </c>
      <c r="U344">
        <f t="shared" si="5"/>
        <v>0</v>
      </c>
    </row>
    <row r="345" spans="1:21" x14ac:dyDescent="0.25">
      <c r="A345">
        <v>1307</v>
      </c>
      <c r="B345">
        <v>57</v>
      </c>
      <c r="C345" t="s">
        <v>23</v>
      </c>
      <c r="D345" t="s">
        <v>27</v>
      </c>
      <c r="E345" t="s">
        <v>28</v>
      </c>
      <c r="F345" t="s">
        <v>29</v>
      </c>
      <c r="G345" t="s">
        <v>33</v>
      </c>
      <c r="H345" t="s">
        <v>21</v>
      </c>
      <c r="I345">
        <v>27</v>
      </c>
      <c r="J345" s="2">
        <v>15774</v>
      </c>
      <c r="K345" t="s">
        <v>22</v>
      </c>
      <c r="L345">
        <v>3</v>
      </c>
      <c r="M345">
        <v>3</v>
      </c>
      <c r="N345">
        <v>22</v>
      </c>
      <c r="O345">
        <v>2</v>
      </c>
      <c r="P345">
        <v>33</v>
      </c>
      <c r="Q345" t="s">
        <v>22</v>
      </c>
      <c r="R345" t="str" cm="1">
        <f t="array" ref="R345">_xlfn.IFS(N345&lt;=1,"0-1 yrs",N345&lt;=4,"2-4 yrs",N345&lt;=9,"5-9 yrs",N345&gt;9,"10+ yrs")</f>
        <v>10+ yrs</v>
      </c>
      <c r="S345" t="str" cm="1">
        <f t="array" ref="S345">_xlfn.IFS(B345&lt;=25,"20-25",B345&lt;=35,"26-35",B345&lt;=45,"36-45",B345&gt;45,"46+")</f>
        <v>46+</v>
      </c>
      <c r="T345" t="str" cm="1">
        <f t="array" ref="T345">_xlfn.IFS(J345&lt;3500,"&lt;3.5K",J345&lt;5500,"3.5-5.5K",J345&lt;7500,"5.5-7.5K",J345&gt;=7500,"7.5K+")</f>
        <v>7.5K+</v>
      </c>
      <c r="U345">
        <f t="shared" si="5"/>
        <v>0</v>
      </c>
    </row>
    <row r="346" spans="1:21" x14ac:dyDescent="0.25">
      <c r="A346">
        <v>1695</v>
      </c>
      <c r="B346">
        <v>47</v>
      </c>
      <c r="C346" t="s">
        <v>16</v>
      </c>
      <c r="D346" t="s">
        <v>17</v>
      </c>
      <c r="E346" t="s">
        <v>18</v>
      </c>
      <c r="F346" t="s">
        <v>38</v>
      </c>
      <c r="G346" t="s">
        <v>33</v>
      </c>
      <c r="H346" t="s">
        <v>21</v>
      </c>
      <c r="I346">
        <v>21</v>
      </c>
      <c r="J346" s="2">
        <v>16607</v>
      </c>
      <c r="K346" t="s">
        <v>42</v>
      </c>
      <c r="L346">
        <v>1</v>
      </c>
      <c r="M346">
        <v>4</v>
      </c>
      <c r="N346">
        <v>6</v>
      </c>
      <c r="O346">
        <v>4</v>
      </c>
      <c r="P346">
        <v>23</v>
      </c>
      <c r="Q346" t="s">
        <v>22</v>
      </c>
      <c r="R346" t="str" cm="1">
        <f t="array" ref="R346">_xlfn.IFS(N346&lt;=1,"0-1 yrs",N346&lt;=4,"2-4 yrs",N346&lt;=9,"5-9 yrs",N346&gt;9,"10+ yrs")</f>
        <v>5-9 yrs</v>
      </c>
      <c r="S346" t="str" cm="1">
        <f t="array" ref="S346">_xlfn.IFS(B346&lt;=25,"20-25",B346&lt;=35,"26-35",B346&lt;=45,"36-45",B346&gt;45,"46+")</f>
        <v>46+</v>
      </c>
      <c r="T346" t="str" cm="1">
        <f t="array" ref="T346">_xlfn.IFS(J346&lt;3500,"&lt;3.5K",J346&lt;5500,"3.5-5.5K",J346&lt;7500,"5.5-7.5K",J346&gt;=7500,"7.5K+")</f>
        <v>7.5K+</v>
      </c>
      <c r="U346">
        <f t="shared" si="5"/>
        <v>0</v>
      </c>
    </row>
    <row r="347" spans="1:21" x14ac:dyDescent="0.25">
      <c r="A347">
        <v>1222</v>
      </c>
      <c r="B347">
        <v>45</v>
      </c>
      <c r="C347" t="s">
        <v>23</v>
      </c>
      <c r="D347" t="s">
        <v>54</v>
      </c>
      <c r="E347" t="s">
        <v>53</v>
      </c>
      <c r="F347" t="s">
        <v>32</v>
      </c>
      <c r="G347" t="s">
        <v>20</v>
      </c>
      <c r="H347" t="s">
        <v>30</v>
      </c>
      <c r="I347">
        <v>4</v>
      </c>
      <c r="J347" s="2">
        <v>11962</v>
      </c>
      <c r="K347" t="s">
        <v>22</v>
      </c>
      <c r="L347">
        <v>3</v>
      </c>
      <c r="M347">
        <v>2</v>
      </c>
      <c r="N347">
        <v>18</v>
      </c>
      <c r="O347">
        <v>1</v>
      </c>
      <c r="P347">
        <v>25</v>
      </c>
      <c r="Q347" t="s">
        <v>22</v>
      </c>
      <c r="R347" t="str" cm="1">
        <f t="array" ref="R347">_xlfn.IFS(N347&lt;=1,"0-1 yrs",N347&lt;=4,"2-4 yrs",N347&lt;=9,"5-9 yrs",N347&gt;9,"10+ yrs")</f>
        <v>10+ yrs</v>
      </c>
      <c r="S347" t="str" cm="1">
        <f t="array" ref="S347">_xlfn.IFS(B347&lt;=25,"20-25",B347&lt;=35,"26-35",B347&lt;=45,"36-45",B347&gt;45,"46+")</f>
        <v>36-45</v>
      </c>
      <c r="T347" t="str" cm="1">
        <f t="array" ref="T347">_xlfn.IFS(J347&lt;3500,"&lt;3.5K",J347&lt;5500,"3.5-5.5K",J347&lt;7500,"5.5-7.5K",J347&gt;=7500,"7.5K+")</f>
        <v>7.5K+</v>
      </c>
      <c r="U347">
        <f t="shared" si="5"/>
        <v>0</v>
      </c>
    </row>
    <row r="348" spans="1:21" x14ac:dyDescent="0.25">
      <c r="A348">
        <v>1863</v>
      </c>
      <c r="B348">
        <v>39</v>
      </c>
      <c r="C348" t="s">
        <v>23</v>
      </c>
      <c r="D348" t="s">
        <v>27</v>
      </c>
      <c r="E348" t="s">
        <v>43</v>
      </c>
      <c r="F348" t="s">
        <v>32</v>
      </c>
      <c r="G348" t="s">
        <v>20</v>
      </c>
      <c r="H348" t="s">
        <v>34</v>
      </c>
      <c r="I348">
        <v>5</v>
      </c>
      <c r="J348" s="2">
        <v>7886</v>
      </c>
      <c r="K348" t="s">
        <v>22</v>
      </c>
      <c r="L348">
        <v>3</v>
      </c>
      <c r="M348">
        <v>2</v>
      </c>
      <c r="N348">
        <v>8</v>
      </c>
      <c r="O348">
        <v>7</v>
      </c>
      <c r="P348">
        <v>10</v>
      </c>
      <c r="Q348" t="s">
        <v>22</v>
      </c>
      <c r="R348" t="str" cm="1">
        <f t="array" ref="R348">_xlfn.IFS(N348&lt;=1,"0-1 yrs",N348&lt;=4,"2-4 yrs",N348&lt;=9,"5-9 yrs",N348&gt;9,"10+ yrs")</f>
        <v>5-9 yrs</v>
      </c>
      <c r="S348" t="str" cm="1">
        <f t="array" ref="S348">_xlfn.IFS(B348&lt;=25,"20-25",B348&lt;=35,"26-35",B348&lt;=45,"36-45",B348&gt;45,"46+")</f>
        <v>36-45</v>
      </c>
      <c r="T348" t="str" cm="1">
        <f t="array" ref="T348">_xlfn.IFS(J348&lt;3500,"&lt;3.5K",J348&lt;5500,"3.5-5.5K",J348&lt;7500,"5.5-7.5K",J348&gt;=7500,"7.5K+")</f>
        <v>7.5K+</v>
      </c>
      <c r="U348">
        <f t="shared" si="5"/>
        <v>0</v>
      </c>
    </row>
    <row r="349" spans="1:21" x14ac:dyDescent="0.25">
      <c r="A349">
        <v>1617</v>
      </c>
      <c r="B349">
        <v>56</v>
      </c>
      <c r="C349" t="s">
        <v>23</v>
      </c>
      <c r="D349" t="s">
        <v>24</v>
      </c>
      <c r="E349" t="s">
        <v>52</v>
      </c>
      <c r="F349" t="s">
        <v>26</v>
      </c>
      <c r="G349" t="s">
        <v>37</v>
      </c>
      <c r="H349" t="s">
        <v>34</v>
      </c>
      <c r="I349">
        <v>1</v>
      </c>
      <c r="J349" s="2">
        <v>13723</v>
      </c>
      <c r="K349" t="s">
        <v>22</v>
      </c>
      <c r="L349">
        <v>2</v>
      </c>
      <c r="M349">
        <v>2</v>
      </c>
      <c r="N349">
        <v>9</v>
      </c>
      <c r="O349">
        <v>2</v>
      </c>
      <c r="P349">
        <v>36</v>
      </c>
      <c r="Q349" t="s">
        <v>22</v>
      </c>
      <c r="R349" t="str" cm="1">
        <f t="array" ref="R349">_xlfn.IFS(N349&lt;=1,"0-1 yrs",N349&lt;=4,"2-4 yrs",N349&lt;=9,"5-9 yrs",N349&gt;9,"10+ yrs")</f>
        <v>5-9 yrs</v>
      </c>
      <c r="S349" t="str" cm="1">
        <f t="array" ref="S349">_xlfn.IFS(B349&lt;=25,"20-25",B349&lt;=35,"26-35",B349&lt;=45,"36-45",B349&gt;45,"46+")</f>
        <v>46+</v>
      </c>
      <c r="T349" t="str" cm="1">
        <f t="array" ref="T349">_xlfn.IFS(J349&lt;3500,"&lt;3.5K",J349&lt;5500,"3.5-5.5K",J349&lt;7500,"5.5-7.5K",J349&gt;=7500,"7.5K+")</f>
        <v>7.5K+</v>
      </c>
      <c r="U349">
        <f t="shared" si="5"/>
        <v>0</v>
      </c>
    </row>
    <row r="350" spans="1:21" x14ac:dyDescent="0.25">
      <c r="A350">
        <v>1180</v>
      </c>
      <c r="B350">
        <v>39</v>
      </c>
      <c r="C350" t="s">
        <v>23</v>
      </c>
      <c r="D350" t="s">
        <v>27</v>
      </c>
      <c r="E350" t="s">
        <v>43</v>
      </c>
      <c r="F350" t="s">
        <v>29</v>
      </c>
      <c r="G350" t="s">
        <v>20</v>
      </c>
      <c r="H350" t="s">
        <v>21</v>
      </c>
      <c r="I350">
        <v>12</v>
      </c>
      <c r="J350" s="2">
        <v>8605</v>
      </c>
      <c r="K350" t="s">
        <v>42</v>
      </c>
      <c r="L350">
        <v>2</v>
      </c>
      <c r="M350">
        <v>3</v>
      </c>
      <c r="N350">
        <v>4</v>
      </c>
      <c r="O350">
        <v>2</v>
      </c>
      <c r="P350">
        <v>19</v>
      </c>
      <c r="Q350" t="s">
        <v>22</v>
      </c>
      <c r="R350" t="str" cm="1">
        <f t="array" ref="R350">_xlfn.IFS(N350&lt;=1,"0-1 yrs",N350&lt;=4,"2-4 yrs",N350&lt;=9,"5-9 yrs",N350&gt;9,"10+ yrs")</f>
        <v>2-4 yrs</v>
      </c>
      <c r="S350" t="str" cm="1">
        <f t="array" ref="S350">_xlfn.IFS(B350&lt;=25,"20-25",B350&lt;=35,"26-35",B350&lt;=45,"36-45",B350&gt;45,"46+")</f>
        <v>36-45</v>
      </c>
      <c r="T350" t="str" cm="1">
        <f t="array" ref="T350">_xlfn.IFS(J350&lt;3500,"&lt;3.5K",J350&lt;5500,"3.5-5.5K",J350&lt;7500,"5.5-7.5K",J350&gt;=7500,"7.5K+")</f>
        <v>7.5K+</v>
      </c>
      <c r="U350">
        <f t="shared" si="5"/>
        <v>0</v>
      </c>
    </row>
    <row r="351" spans="1:21" x14ac:dyDescent="0.25">
      <c r="A351">
        <v>1028</v>
      </c>
      <c r="B351">
        <v>47</v>
      </c>
      <c r="C351" t="s">
        <v>23</v>
      </c>
      <c r="D351" t="s">
        <v>27</v>
      </c>
      <c r="E351" t="s">
        <v>44</v>
      </c>
      <c r="F351" t="s">
        <v>26</v>
      </c>
      <c r="G351" t="s">
        <v>37</v>
      </c>
      <c r="H351" t="s">
        <v>30</v>
      </c>
      <c r="I351">
        <v>1</v>
      </c>
      <c r="J351" s="2">
        <v>8302</v>
      </c>
      <c r="K351" t="s">
        <v>22</v>
      </c>
      <c r="L351">
        <v>3</v>
      </c>
      <c r="M351">
        <v>1</v>
      </c>
      <c r="N351">
        <v>12</v>
      </c>
      <c r="O351">
        <v>9</v>
      </c>
      <c r="P351">
        <v>18</v>
      </c>
      <c r="Q351" t="s">
        <v>22</v>
      </c>
      <c r="R351" t="str" cm="1">
        <f t="array" ref="R351">_xlfn.IFS(N351&lt;=1,"0-1 yrs",N351&lt;=4,"2-4 yrs",N351&lt;=9,"5-9 yrs",N351&gt;9,"10+ yrs")</f>
        <v>10+ yrs</v>
      </c>
      <c r="S351" t="str" cm="1">
        <f t="array" ref="S351">_xlfn.IFS(B351&lt;=25,"20-25",B351&lt;=35,"26-35",B351&lt;=45,"36-45",B351&gt;45,"46+")</f>
        <v>46+</v>
      </c>
      <c r="T351" t="str" cm="1">
        <f t="array" ref="T351">_xlfn.IFS(J351&lt;3500,"&lt;3.5K",J351&lt;5500,"3.5-5.5K",J351&lt;7500,"5.5-7.5K",J351&gt;=7500,"7.5K+")</f>
        <v>7.5K+</v>
      </c>
      <c r="U351">
        <f t="shared" si="5"/>
        <v>0</v>
      </c>
    </row>
    <row r="352" spans="1:21" x14ac:dyDescent="0.25">
      <c r="A352">
        <v>1489</v>
      </c>
      <c r="B352">
        <v>58</v>
      </c>
      <c r="C352" t="s">
        <v>16</v>
      </c>
      <c r="D352" t="s">
        <v>27</v>
      </c>
      <c r="E352" t="s">
        <v>28</v>
      </c>
      <c r="F352" t="s">
        <v>26</v>
      </c>
      <c r="G352" t="s">
        <v>37</v>
      </c>
      <c r="H352" t="s">
        <v>30</v>
      </c>
      <c r="I352">
        <v>20</v>
      </c>
      <c r="J352" s="2">
        <v>16166</v>
      </c>
      <c r="K352" t="s">
        <v>22</v>
      </c>
      <c r="L352">
        <v>2</v>
      </c>
      <c r="M352">
        <v>4</v>
      </c>
      <c r="N352">
        <v>1</v>
      </c>
      <c r="O352">
        <v>0</v>
      </c>
      <c r="P352">
        <v>33</v>
      </c>
      <c r="Q352" t="s">
        <v>22</v>
      </c>
      <c r="R352" t="str" cm="1">
        <f t="array" ref="R352">_xlfn.IFS(N352&lt;=1,"0-1 yrs",N352&lt;=4,"2-4 yrs",N352&lt;=9,"5-9 yrs",N352&gt;9,"10+ yrs")</f>
        <v>0-1 yrs</v>
      </c>
      <c r="S352" t="str" cm="1">
        <f t="array" ref="S352">_xlfn.IFS(B352&lt;=25,"20-25",B352&lt;=35,"26-35",B352&lt;=45,"36-45",B352&gt;45,"46+")</f>
        <v>46+</v>
      </c>
      <c r="T352" t="str" cm="1">
        <f t="array" ref="T352">_xlfn.IFS(J352&lt;3500,"&lt;3.5K",J352&lt;5500,"3.5-5.5K",J352&lt;7500,"5.5-7.5K",J352&gt;=7500,"7.5K+")</f>
        <v>7.5K+</v>
      </c>
      <c r="U352">
        <f t="shared" si="5"/>
        <v>0</v>
      </c>
    </row>
    <row r="353" spans="1:21" x14ac:dyDescent="0.25">
      <c r="A353">
        <v>1152</v>
      </c>
      <c r="B353">
        <v>53</v>
      </c>
      <c r="C353" t="s">
        <v>23</v>
      </c>
      <c r="D353" t="s">
        <v>47</v>
      </c>
      <c r="E353" t="s">
        <v>53</v>
      </c>
      <c r="F353" t="s">
        <v>36</v>
      </c>
      <c r="G353" t="s">
        <v>20</v>
      </c>
      <c r="H353" t="s">
        <v>21</v>
      </c>
      <c r="I353">
        <v>24</v>
      </c>
      <c r="J353" s="2">
        <v>15759</v>
      </c>
      <c r="K353" t="s">
        <v>42</v>
      </c>
      <c r="L353">
        <v>4</v>
      </c>
      <c r="M353">
        <v>3</v>
      </c>
      <c r="N353">
        <v>6</v>
      </c>
      <c r="O353">
        <v>2</v>
      </c>
      <c r="P353">
        <v>31</v>
      </c>
      <c r="Q353" t="s">
        <v>22</v>
      </c>
      <c r="R353" t="str" cm="1">
        <f t="array" ref="R353">_xlfn.IFS(N353&lt;=1,"0-1 yrs",N353&lt;=4,"2-4 yrs",N353&lt;=9,"5-9 yrs",N353&gt;9,"10+ yrs")</f>
        <v>5-9 yrs</v>
      </c>
      <c r="S353" t="str" cm="1">
        <f t="array" ref="S353">_xlfn.IFS(B353&lt;=25,"20-25",B353&lt;=35,"26-35",B353&lt;=45,"36-45",B353&gt;45,"46+")</f>
        <v>46+</v>
      </c>
      <c r="T353" t="str" cm="1">
        <f t="array" ref="T353">_xlfn.IFS(J353&lt;3500,"&lt;3.5K",J353&lt;5500,"3.5-5.5K",J353&lt;7500,"5.5-7.5K",J353&gt;=7500,"7.5K+")</f>
        <v>7.5K+</v>
      </c>
      <c r="U353">
        <f t="shared" si="5"/>
        <v>0</v>
      </c>
    </row>
    <row r="354" spans="1:21" x14ac:dyDescent="0.25">
      <c r="A354">
        <v>1499</v>
      </c>
      <c r="B354">
        <v>27</v>
      </c>
      <c r="C354" t="s">
        <v>16</v>
      </c>
      <c r="D354" t="s">
        <v>27</v>
      </c>
      <c r="E354" t="s">
        <v>43</v>
      </c>
      <c r="F354" t="s">
        <v>32</v>
      </c>
      <c r="G354" t="s">
        <v>20</v>
      </c>
      <c r="H354" t="s">
        <v>21</v>
      </c>
      <c r="I354">
        <v>27</v>
      </c>
      <c r="J354" s="2">
        <v>8499</v>
      </c>
      <c r="K354" t="s">
        <v>22</v>
      </c>
      <c r="L354">
        <v>2</v>
      </c>
      <c r="M354">
        <v>3</v>
      </c>
      <c r="N354">
        <v>0</v>
      </c>
      <c r="O354">
        <v>0</v>
      </c>
      <c r="P354">
        <v>0</v>
      </c>
      <c r="Q354" t="s">
        <v>22</v>
      </c>
      <c r="R354" t="str" cm="1">
        <f t="array" ref="R354">_xlfn.IFS(N354&lt;=1,"0-1 yrs",N354&lt;=4,"2-4 yrs",N354&lt;=9,"5-9 yrs",N354&gt;9,"10+ yrs")</f>
        <v>0-1 yrs</v>
      </c>
      <c r="S354" t="str" cm="1">
        <f t="array" ref="S354">_xlfn.IFS(B354&lt;=25,"20-25",B354&lt;=35,"26-35",B354&lt;=45,"36-45",B354&gt;45,"46+")</f>
        <v>26-35</v>
      </c>
      <c r="T354" t="str" cm="1">
        <f t="array" ref="T354">_xlfn.IFS(J354&lt;3500,"&lt;3.5K",J354&lt;5500,"3.5-5.5K",J354&lt;7500,"5.5-7.5K",J354&gt;=7500,"7.5K+")</f>
        <v>7.5K+</v>
      </c>
      <c r="U354">
        <f t="shared" si="5"/>
        <v>0</v>
      </c>
    </row>
    <row r="355" spans="1:21" x14ac:dyDescent="0.25">
      <c r="A355">
        <v>1874</v>
      </c>
      <c r="B355">
        <v>56</v>
      </c>
      <c r="C355" t="s">
        <v>23</v>
      </c>
      <c r="D355" t="s">
        <v>24</v>
      </c>
      <c r="E355" t="s">
        <v>52</v>
      </c>
      <c r="F355" t="s">
        <v>36</v>
      </c>
      <c r="G355" t="s">
        <v>33</v>
      </c>
      <c r="H355" t="s">
        <v>21</v>
      </c>
      <c r="I355">
        <v>27</v>
      </c>
      <c r="J355" s="2">
        <v>12088</v>
      </c>
      <c r="K355" t="s">
        <v>42</v>
      </c>
      <c r="L355">
        <v>4</v>
      </c>
      <c r="M355">
        <v>3</v>
      </c>
      <c r="N355">
        <v>22</v>
      </c>
      <c r="O355">
        <v>13</v>
      </c>
      <c r="P355">
        <v>28</v>
      </c>
      <c r="Q355" t="s">
        <v>22</v>
      </c>
      <c r="R355" t="str" cm="1">
        <f t="array" ref="R355">_xlfn.IFS(N355&lt;=1,"0-1 yrs",N355&lt;=4,"2-4 yrs",N355&lt;=9,"5-9 yrs",N355&gt;9,"10+ yrs")</f>
        <v>10+ yrs</v>
      </c>
      <c r="S355" t="str" cm="1">
        <f t="array" ref="S355">_xlfn.IFS(B355&lt;=25,"20-25",B355&lt;=35,"26-35",B355&lt;=45,"36-45",B355&gt;45,"46+")</f>
        <v>46+</v>
      </c>
      <c r="T355" t="str" cm="1">
        <f t="array" ref="T355">_xlfn.IFS(J355&lt;3500,"&lt;3.5K",J355&lt;5500,"3.5-5.5K",J355&lt;7500,"5.5-7.5K",J355&gt;=7500,"7.5K+")</f>
        <v>7.5K+</v>
      </c>
      <c r="U355">
        <f t="shared" si="5"/>
        <v>0</v>
      </c>
    </row>
    <row r="356" spans="1:21" x14ac:dyDescent="0.25">
      <c r="A356">
        <v>1885</v>
      </c>
      <c r="B356">
        <v>28</v>
      </c>
      <c r="C356" t="s">
        <v>16</v>
      </c>
      <c r="D356" t="s">
        <v>27</v>
      </c>
      <c r="E356" t="s">
        <v>28</v>
      </c>
      <c r="F356" t="s">
        <v>38</v>
      </c>
      <c r="G356" t="s">
        <v>37</v>
      </c>
      <c r="H356" t="s">
        <v>21</v>
      </c>
      <c r="I356">
        <v>9</v>
      </c>
      <c r="J356" s="2">
        <v>9044</v>
      </c>
      <c r="K356" t="s">
        <v>22</v>
      </c>
      <c r="L356">
        <v>4</v>
      </c>
      <c r="M356">
        <v>4</v>
      </c>
      <c r="N356">
        <v>0</v>
      </c>
      <c r="O356">
        <v>0</v>
      </c>
      <c r="P356">
        <v>8</v>
      </c>
      <c r="Q356" t="s">
        <v>42</v>
      </c>
      <c r="R356" t="str" cm="1">
        <f t="array" ref="R356">_xlfn.IFS(N356&lt;=1,"0-1 yrs",N356&lt;=4,"2-4 yrs",N356&lt;=9,"5-9 yrs",N356&gt;9,"10+ yrs")</f>
        <v>0-1 yrs</v>
      </c>
      <c r="S356" t="str" cm="1">
        <f t="array" ref="S356">_xlfn.IFS(B356&lt;=25,"20-25",B356&lt;=35,"26-35",B356&lt;=45,"36-45",B356&gt;45,"46+")</f>
        <v>26-35</v>
      </c>
      <c r="T356" t="str" cm="1">
        <f t="array" ref="T356">_xlfn.IFS(J356&lt;3500,"&lt;3.5K",J356&lt;5500,"3.5-5.5K",J356&lt;7500,"5.5-7.5K",J356&gt;=7500,"7.5K+")</f>
        <v>7.5K+</v>
      </c>
      <c r="U356">
        <f t="shared" si="5"/>
        <v>1</v>
      </c>
    </row>
    <row r="357" spans="1:21" x14ac:dyDescent="0.25">
      <c r="A357">
        <v>1373</v>
      </c>
      <c r="B357">
        <v>59</v>
      </c>
      <c r="C357" t="s">
        <v>16</v>
      </c>
      <c r="D357" t="s">
        <v>24</v>
      </c>
      <c r="E357" t="s">
        <v>52</v>
      </c>
      <c r="F357" t="s">
        <v>36</v>
      </c>
      <c r="G357" t="s">
        <v>20</v>
      </c>
      <c r="H357" t="s">
        <v>30</v>
      </c>
      <c r="I357">
        <v>7</v>
      </c>
      <c r="J357" s="2">
        <v>10169</v>
      </c>
      <c r="K357" t="s">
        <v>22</v>
      </c>
      <c r="L357">
        <v>2</v>
      </c>
      <c r="M357">
        <v>2</v>
      </c>
      <c r="N357">
        <v>20</v>
      </c>
      <c r="O357">
        <v>15</v>
      </c>
      <c r="P357">
        <v>29</v>
      </c>
      <c r="Q357" t="s">
        <v>42</v>
      </c>
      <c r="R357" t="str" cm="1">
        <f t="array" ref="R357">_xlfn.IFS(N357&lt;=1,"0-1 yrs",N357&lt;=4,"2-4 yrs",N357&lt;=9,"5-9 yrs",N357&gt;9,"10+ yrs")</f>
        <v>10+ yrs</v>
      </c>
      <c r="S357" t="str" cm="1">
        <f t="array" ref="S357">_xlfn.IFS(B357&lt;=25,"20-25",B357&lt;=35,"26-35",B357&lt;=45,"36-45",B357&gt;45,"46+")</f>
        <v>46+</v>
      </c>
      <c r="T357" t="str" cm="1">
        <f t="array" ref="T357">_xlfn.IFS(J357&lt;3500,"&lt;3.5K",J357&lt;5500,"3.5-5.5K",J357&lt;7500,"5.5-7.5K",J357&gt;=7500,"7.5K+")</f>
        <v>7.5K+</v>
      </c>
      <c r="U357">
        <f t="shared" si="5"/>
        <v>1</v>
      </c>
    </row>
    <row r="358" spans="1:21" x14ac:dyDescent="0.25">
      <c r="A358">
        <v>1027</v>
      </c>
      <c r="B358">
        <v>24</v>
      </c>
      <c r="C358" t="s">
        <v>23</v>
      </c>
      <c r="D358" t="s">
        <v>24</v>
      </c>
      <c r="E358" t="s">
        <v>25</v>
      </c>
      <c r="F358" t="s">
        <v>29</v>
      </c>
      <c r="G358" t="s">
        <v>20</v>
      </c>
      <c r="H358" t="s">
        <v>21</v>
      </c>
      <c r="I358">
        <v>9</v>
      </c>
      <c r="J358" s="2">
        <v>9406</v>
      </c>
      <c r="K358" t="s">
        <v>42</v>
      </c>
      <c r="L358">
        <v>1</v>
      </c>
      <c r="M358">
        <v>3</v>
      </c>
      <c r="N358">
        <v>3</v>
      </c>
      <c r="O358">
        <v>2</v>
      </c>
      <c r="P358">
        <v>3</v>
      </c>
      <c r="Q358" t="s">
        <v>42</v>
      </c>
      <c r="R358" t="str" cm="1">
        <f t="array" ref="R358">_xlfn.IFS(N358&lt;=1,"0-1 yrs",N358&lt;=4,"2-4 yrs",N358&lt;=9,"5-9 yrs",N358&gt;9,"10+ yrs")</f>
        <v>2-4 yrs</v>
      </c>
      <c r="S358" t="str" cm="1">
        <f t="array" ref="S358">_xlfn.IFS(B358&lt;=25,"20-25",B358&lt;=35,"26-35",B358&lt;=45,"36-45",B358&gt;45,"46+")</f>
        <v>20-25</v>
      </c>
      <c r="T358" t="str" cm="1">
        <f t="array" ref="T358">_xlfn.IFS(J358&lt;3500,"&lt;3.5K",J358&lt;5500,"3.5-5.5K",J358&lt;7500,"5.5-7.5K",J358&gt;=7500,"7.5K+")</f>
        <v>7.5K+</v>
      </c>
      <c r="U358">
        <f t="shared" si="5"/>
        <v>1</v>
      </c>
    </row>
    <row r="359" spans="1:21" x14ac:dyDescent="0.25">
      <c r="A359">
        <v>1670</v>
      </c>
      <c r="B359">
        <v>38</v>
      </c>
      <c r="C359" t="s">
        <v>23</v>
      </c>
      <c r="D359" t="s">
        <v>24</v>
      </c>
      <c r="E359" t="s">
        <v>46</v>
      </c>
      <c r="F359" t="s">
        <v>41</v>
      </c>
      <c r="G359" t="s">
        <v>37</v>
      </c>
      <c r="H359" t="s">
        <v>30</v>
      </c>
      <c r="I359">
        <v>22</v>
      </c>
      <c r="J359" s="2">
        <v>8616</v>
      </c>
      <c r="K359" t="s">
        <v>22</v>
      </c>
      <c r="L359">
        <v>1</v>
      </c>
      <c r="M359">
        <v>4</v>
      </c>
      <c r="N359">
        <v>1</v>
      </c>
      <c r="O359">
        <v>0</v>
      </c>
      <c r="P359">
        <v>15</v>
      </c>
      <c r="Q359" t="s">
        <v>22</v>
      </c>
      <c r="R359" t="str" cm="1">
        <f t="array" ref="R359">_xlfn.IFS(N359&lt;=1,"0-1 yrs",N359&lt;=4,"2-4 yrs",N359&lt;=9,"5-9 yrs",N359&gt;9,"10+ yrs")</f>
        <v>0-1 yrs</v>
      </c>
      <c r="S359" t="str" cm="1">
        <f t="array" ref="S359">_xlfn.IFS(B359&lt;=25,"20-25",B359&lt;=35,"26-35",B359&lt;=45,"36-45",B359&gt;45,"46+")</f>
        <v>36-45</v>
      </c>
      <c r="T359" t="str" cm="1">
        <f t="array" ref="T359">_xlfn.IFS(J359&lt;3500,"&lt;3.5K",J359&lt;5500,"3.5-5.5K",J359&lt;7500,"5.5-7.5K",J359&gt;=7500,"7.5K+")</f>
        <v>7.5K+</v>
      </c>
      <c r="U359">
        <f t="shared" si="5"/>
        <v>0</v>
      </c>
    </row>
    <row r="360" spans="1:21" x14ac:dyDescent="0.25">
      <c r="A360">
        <v>1568</v>
      </c>
      <c r="B360">
        <v>52</v>
      </c>
      <c r="C360" t="s">
        <v>23</v>
      </c>
      <c r="D360" t="s">
        <v>17</v>
      </c>
      <c r="E360" t="s">
        <v>18</v>
      </c>
      <c r="F360" t="s">
        <v>26</v>
      </c>
      <c r="G360" t="s">
        <v>20</v>
      </c>
      <c r="H360" t="s">
        <v>30</v>
      </c>
      <c r="I360">
        <v>19</v>
      </c>
      <c r="J360" s="2">
        <v>14228</v>
      </c>
      <c r="K360" t="s">
        <v>42</v>
      </c>
      <c r="L360">
        <v>2</v>
      </c>
      <c r="M360">
        <v>4</v>
      </c>
      <c r="N360">
        <v>12</v>
      </c>
      <c r="O360">
        <v>3</v>
      </c>
      <c r="P360">
        <v>32</v>
      </c>
      <c r="Q360" t="s">
        <v>22</v>
      </c>
      <c r="R360" t="str" cm="1">
        <f t="array" ref="R360">_xlfn.IFS(N360&lt;=1,"0-1 yrs",N360&lt;=4,"2-4 yrs",N360&lt;=9,"5-9 yrs",N360&gt;9,"10+ yrs")</f>
        <v>10+ yrs</v>
      </c>
      <c r="S360" t="str" cm="1">
        <f t="array" ref="S360">_xlfn.IFS(B360&lt;=25,"20-25",B360&lt;=35,"26-35",B360&lt;=45,"36-45",B360&gt;45,"46+")</f>
        <v>46+</v>
      </c>
      <c r="T360" t="str" cm="1">
        <f t="array" ref="T360">_xlfn.IFS(J360&lt;3500,"&lt;3.5K",J360&lt;5500,"3.5-5.5K",J360&lt;7500,"5.5-7.5K",J360&gt;=7500,"7.5K+")</f>
        <v>7.5K+</v>
      </c>
      <c r="U360">
        <f t="shared" si="5"/>
        <v>0</v>
      </c>
    </row>
    <row r="361" spans="1:21" x14ac:dyDescent="0.25">
      <c r="A361">
        <v>1518</v>
      </c>
      <c r="B361">
        <v>48</v>
      </c>
      <c r="C361" t="s">
        <v>23</v>
      </c>
      <c r="D361" t="s">
        <v>51</v>
      </c>
      <c r="E361" t="s">
        <v>46</v>
      </c>
      <c r="F361" t="s">
        <v>36</v>
      </c>
      <c r="G361" t="s">
        <v>20</v>
      </c>
      <c r="H361" t="s">
        <v>34</v>
      </c>
      <c r="I361">
        <v>25</v>
      </c>
      <c r="J361" s="2">
        <v>10076</v>
      </c>
      <c r="K361" t="s">
        <v>22</v>
      </c>
      <c r="L361">
        <v>3</v>
      </c>
      <c r="M361">
        <v>3</v>
      </c>
      <c r="N361">
        <v>16</v>
      </c>
      <c r="O361">
        <v>2</v>
      </c>
      <c r="P361">
        <v>24</v>
      </c>
      <c r="Q361" t="s">
        <v>22</v>
      </c>
      <c r="R361" t="str" cm="1">
        <f t="array" ref="R361">_xlfn.IFS(N361&lt;=1,"0-1 yrs",N361&lt;=4,"2-4 yrs",N361&lt;=9,"5-9 yrs",N361&gt;9,"10+ yrs")</f>
        <v>10+ yrs</v>
      </c>
      <c r="S361" t="str" cm="1">
        <f t="array" ref="S361">_xlfn.IFS(B361&lt;=25,"20-25",B361&lt;=35,"26-35",B361&lt;=45,"36-45",B361&gt;45,"46+")</f>
        <v>46+</v>
      </c>
      <c r="T361" t="str" cm="1">
        <f t="array" ref="T361">_xlfn.IFS(J361&lt;3500,"&lt;3.5K",J361&lt;5500,"3.5-5.5K",J361&lt;7500,"5.5-7.5K",J361&gt;=7500,"7.5K+")</f>
        <v>7.5K+</v>
      </c>
      <c r="U361">
        <f t="shared" si="5"/>
        <v>0</v>
      </c>
    </row>
    <row r="362" spans="1:21" x14ac:dyDescent="0.25">
      <c r="A362">
        <v>1105</v>
      </c>
      <c r="B362">
        <v>23</v>
      </c>
      <c r="C362" t="s">
        <v>16</v>
      </c>
      <c r="D362" t="s">
        <v>17</v>
      </c>
      <c r="E362" t="s">
        <v>40</v>
      </c>
      <c r="F362" t="s">
        <v>36</v>
      </c>
      <c r="G362" t="s">
        <v>37</v>
      </c>
      <c r="H362" t="s">
        <v>30</v>
      </c>
      <c r="I362">
        <v>16</v>
      </c>
      <c r="J362" s="2">
        <v>7193</v>
      </c>
      <c r="K362" t="s">
        <v>22</v>
      </c>
      <c r="L362">
        <v>1</v>
      </c>
      <c r="M362">
        <v>1</v>
      </c>
      <c r="N362">
        <v>0</v>
      </c>
      <c r="O362">
        <v>0</v>
      </c>
      <c r="P362">
        <v>0</v>
      </c>
      <c r="Q362" t="s">
        <v>22</v>
      </c>
      <c r="R362" t="str" cm="1">
        <f t="array" ref="R362">_xlfn.IFS(N362&lt;=1,"0-1 yrs",N362&lt;=4,"2-4 yrs",N362&lt;=9,"5-9 yrs",N362&gt;9,"10+ yrs")</f>
        <v>0-1 yrs</v>
      </c>
      <c r="S362" t="str" cm="1">
        <f t="array" ref="S362">_xlfn.IFS(B362&lt;=25,"20-25",B362&lt;=35,"26-35",B362&lt;=45,"36-45",B362&gt;45,"46+")</f>
        <v>20-25</v>
      </c>
      <c r="T362" t="str" cm="1">
        <f t="array" ref="T362">_xlfn.IFS(J362&lt;3500,"&lt;3.5K",J362&lt;5500,"3.5-5.5K",J362&lt;7500,"5.5-7.5K",J362&gt;=7500,"7.5K+")</f>
        <v>5.5-7.5K</v>
      </c>
      <c r="U362">
        <f t="shared" si="5"/>
        <v>0</v>
      </c>
    </row>
    <row r="363" spans="1:21" x14ac:dyDescent="0.25">
      <c r="A363">
        <v>1753</v>
      </c>
      <c r="B363">
        <v>54</v>
      </c>
      <c r="C363" t="s">
        <v>16</v>
      </c>
      <c r="D363" t="s">
        <v>27</v>
      </c>
      <c r="E363" t="s">
        <v>43</v>
      </c>
      <c r="F363" t="s">
        <v>38</v>
      </c>
      <c r="G363" t="s">
        <v>20</v>
      </c>
      <c r="H363" t="s">
        <v>30</v>
      </c>
      <c r="I363">
        <v>23</v>
      </c>
      <c r="J363" s="2">
        <v>9920</v>
      </c>
      <c r="K363" t="s">
        <v>22</v>
      </c>
      <c r="L363">
        <v>1</v>
      </c>
      <c r="M363">
        <v>4</v>
      </c>
      <c r="N363">
        <v>21</v>
      </c>
      <c r="O363">
        <v>0</v>
      </c>
      <c r="P363">
        <v>26</v>
      </c>
      <c r="Q363" t="s">
        <v>42</v>
      </c>
      <c r="R363" t="str" cm="1">
        <f t="array" ref="R363">_xlfn.IFS(N363&lt;=1,"0-1 yrs",N363&lt;=4,"2-4 yrs",N363&lt;=9,"5-9 yrs",N363&gt;9,"10+ yrs")</f>
        <v>10+ yrs</v>
      </c>
      <c r="S363" t="str" cm="1">
        <f t="array" ref="S363">_xlfn.IFS(B363&lt;=25,"20-25",B363&lt;=35,"26-35",B363&lt;=45,"36-45",B363&gt;45,"46+")</f>
        <v>46+</v>
      </c>
      <c r="T363" t="str" cm="1">
        <f t="array" ref="T363">_xlfn.IFS(J363&lt;3500,"&lt;3.5K",J363&lt;5500,"3.5-5.5K",J363&lt;7500,"5.5-7.5K",J363&gt;=7500,"7.5K+")</f>
        <v>7.5K+</v>
      </c>
      <c r="U363">
        <f t="shared" si="5"/>
        <v>1</v>
      </c>
    </row>
    <row r="364" spans="1:21" x14ac:dyDescent="0.25">
      <c r="A364">
        <v>1957</v>
      </c>
      <c r="B364">
        <v>32</v>
      </c>
      <c r="C364" t="s">
        <v>23</v>
      </c>
      <c r="D364" t="s">
        <v>47</v>
      </c>
      <c r="E364" t="s">
        <v>53</v>
      </c>
      <c r="F364" t="s">
        <v>38</v>
      </c>
      <c r="G364" t="s">
        <v>37</v>
      </c>
      <c r="H364" t="s">
        <v>21</v>
      </c>
      <c r="I364">
        <v>8</v>
      </c>
      <c r="J364" s="2">
        <v>8225</v>
      </c>
      <c r="K364" t="s">
        <v>22</v>
      </c>
      <c r="L364">
        <v>2</v>
      </c>
      <c r="M364">
        <v>3</v>
      </c>
      <c r="N364">
        <v>0</v>
      </c>
      <c r="O364">
        <v>0</v>
      </c>
      <c r="P364">
        <v>5</v>
      </c>
      <c r="Q364" t="s">
        <v>42</v>
      </c>
      <c r="R364" t="str" cm="1">
        <f t="array" ref="R364">_xlfn.IFS(N364&lt;=1,"0-1 yrs",N364&lt;=4,"2-4 yrs",N364&lt;=9,"5-9 yrs",N364&gt;9,"10+ yrs")</f>
        <v>0-1 yrs</v>
      </c>
      <c r="S364" t="str" cm="1">
        <f t="array" ref="S364">_xlfn.IFS(B364&lt;=25,"20-25",B364&lt;=35,"26-35",B364&lt;=45,"36-45",B364&gt;45,"46+")</f>
        <v>26-35</v>
      </c>
      <c r="T364" t="str" cm="1">
        <f t="array" ref="T364">_xlfn.IFS(J364&lt;3500,"&lt;3.5K",J364&lt;5500,"3.5-5.5K",J364&lt;7500,"5.5-7.5K",J364&gt;=7500,"7.5K+")</f>
        <v>7.5K+</v>
      </c>
      <c r="U364">
        <f t="shared" si="5"/>
        <v>1</v>
      </c>
    </row>
    <row r="365" spans="1:21" x14ac:dyDescent="0.25">
      <c r="A365">
        <v>1850</v>
      </c>
      <c r="B365">
        <v>47</v>
      </c>
      <c r="C365" t="s">
        <v>23</v>
      </c>
      <c r="D365" t="s">
        <v>24</v>
      </c>
      <c r="E365" t="s">
        <v>45</v>
      </c>
      <c r="F365" t="s">
        <v>26</v>
      </c>
      <c r="G365" t="s">
        <v>20</v>
      </c>
      <c r="H365" t="s">
        <v>34</v>
      </c>
      <c r="I365">
        <v>5</v>
      </c>
      <c r="J365" s="2">
        <v>9103</v>
      </c>
      <c r="K365" t="s">
        <v>22</v>
      </c>
      <c r="L365">
        <v>3</v>
      </c>
      <c r="M365">
        <v>4</v>
      </c>
      <c r="N365">
        <v>8</v>
      </c>
      <c r="O365">
        <v>1</v>
      </c>
      <c r="P365">
        <v>23</v>
      </c>
      <c r="Q365" t="s">
        <v>22</v>
      </c>
      <c r="R365" t="str" cm="1">
        <f t="array" ref="R365">_xlfn.IFS(N365&lt;=1,"0-1 yrs",N365&lt;=4,"2-4 yrs",N365&lt;=9,"5-9 yrs",N365&gt;9,"10+ yrs")</f>
        <v>5-9 yrs</v>
      </c>
      <c r="S365" t="str" cm="1">
        <f t="array" ref="S365">_xlfn.IFS(B365&lt;=25,"20-25",B365&lt;=35,"26-35",B365&lt;=45,"36-45",B365&gt;45,"46+")</f>
        <v>46+</v>
      </c>
      <c r="T365" t="str" cm="1">
        <f t="array" ref="T365">_xlfn.IFS(J365&lt;3500,"&lt;3.5K",J365&lt;5500,"3.5-5.5K",J365&lt;7500,"5.5-7.5K",J365&gt;=7500,"7.5K+")</f>
        <v>7.5K+</v>
      </c>
      <c r="U365">
        <f t="shared" si="5"/>
        <v>0</v>
      </c>
    </row>
    <row r="366" spans="1:21" x14ac:dyDescent="0.25">
      <c r="A366">
        <v>1205</v>
      </c>
      <c r="B366">
        <v>32</v>
      </c>
      <c r="C366" t="s">
        <v>23</v>
      </c>
      <c r="D366" t="s">
        <v>24</v>
      </c>
      <c r="E366" t="s">
        <v>25</v>
      </c>
      <c r="F366" t="s">
        <v>26</v>
      </c>
      <c r="G366" t="s">
        <v>33</v>
      </c>
      <c r="H366" t="s">
        <v>30</v>
      </c>
      <c r="I366">
        <v>16</v>
      </c>
      <c r="J366" s="2">
        <v>12369</v>
      </c>
      <c r="K366" t="s">
        <v>22</v>
      </c>
      <c r="L366">
        <v>4</v>
      </c>
      <c r="M366">
        <v>3</v>
      </c>
      <c r="N366">
        <v>5</v>
      </c>
      <c r="O366">
        <v>4</v>
      </c>
      <c r="P366">
        <v>5</v>
      </c>
      <c r="Q366" t="s">
        <v>22</v>
      </c>
      <c r="R366" t="str" cm="1">
        <f t="array" ref="R366">_xlfn.IFS(N366&lt;=1,"0-1 yrs",N366&lt;=4,"2-4 yrs",N366&lt;=9,"5-9 yrs",N366&gt;9,"10+ yrs")</f>
        <v>5-9 yrs</v>
      </c>
      <c r="S366" t="str" cm="1">
        <f t="array" ref="S366">_xlfn.IFS(B366&lt;=25,"20-25",B366&lt;=35,"26-35",B366&lt;=45,"36-45",B366&gt;45,"46+")</f>
        <v>26-35</v>
      </c>
      <c r="T366" t="str" cm="1">
        <f t="array" ref="T366">_xlfn.IFS(J366&lt;3500,"&lt;3.5K",J366&lt;5500,"3.5-5.5K",J366&lt;7500,"5.5-7.5K",J366&gt;=7500,"7.5K+")</f>
        <v>7.5K+</v>
      </c>
      <c r="U366">
        <f t="shared" si="5"/>
        <v>0</v>
      </c>
    </row>
    <row r="367" spans="1:21" x14ac:dyDescent="0.25">
      <c r="A367">
        <v>1427</v>
      </c>
      <c r="B367">
        <v>22</v>
      </c>
      <c r="C367" t="s">
        <v>16</v>
      </c>
      <c r="D367" t="s">
        <v>47</v>
      </c>
      <c r="E367" t="s">
        <v>50</v>
      </c>
      <c r="F367" t="s">
        <v>68</v>
      </c>
      <c r="G367" t="s">
        <v>20</v>
      </c>
      <c r="H367" t="s">
        <v>34</v>
      </c>
      <c r="I367">
        <v>23</v>
      </c>
      <c r="J367" s="2">
        <v>6653</v>
      </c>
      <c r="K367" t="s">
        <v>22</v>
      </c>
      <c r="L367">
        <v>4</v>
      </c>
      <c r="M367">
        <v>4</v>
      </c>
      <c r="N367">
        <v>2</v>
      </c>
      <c r="O367">
        <v>0</v>
      </c>
      <c r="P367">
        <v>2</v>
      </c>
      <c r="Q367" t="s">
        <v>22</v>
      </c>
      <c r="R367" t="str" cm="1">
        <f t="array" ref="R367">_xlfn.IFS(N367&lt;=1,"0-1 yrs",N367&lt;=4,"2-4 yrs",N367&lt;=9,"5-9 yrs",N367&gt;9,"10+ yrs")</f>
        <v>2-4 yrs</v>
      </c>
      <c r="S367" t="str" cm="1">
        <f t="array" ref="S367">_xlfn.IFS(B367&lt;=25,"20-25",B367&lt;=35,"26-35",B367&lt;=45,"36-45",B367&gt;45,"46+")</f>
        <v>20-25</v>
      </c>
      <c r="T367" t="str" cm="1">
        <f t="array" ref="T367">_xlfn.IFS(J367&lt;3500,"&lt;3.5K",J367&lt;5500,"3.5-5.5K",J367&lt;7500,"5.5-7.5K",J367&gt;=7500,"7.5K+")</f>
        <v>5.5-7.5K</v>
      </c>
      <c r="U367">
        <f t="shared" si="5"/>
        <v>0</v>
      </c>
    </row>
    <row r="368" spans="1:21" x14ac:dyDescent="0.25">
      <c r="A368">
        <v>1130</v>
      </c>
      <c r="B368">
        <v>58</v>
      </c>
      <c r="C368" t="s">
        <v>23</v>
      </c>
      <c r="D368" t="s">
        <v>27</v>
      </c>
      <c r="E368" t="s">
        <v>31</v>
      </c>
      <c r="F368" t="s">
        <v>26</v>
      </c>
      <c r="G368" t="s">
        <v>20</v>
      </c>
      <c r="H368" t="s">
        <v>34</v>
      </c>
      <c r="I368">
        <v>21</v>
      </c>
      <c r="J368" s="2">
        <v>10461</v>
      </c>
      <c r="K368" t="s">
        <v>42</v>
      </c>
      <c r="L368">
        <v>1</v>
      </c>
      <c r="M368">
        <v>4</v>
      </c>
      <c r="N368">
        <v>18</v>
      </c>
      <c r="O368">
        <v>18</v>
      </c>
      <c r="P368">
        <v>21</v>
      </c>
      <c r="Q368" t="s">
        <v>22</v>
      </c>
      <c r="R368" t="str" cm="1">
        <f t="array" ref="R368">_xlfn.IFS(N368&lt;=1,"0-1 yrs",N368&lt;=4,"2-4 yrs",N368&lt;=9,"5-9 yrs",N368&gt;9,"10+ yrs")</f>
        <v>10+ yrs</v>
      </c>
      <c r="S368" t="str" cm="1">
        <f t="array" ref="S368">_xlfn.IFS(B368&lt;=25,"20-25",B368&lt;=35,"26-35",B368&lt;=45,"36-45",B368&gt;45,"46+")</f>
        <v>46+</v>
      </c>
      <c r="T368" t="str" cm="1">
        <f t="array" ref="T368">_xlfn.IFS(J368&lt;3500,"&lt;3.5K",J368&lt;5500,"3.5-5.5K",J368&lt;7500,"5.5-7.5K",J368&gt;=7500,"7.5K+")</f>
        <v>7.5K+</v>
      </c>
      <c r="U368">
        <f t="shared" si="5"/>
        <v>0</v>
      </c>
    </row>
    <row r="369" spans="1:21" x14ac:dyDescent="0.25">
      <c r="A369">
        <v>1545</v>
      </c>
      <c r="B369">
        <v>45</v>
      </c>
      <c r="C369" t="s">
        <v>23</v>
      </c>
      <c r="D369" t="s">
        <v>47</v>
      </c>
      <c r="E369" t="s">
        <v>53</v>
      </c>
      <c r="F369" t="s">
        <v>32</v>
      </c>
      <c r="G369" t="s">
        <v>20</v>
      </c>
      <c r="H369" t="s">
        <v>30</v>
      </c>
      <c r="I369">
        <v>5</v>
      </c>
      <c r="J369" s="2">
        <v>14444</v>
      </c>
      <c r="K369" t="s">
        <v>42</v>
      </c>
      <c r="L369">
        <v>2</v>
      </c>
      <c r="M369">
        <v>2</v>
      </c>
      <c r="N369">
        <v>16</v>
      </c>
      <c r="O369">
        <v>15</v>
      </c>
      <c r="P369">
        <v>24</v>
      </c>
      <c r="Q369" t="s">
        <v>22</v>
      </c>
      <c r="R369" t="str" cm="1">
        <f t="array" ref="R369">_xlfn.IFS(N369&lt;=1,"0-1 yrs",N369&lt;=4,"2-4 yrs",N369&lt;=9,"5-9 yrs",N369&gt;9,"10+ yrs")</f>
        <v>10+ yrs</v>
      </c>
      <c r="S369" t="str" cm="1">
        <f t="array" ref="S369">_xlfn.IFS(B369&lt;=25,"20-25",B369&lt;=35,"26-35",B369&lt;=45,"36-45",B369&gt;45,"46+")</f>
        <v>36-45</v>
      </c>
      <c r="T369" t="str" cm="1">
        <f t="array" ref="T369">_xlfn.IFS(J369&lt;3500,"&lt;3.5K",J369&lt;5500,"3.5-5.5K",J369&lt;7500,"5.5-7.5K",J369&gt;=7500,"7.5K+")</f>
        <v>7.5K+</v>
      </c>
      <c r="U369">
        <f t="shared" si="5"/>
        <v>0</v>
      </c>
    </row>
    <row r="370" spans="1:21" x14ac:dyDescent="0.25">
      <c r="A370">
        <v>1117</v>
      </c>
      <c r="B370">
        <v>28</v>
      </c>
      <c r="C370" t="s">
        <v>16</v>
      </c>
      <c r="D370" t="s">
        <v>17</v>
      </c>
      <c r="E370" t="s">
        <v>40</v>
      </c>
      <c r="F370" t="s">
        <v>41</v>
      </c>
      <c r="G370" t="s">
        <v>37</v>
      </c>
      <c r="H370" t="s">
        <v>30</v>
      </c>
      <c r="I370">
        <v>3</v>
      </c>
      <c r="J370" s="2">
        <v>7548</v>
      </c>
      <c r="K370" t="s">
        <v>22</v>
      </c>
      <c r="L370">
        <v>4</v>
      </c>
      <c r="M370">
        <v>2</v>
      </c>
      <c r="N370">
        <v>2</v>
      </c>
      <c r="O370">
        <v>2</v>
      </c>
      <c r="P370">
        <v>4</v>
      </c>
      <c r="Q370" t="s">
        <v>42</v>
      </c>
      <c r="R370" t="str" cm="1">
        <f t="array" ref="R370">_xlfn.IFS(N370&lt;=1,"0-1 yrs",N370&lt;=4,"2-4 yrs",N370&lt;=9,"5-9 yrs",N370&gt;9,"10+ yrs")</f>
        <v>2-4 yrs</v>
      </c>
      <c r="S370" t="str" cm="1">
        <f t="array" ref="S370">_xlfn.IFS(B370&lt;=25,"20-25",B370&lt;=35,"26-35",B370&lt;=45,"36-45",B370&gt;45,"46+")</f>
        <v>26-35</v>
      </c>
      <c r="T370" t="str" cm="1">
        <f t="array" ref="T370">_xlfn.IFS(J370&lt;3500,"&lt;3.5K",J370&lt;5500,"3.5-5.5K",J370&lt;7500,"5.5-7.5K",J370&gt;=7500,"7.5K+")</f>
        <v>7.5K+</v>
      </c>
      <c r="U370">
        <f t="shared" si="5"/>
        <v>1</v>
      </c>
    </row>
    <row r="371" spans="1:21" x14ac:dyDescent="0.25">
      <c r="A371">
        <v>1412</v>
      </c>
      <c r="B371">
        <v>51</v>
      </c>
      <c r="C371" t="s">
        <v>23</v>
      </c>
      <c r="D371" t="s">
        <v>38</v>
      </c>
      <c r="E371" t="s">
        <v>49</v>
      </c>
      <c r="F371" t="s">
        <v>41</v>
      </c>
      <c r="G371" t="s">
        <v>33</v>
      </c>
      <c r="H371" t="s">
        <v>30</v>
      </c>
      <c r="I371">
        <v>19</v>
      </c>
      <c r="J371" s="2">
        <v>14887</v>
      </c>
      <c r="K371" t="s">
        <v>42</v>
      </c>
      <c r="L371">
        <v>1</v>
      </c>
      <c r="M371">
        <v>2</v>
      </c>
      <c r="N371">
        <v>23</v>
      </c>
      <c r="O371">
        <v>6</v>
      </c>
      <c r="P371">
        <v>31</v>
      </c>
      <c r="Q371" t="s">
        <v>42</v>
      </c>
      <c r="R371" t="str" cm="1">
        <f t="array" ref="R371">_xlfn.IFS(N371&lt;=1,"0-1 yrs",N371&lt;=4,"2-4 yrs",N371&lt;=9,"5-9 yrs",N371&gt;9,"10+ yrs")</f>
        <v>10+ yrs</v>
      </c>
      <c r="S371" t="str" cm="1">
        <f t="array" ref="S371">_xlfn.IFS(B371&lt;=25,"20-25",B371&lt;=35,"26-35",B371&lt;=45,"36-45",B371&gt;45,"46+")</f>
        <v>46+</v>
      </c>
      <c r="T371" t="str" cm="1">
        <f t="array" ref="T371">_xlfn.IFS(J371&lt;3500,"&lt;3.5K",J371&lt;5500,"3.5-5.5K",J371&lt;7500,"5.5-7.5K",J371&gt;=7500,"7.5K+")</f>
        <v>7.5K+</v>
      </c>
      <c r="U371">
        <f t="shared" si="5"/>
        <v>1</v>
      </c>
    </row>
    <row r="372" spans="1:21" x14ac:dyDescent="0.25">
      <c r="A372">
        <v>1969</v>
      </c>
      <c r="B372">
        <v>50</v>
      </c>
      <c r="C372" t="s">
        <v>16</v>
      </c>
      <c r="D372" t="s">
        <v>24</v>
      </c>
      <c r="E372" t="s">
        <v>46</v>
      </c>
      <c r="F372" t="s">
        <v>29</v>
      </c>
      <c r="G372" t="s">
        <v>37</v>
      </c>
      <c r="H372" t="s">
        <v>34</v>
      </c>
      <c r="I372">
        <v>16</v>
      </c>
      <c r="J372" s="2">
        <v>12261</v>
      </c>
      <c r="K372" t="s">
        <v>22</v>
      </c>
      <c r="L372">
        <v>2</v>
      </c>
      <c r="M372">
        <v>3</v>
      </c>
      <c r="N372">
        <v>10</v>
      </c>
      <c r="O372">
        <v>5</v>
      </c>
      <c r="P372">
        <v>26</v>
      </c>
      <c r="Q372" t="s">
        <v>22</v>
      </c>
      <c r="R372" t="str" cm="1">
        <f t="array" ref="R372">_xlfn.IFS(N372&lt;=1,"0-1 yrs",N372&lt;=4,"2-4 yrs",N372&lt;=9,"5-9 yrs",N372&gt;9,"10+ yrs")</f>
        <v>10+ yrs</v>
      </c>
      <c r="S372" t="str" cm="1">
        <f t="array" ref="S372">_xlfn.IFS(B372&lt;=25,"20-25",B372&lt;=35,"26-35",B372&lt;=45,"36-45",B372&gt;45,"46+")</f>
        <v>46+</v>
      </c>
      <c r="T372" t="str" cm="1">
        <f t="array" ref="T372">_xlfn.IFS(J372&lt;3500,"&lt;3.5K",J372&lt;5500,"3.5-5.5K",J372&lt;7500,"5.5-7.5K",J372&gt;=7500,"7.5K+")</f>
        <v>7.5K+</v>
      </c>
      <c r="U372">
        <f t="shared" si="5"/>
        <v>0</v>
      </c>
    </row>
    <row r="373" spans="1:21" x14ac:dyDescent="0.25">
      <c r="A373">
        <v>1119</v>
      </c>
      <c r="B373">
        <v>47</v>
      </c>
      <c r="C373" t="s">
        <v>16</v>
      </c>
      <c r="D373" t="s">
        <v>38</v>
      </c>
      <c r="E373" t="s">
        <v>39</v>
      </c>
      <c r="F373" t="s">
        <v>29</v>
      </c>
      <c r="G373" t="s">
        <v>20</v>
      </c>
      <c r="H373" t="s">
        <v>34</v>
      </c>
      <c r="I373">
        <v>23</v>
      </c>
      <c r="J373" s="2">
        <v>6909</v>
      </c>
      <c r="K373" t="s">
        <v>22</v>
      </c>
      <c r="L373">
        <v>2</v>
      </c>
      <c r="M373">
        <v>2</v>
      </c>
      <c r="N373">
        <v>1</v>
      </c>
      <c r="O373">
        <v>0</v>
      </c>
      <c r="P373">
        <v>12</v>
      </c>
      <c r="Q373" t="s">
        <v>42</v>
      </c>
      <c r="R373" t="str" cm="1">
        <f t="array" ref="R373">_xlfn.IFS(N373&lt;=1,"0-1 yrs",N373&lt;=4,"2-4 yrs",N373&lt;=9,"5-9 yrs",N373&gt;9,"10+ yrs")</f>
        <v>0-1 yrs</v>
      </c>
      <c r="S373" t="str" cm="1">
        <f t="array" ref="S373">_xlfn.IFS(B373&lt;=25,"20-25",B373&lt;=35,"26-35",B373&lt;=45,"36-45",B373&gt;45,"46+")</f>
        <v>46+</v>
      </c>
      <c r="T373" t="str" cm="1">
        <f t="array" ref="T373">_xlfn.IFS(J373&lt;3500,"&lt;3.5K",J373&lt;5500,"3.5-5.5K",J373&lt;7500,"5.5-7.5K",J373&gt;=7500,"7.5K+")</f>
        <v>5.5-7.5K</v>
      </c>
      <c r="U373">
        <f t="shared" si="5"/>
        <v>1</v>
      </c>
    </row>
    <row r="374" spans="1:21" x14ac:dyDescent="0.25">
      <c r="A374">
        <v>1426</v>
      </c>
      <c r="B374">
        <v>20</v>
      </c>
      <c r="C374" t="s">
        <v>23</v>
      </c>
      <c r="D374" t="s">
        <v>27</v>
      </c>
      <c r="E374" t="s">
        <v>44</v>
      </c>
      <c r="F374" t="s">
        <v>29</v>
      </c>
      <c r="G374" t="s">
        <v>33</v>
      </c>
      <c r="H374" t="s">
        <v>30</v>
      </c>
      <c r="I374">
        <v>8</v>
      </c>
      <c r="J374" s="2">
        <v>3832</v>
      </c>
      <c r="K374" t="s">
        <v>22</v>
      </c>
      <c r="L374">
        <v>2</v>
      </c>
      <c r="M374">
        <v>3</v>
      </c>
      <c r="N374">
        <v>0</v>
      </c>
      <c r="O374">
        <v>0</v>
      </c>
      <c r="P374">
        <v>0</v>
      </c>
      <c r="Q374" t="s">
        <v>22</v>
      </c>
      <c r="R374" t="str" cm="1">
        <f t="array" ref="R374">_xlfn.IFS(N374&lt;=1,"0-1 yrs",N374&lt;=4,"2-4 yrs",N374&lt;=9,"5-9 yrs",N374&gt;9,"10+ yrs")</f>
        <v>0-1 yrs</v>
      </c>
      <c r="S374" t="str" cm="1">
        <f t="array" ref="S374">_xlfn.IFS(B374&lt;=25,"20-25",B374&lt;=35,"26-35",B374&lt;=45,"36-45",B374&gt;45,"46+")</f>
        <v>20-25</v>
      </c>
      <c r="T374" t="str" cm="1">
        <f t="array" ref="T374">_xlfn.IFS(J374&lt;3500,"&lt;3.5K",J374&lt;5500,"3.5-5.5K",J374&lt;7500,"5.5-7.5K",J374&gt;=7500,"7.5K+")</f>
        <v>3.5-5.5K</v>
      </c>
      <c r="U374">
        <f t="shared" si="5"/>
        <v>0</v>
      </c>
    </row>
    <row r="375" spans="1:21" x14ac:dyDescent="0.25">
      <c r="A375">
        <v>1155</v>
      </c>
      <c r="B375">
        <v>26</v>
      </c>
      <c r="C375" t="s">
        <v>16</v>
      </c>
      <c r="D375" t="s">
        <v>47</v>
      </c>
      <c r="E375" t="s">
        <v>50</v>
      </c>
      <c r="F375" t="s">
        <v>32</v>
      </c>
      <c r="G375" t="s">
        <v>33</v>
      </c>
      <c r="H375" t="s">
        <v>21</v>
      </c>
      <c r="I375">
        <v>28</v>
      </c>
      <c r="J375" s="2">
        <v>4500</v>
      </c>
      <c r="K375" t="s">
        <v>42</v>
      </c>
      <c r="L375">
        <v>3</v>
      </c>
      <c r="M375">
        <v>4</v>
      </c>
      <c r="N375">
        <v>2</v>
      </c>
      <c r="O375">
        <v>0</v>
      </c>
      <c r="P375">
        <v>4</v>
      </c>
      <c r="Q375" t="s">
        <v>42</v>
      </c>
      <c r="R375" t="str" cm="1">
        <f t="array" ref="R375">_xlfn.IFS(N375&lt;=1,"0-1 yrs",N375&lt;=4,"2-4 yrs",N375&lt;=9,"5-9 yrs",N375&gt;9,"10+ yrs")</f>
        <v>2-4 yrs</v>
      </c>
      <c r="S375" t="str" cm="1">
        <f t="array" ref="S375">_xlfn.IFS(B375&lt;=25,"20-25",B375&lt;=35,"26-35",B375&lt;=45,"36-45",B375&gt;45,"46+")</f>
        <v>26-35</v>
      </c>
      <c r="T375" t="str" cm="1">
        <f t="array" ref="T375">_xlfn.IFS(J375&lt;3500,"&lt;3.5K",J375&lt;5500,"3.5-5.5K",J375&lt;7500,"5.5-7.5K",J375&gt;=7500,"7.5K+")</f>
        <v>3.5-5.5K</v>
      </c>
      <c r="U375">
        <f t="shared" si="5"/>
        <v>1</v>
      </c>
    </row>
    <row r="376" spans="1:21" x14ac:dyDescent="0.25">
      <c r="A376">
        <v>1333</v>
      </c>
      <c r="B376">
        <v>57</v>
      </c>
      <c r="C376" t="s">
        <v>16</v>
      </c>
      <c r="D376" t="s">
        <v>17</v>
      </c>
      <c r="E376" t="s">
        <v>40</v>
      </c>
      <c r="F376" t="s">
        <v>19</v>
      </c>
      <c r="G376" t="s">
        <v>37</v>
      </c>
      <c r="H376" t="s">
        <v>34</v>
      </c>
      <c r="I376">
        <v>3</v>
      </c>
      <c r="J376" s="2">
        <v>9765</v>
      </c>
      <c r="K376" t="s">
        <v>42</v>
      </c>
      <c r="L376">
        <v>1</v>
      </c>
      <c r="M376">
        <v>2</v>
      </c>
      <c r="N376">
        <v>19</v>
      </c>
      <c r="O376">
        <v>4</v>
      </c>
      <c r="P376">
        <v>34</v>
      </c>
      <c r="Q376" t="s">
        <v>22</v>
      </c>
      <c r="R376" t="str" cm="1">
        <f t="array" ref="R376">_xlfn.IFS(N376&lt;=1,"0-1 yrs",N376&lt;=4,"2-4 yrs",N376&lt;=9,"5-9 yrs",N376&gt;9,"10+ yrs")</f>
        <v>10+ yrs</v>
      </c>
      <c r="S376" t="str" cm="1">
        <f t="array" ref="S376">_xlfn.IFS(B376&lt;=25,"20-25",B376&lt;=35,"26-35",B376&lt;=45,"36-45",B376&gt;45,"46+")</f>
        <v>46+</v>
      </c>
      <c r="T376" t="str" cm="1">
        <f t="array" ref="T376">_xlfn.IFS(J376&lt;3500,"&lt;3.5K",J376&lt;5500,"3.5-5.5K",J376&lt;7500,"5.5-7.5K",J376&gt;=7500,"7.5K+")</f>
        <v>7.5K+</v>
      </c>
      <c r="U376">
        <f t="shared" si="5"/>
        <v>0</v>
      </c>
    </row>
    <row r="377" spans="1:21" x14ac:dyDescent="0.25">
      <c r="A377">
        <v>1961</v>
      </c>
      <c r="B377">
        <v>49</v>
      </c>
      <c r="C377" t="s">
        <v>16</v>
      </c>
      <c r="D377" t="s">
        <v>27</v>
      </c>
      <c r="E377" t="s">
        <v>28</v>
      </c>
      <c r="F377" t="s">
        <v>41</v>
      </c>
      <c r="G377" t="s">
        <v>33</v>
      </c>
      <c r="H377" t="s">
        <v>34</v>
      </c>
      <c r="I377">
        <v>24</v>
      </c>
      <c r="J377" s="2">
        <v>13791</v>
      </c>
      <c r="K377" t="s">
        <v>42</v>
      </c>
      <c r="L377">
        <v>4</v>
      </c>
      <c r="M377">
        <v>4</v>
      </c>
      <c r="N377">
        <v>25</v>
      </c>
      <c r="O377">
        <v>12</v>
      </c>
      <c r="P377">
        <v>28</v>
      </c>
      <c r="Q377" t="s">
        <v>22</v>
      </c>
      <c r="R377" t="str" cm="1">
        <f t="array" ref="R377">_xlfn.IFS(N377&lt;=1,"0-1 yrs",N377&lt;=4,"2-4 yrs",N377&lt;=9,"5-9 yrs",N377&gt;9,"10+ yrs")</f>
        <v>10+ yrs</v>
      </c>
      <c r="S377" t="str" cm="1">
        <f t="array" ref="S377">_xlfn.IFS(B377&lt;=25,"20-25",B377&lt;=35,"26-35",B377&lt;=45,"36-45",B377&gt;45,"46+")</f>
        <v>46+</v>
      </c>
      <c r="T377" t="str" cm="1">
        <f t="array" ref="T377">_xlfn.IFS(J377&lt;3500,"&lt;3.5K",J377&lt;5500,"3.5-5.5K",J377&lt;7500,"5.5-7.5K",J377&gt;=7500,"7.5K+")</f>
        <v>7.5K+</v>
      </c>
      <c r="U377">
        <f t="shared" si="5"/>
        <v>0</v>
      </c>
    </row>
    <row r="378" spans="1:21" x14ac:dyDescent="0.25">
      <c r="A378">
        <v>1756</v>
      </c>
      <c r="B378">
        <v>38</v>
      </c>
      <c r="C378" t="s">
        <v>23</v>
      </c>
      <c r="D378" t="s">
        <v>38</v>
      </c>
      <c r="E378" t="s">
        <v>39</v>
      </c>
      <c r="F378" t="s">
        <v>26</v>
      </c>
      <c r="G378" t="s">
        <v>33</v>
      </c>
      <c r="H378" t="s">
        <v>21</v>
      </c>
      <c r="I378">
        <v>24</v>
      </c>
      <c r="J378" s="2">
        <v>8886</v>
      </c>
      <c r="K378" t="s">
        <v>22</v>
      </c>
      <c r="L378">
        <v>3</v>
      </c>
      <c r="M378">
        <v>2</v>
      </c>
      <c r="N378">
        <v>3</v>
      </c>
      <c r="O378">
        <v>0</v>
      </c>
      <c r="P378">
        <v>17</v>
      </c>
      <c r="Q378" t="s">
        <v>22</v>
      </c>
      <c r="R378" t="str" cm="1">
        <f t="array" ref="R378">_xlfn.IFS(N378&lt;=1,"0-1 yrs",N378&lt;=4,"2-4 yrs",N378&lt;=9,"5-9 yrs",N378&gt;9,"10+ yrs")</f>
        <v>2-4 yrs</v>
      </c>
      <c r="S378" t="str" cm="1">
        <f t="array" ref="S378">_xlfn.IFS(B378&lt;=25,"20-25",B378&lt;=35,"26-35",B378&lt;=45,"36-45",B378&gt;45,"46+")</f>
        <v>36-45</v>
      </c>
      <c r="T378" t="str" cm="1">
        <f t="array" ref="T378">_xlfn.IFS(J378&lt;3500,"&lt;3.5K",J378&lt;5500,"3.5-5.5K",J378&lt;7500,"5.5-7.5K",J378&gt;=7500,"7.5K+")</f>
        <v>7.5K+</v>
      </c>
      <c r="U378">
        <f t="shared" si="5"/>
        <v>0</v>
      </c>
    </row>
    <row r="379" spans="1:21" x14ac:dyDescent="0.25">
      <c r="A379">
        <v>1856</v>
      </c>
      <c r="B379">
        <v>51</v>
      </c>
      <c r="C379" t="s">
        <v>23</v>
      </c>
      <c r="D379" t="s">
        <v>38</v>
      </c>
      <c r="E379" t="s">
        <v>49</v>
      </c>
      <c r="F379" t="s">
        <v>19</v>
      </c>
      <c r="G379" t="s">
        <v>37</v>
      </c>
      <c r="H379" t="s">
        <v>34</v>
      </c>
      <c r="I379">
        <v>13</v>
      </c>
      <c r="J379" s="2">
        <v>11961</v>
      </c>
      <c r="K379" t="s">
        <v>22</v>
      </c>
      <c r="L379">
        <v>2</v>
      </c>
      <c r="M379">
        <v>3</v>
      </c>
      <c r="N379">
        <v>0</v>
      </c>
      <c r="O379">
        <v>0</v>
      </c>
      <c r="P379">
        <v>16</v>
      </c>
      <c r="Q379" t="s">
        <v>22</v>
      </c>
      <c r="R379" t="str" cm="1">
        <f t="array" ref="R379">_xlfn.IFS(N379&lt;=1,"0-1 yrs",N379&lt;=4,"2-4 yrs",N379&lt;=9,"5-9 yrs",N379&gt;9,"10+ yrs")</f>
        <v>0-1 yrs</v>
      </c>
      <c r="S379" t="str" cm="1">
        <f t="array" ref="S379">_xlfn.IFS(B379&lt;=25,"20-25",B379&lt;=35,"26-35",B379&lt;=45,"36-45",B379&gt;45,"46+")</f>
        <v>46+</v>
      </c>
      <c r="T379" t="str" cm="1">
        <f t="array" ref="T379">_xlfn.IFS(J379&lt;3500,"&lt;3.5K",J379&lt;5500,"3.5-5.5K",J379&lt;7500,"5.5-7.5K",J379&gt;=7500,"7.5K+")</f>
        <v>7.5K+</v>
      </c>
      <c r="U379">
        <f t="shared" si="5"/>
        <v>0</v>
      </c>
    </row>
    <row r="380" spans="1:21" x14ac:dyDescent="0.25">
      <c r="A380">
        <v>1076</v>
      </c>
      <c r="B380">
        <v>56</v>
      </c>
      <c r="C380" t="s">
        <v>23</v>
      </c>
      <c r="D380" t="s">
        <v>17</v>
      </c>
      <c r="E380" t="s">
        <v>40</v>
      </c>
      <c r="F380" t="s">
        <v>36</v>
      </c>
      <c r="G380" t="s">
        <v>20</v>
      </c>
      <c r="H380" t="s">
        <v>34</v>
      </c>
      <c r="I380">
        <v>26</v>
      </c>
      <c r="J380" s="2">
        <v>13851</v>
      </c>
      <c r="K380" t="s">
        <v>22</v>
      </c>
      <c r="L380">
        <v>2</v>
      </c>
      <c r="M380">
        <v>3</v>
      </c>
      <c r="N380">
        <v>17</v>
      </c>
      <c r="O380">
        <v>6</v>
      </c>
      <c r="P380">
        <v>34</v>
      </c>
      <c r="Q380" t="s">
        <v>22</v>
      </c>
      <c r="R380" t="str" cm="1">
        <f t="array" ref="R380">_xlfn.IFS(N380&lt;=1,"0-1 yrs",N380&lt;=4,"2-4 yrs",N380&lt;=9,"5-9 yrs",N380&gt;9,"10+ yrs")</f>
        <v>10+ yrs</v>
      </c>
      <c r="S380" t="str" cm="1">
        <f t="array" ref="S380">_xlfn.IFS(B380&lt;=25,"20-25",B380&lt;=35,"26-35",B380&lt;=45,"36-45",B380&gt;45,"46+")</f>
        <v>46+</v>
      </c>
      <c r="T380" t="str" cm="1">
        <f t="array" ref="T380">_xlfn.IFS(J380&lt;3500,"&lt;3.5K",J380&lt;5500,"3.5-5.5K",J380&lt;7500,"5.5-7.5K",J380&gt;=7500,"7.5K+")</f>
        <v>7.5K+</v>
      </c>
      <c r="U380">
        <f t="shared" si="5"/>
        <v>0</v>
      </c>
    </row>
    <row r="381" spans="1:21" x14ac:dyDescent="0.25">
      <c r="A381">
        <v>1327</v>
      </c>
      <c r="B381">
        <v>54</v>
      </c>
      <c r="C381" t="s">
        <v>23</v>
      </c>
      <c r="D381" t="s">
        <v>27</v>
      </c>
      <c r="E381" t="s">
        <v>44</v>
      </c>
      <c r="F381" t="s">
        <v>38</v>
      </c>
      <c r="G381" t="s">
        <v>37</v>
      </c>
      <c r="H381" t="s">
        <v>21</v>
      </c>
      <c r="I381">
        <v>20</v>
      </c>
      <c r="J381" s="2">
        <v>10332</v>
      </c>
      <c r="K381" t="s">
        <v>22</v>
      </c>
      <c r="L381">
        <v>3</v>
      </c>
      <c r="M381">
        <v>1</v>
      </c>
      <c r="N381">
        <v>2</v>
      </c>
      <c r="O381">
        <v>0</v>
      </c>
      <c r="P381">
        <v>31</v>
      </c>
      <c r="Q381" t="s">
        <v>22</v>
      </c>
      <c r="R381" t="str" cm="1">
        <f t="array" ref="R381">_xlfn.IFS(N381&lt;=1,"0-1 yrs",N381&lt;=4,"2-4 yrs",N381&lt;=9,"5-9 yrs",N381&gt;9,"10+ yrs")</f>
        <v>2-4 yrs</v>
      </c>
      <c r="S381" t="str" cm="1">
        <f t="array" ref="S381">_xlfn.IFS(B381&lt;=25,"20-25",B381&lt;=35,"26-35",B381&lt;=45,"36-45",B381&gt;45,"46+")</f>
        <v>46+</v>
      </c>
      <c r="T381" t="str" cm="1">
        <f t="array" ref="T381">_xlfn.IFS(J381&lt;3500,"&lt;3.5K",J381&lt;5500,"3.5-5.5K",J381&lt;7500,"5.5-7.5K",J381&gt;=7500,"7.5K+")</f>
        <v>7.5K+</v>
      </c>
      <c r="U381">
        <f t="shared" si="5"/>
        <v>0</v>
      </c>
    </row>
    <row r="382" spans="1:21" x14ac:dyDescent="0.25">
      <c r="A382">
        <v>1223</v>
      </c>
      <c r="B382">
        <v>40</v>
      </c>
      <c r="C382" t="s">
        <v>16</v>
      </c>
      <c r="D382" t="s">
        <v>17</v>
      </c>
      <c r="E382" t="s">
        <v>35</v>
      </c>
      <c r="F382" t="s">
        <v>19</v>
      </c>
      <c r="G382" t="s">
        <v>20</v>
      </c>
      <c r="H382" t="s">
        <v>34</v>
      </c>
      <c r="I382">
        <v>8</v>
      </c>
      <c r="J382" s="2">
        <v>11334</v>
      </c>
      <c r="K382" t="s">
        <v>42</v>
      </c>
      <c r="L382">
        <v>4</v>
      </c>
      <c r="M382">
        <v>1</v>
      </c>
      <c r="N382">
        <v>2</v>
      </c>
      <c r="O382">
        <v>2</v>
      </c>
      <c r="P382">
        <v>20</v>
      </c>
      <c r="Q382" t="s">
        <v>22</v>
      </c>
      <c r="R382" t="str" cm="1">
        <f t="array" ref="R382">_xlfn.IFS(N382&lt;=1,"0-1 yrs",N382&lt;=4,"2-4 yrs",N382&lt;=9,"5-9 yrs",N382&gt;9,"10+ yrs")</f>
        <v>2-4 yrs</v>
      </c>
      <c r="S382" t="str" cm="1">
        <f t="array" ref="S382">_xlfn.IFS(B382&lt;=25,"20-25",B382&lt;=35,"26-35",B382&lt;=45,"36-45",B382&gt;45,"46+")</f>
        <v>36-45</v>
      </c>
      <c r="T382" t="str" cm="1">
        <f t="array" ref="T382">_xlfn.IFS(J382&lt;3500,"&lt;3.5K",J382&lt;5500,"3.5-5.5K",J382&lt;7500,"5.5-7.5K",J382&gt;=7500,"7.5K+")</f>
        <v>7.5K+</v>
      </c>
      <c r="U382">
        <f t="shared" si="5"/>
        <v>0</v>
      </c>
    </row>
    <row r="383" spans="1:21" x14ac:dyDescent="0.25">
      <c r="A383">
        <v>1679</v>
      </c>
      <c r="B383">
        <v>25</v>
      </c>
      <c r="C383" t="s">
        <v>16</v>
      </c>
      <c r="D383" t="s">
        <v>24</v>
      </c>
      <c r="E383" t="s">
        <v>25</v>
      </c>
      <c r="F383" t="s">
        <v>29</v>
      </c>
      <c r="G383" t="s">
        <v>20</v>
      </c>
      <c r="H383" t="s">
        <v>34</v>
      </c>
      <c r="I383">
        <v>5</v>
      </c>
      <c r="J383" s="2">
        <v>10952</v>
      </c>
      <c r="K383" t="s">
        <v>22</v>
      </c>
      <c r="M383">
        <v>4</v>
      </c>
      <c r="N383">
        <v>3</v>
      </c>
      <c r="O383">
        <v>2</v>
      </c>
      <c r="P383">
        <v>5</v>
      </c>
      <c r="Q383" t="s">
        <v>22</v>
      </c>
      <c r="R383" t="str" cm="1">
        <f t="array" ref="R383">_xlfn.IFS(N383&lt;=1,"0-1 yrs",N383&lt;=4,"2-4 yrs",N383&lt;=9,"5-9 yrs",N383&gt;9,"10+ yrs")</f>
        <v>2-4 yrs</v>
      </c>
      <c r="S383" t="str" cm="1">
        <f t="array" ref="S383">_xlfn.IFS(B383&lt;=25,"20-25",B383&lt;=35,"26-35",B383&lt;=45,"36-45",B383&gt;45,"46+")</f>
        <v>20-25</v>
      </c>
      <c r="T383" t="str" cm="1">
        <f t="array" ref="T383">_xlfn.IFS(J383&lt;3500,"&lt;3.5K",J383&lt;5500,"3.5-5.5K",J383&lt;7500,"5.5-7.5K",J383&gt;=7500,"7.5K+")</f>
        <v>7.5K+</v>
      </c>
      <c r="U383">
        <f t="shared" si="5"/>
        <v>0</v>
      </c>
    </row>
    <row r="384" spans="1:21" x14ac:dyDescent="0.25">
      <c r="A384">
        <v>1508</v>
      </c>
      <c r="B384">
        <v>57</v>
      </c>
      <c r="C384" t="s">
        <v>16</v>
      </c>
      <c r="D384" t="s">
        <v>24</v>
      </c>
      <c r="E384" t="s">
        <v>45</v>
      </c>
      <c r="F384" t="s">
        <v>41</v>
      </c>
      <c r="G384" t="s">
        <v>20</v>
      </c>
      <c r="H384" t="s">
        <v>30</v>
      </c>
      <c r="I384">
        <v>23</v>
      </c>
      <c r="J384" s="2">
        <v>12708</v>
      </c>
      <c r="K384" t="s">
        <v>22</v>
      </c>
      <c r="L384">
        <v>1</v>
      </c>
      <c r="M384">
        <v>1</v>
      </c>
      <c r="N384">
        <v>12</v>
      </c>
      <c r="O384">
        <v>0</v>
      </c>
      <c r="P384">
        <v>33</v>
      </c>
      <c r="Q384" t="s">
        <v>22</v>
      </c>
      <c r="R384" t="str" cm="1">
        <f t="array" ref="R384">_xlfn.IFS(N384&lt;=1,"0-1 yrs",N384&lt;=4,"2-4 yrs",N384&lt;=9,"5-9 yrs",N384&gt;9,"10+ yrs")</f>
        <v>10+ yrs</v>
      </c>
      <c r="S384" t="str" cm="1">
        <f t="array" ref="S384">_xlfn.IFS(B384&lt;=25,"20-25",B384&lt;=35,"26-35",B384&lt;=45,"36-45",B384&gt;45,"46+")</f>
        <v>46+</v>
      </c>
      <c r="T384" t="str" cm="1">
        <f t="array" ref="T384">_xlfn.IFS(J384&lt;3500,"&lt;3.5K",J384&lt;5500,"3.5-5.5K",J384&lt;7500,"5.5-7.5K",J384&gt;=7500,"7.5K+")</f>
        <v>7.5K+</v>
      </c>
      <c r="U384">
        <f t="shared" si="5"/>
        <v>0</v>
      </c>
    </row>
    <row r="385" spans="1:21" x14ac:dyDescent="0.25">
      <c r="A385">
        <v>1430</v>
      </c>
      <c r="B385">
        <v>37</v>
      </c>
      <c r="C385" t="s">
        <v>23</v>
      </c>
      <c r="D385" t="s">
        <v>17</v>
      </c>
      <c r="E385" t="s">
        <v>35</v>
      </c>
      <c r="F385" t="s">
        <v>36</v>
      </c>
      <c r="G385" t="s">
        <v>33</v>
      </c>
      <c r="H385" t="s">
        <v>21</v>
      </c>
      <c r="I385">
        <v>22</v>
      </c>
      <c r="J385" s="2">
        <v>5173</v>
      </c>
      <c r="K385" t="s">
        <v>22</v>
      </c>
      <c r="L385">
        <v>3</v>
      </c>
      <c r="M385">
        <v>1</v>
      </c>
      <c r="N385">
        <v>9</v>
      </c>
      <c r="O385">
        <v>3</v>
      </c>
      <c r="P385">
        <v>10</v>
      </c>
      <c r="Q385" t="s">
        <v>22</v>
      </c>
      <c r="R385" t="str" cm="1">
        <f t="array" ref="R385">_xlfn.IFS(N385&lt;=1,"0-1 yrs",N385&lt;=4,"2-4 yrs",N385&lt;=9,"5-9 yrs",N385&gt;9,"10+ yrs")</f>
        <v>5-9 yrs</v>
      </c>
      <c r="S385" t="str" cm="1">
        <f t="array" ref="S385">_xlfn.IFS(B385&lt;=25,"20-25",B385&lt;=35,"26-35",B385&lt;=45,"36-45",B385&gt;45,"46+")</f>
        <v>36-45</v>
      </c>
      <c r="T385" t="str" cm="1">
        <f t="array" ref="T385">_xlfn.IFS(J385&lt;3500,"&lt;3.5K",J385&lt;5500,"3.5-5.5K",J385&lt;7500,"5.5-7.5K",J385&gt;=7500,"7.5K+")</f>
        <v>3.5-5.5K</v>
      </c>
      <c r="U385">
        <f t="shared" si="5"/>
        <v>0</v>
      </c>
    </row>
    <row r="386" spans="1:21" x14ac:dyDescent="0.25">
      <c r="A386">
        <v>1906</v>
      </c>
      <c r="B386">
        <v>25</v>
      </c>
      <c r="C386" t="s">
        <v>16</v>
      </c>
      <c r="D386" t="s">
        <v>17</v>
      </c>
      <c r="E386" t="s">
        <v>18</v>
      </c>
      <c r="F386" t="s">
        <v>19</v>
      </c>
      <c r="G386" t="s">
        <v>20</v>
      </c>
      <c r="H386" t="s">
        <v>21</v>
      </c>
      <c r="I386">
        <v>28</v>
      </c>
      <c r="J386" s="2">
        <v>7768</v>
      </c>
      <c r="K386" t="s">
        <v>42</v>
      </c>
      <c r="L386">
        <v>2</v>
      </c>
      <c r="M386">
        <v>4</v>
      </c>
      <c r="N386">
        <v>0</v>
      </c>
      <c r="O386">
        <v>0</v>
      </c>
      <c r="P386">
        <v>0</v>
      </c>
      <c r="Q386" t="s">
        <v>22</v>
      </c>
      <c r="R386" t="str" cm="1">
        <f t="array" ref="R386">_xlfn.IFS(N386&lt;=1,"0-1 yrs",N386&lt;=4,"2-4 yrs",N386&lt;=9,"5-9 yrs",N386&gt;9,"10+ yrs")</f>
        <v>0-1 yrs</v>
      </c>
      <c r="S386" t="str" cm="1">
        <f t="array" ref="S386">_xlfn.IFS(B386&lt;=25,"20-25",B386&lt;=35,"26-35",B386&lt;=45,"36-45",B386&gt;45,"46+")</f>
        <v>20-25</v>
      </c>
      <c r="T386" t="str" cm="1">
        <f t="array" ref="T386">_xlfn.IFS(J386&lt;3500,"&lt;3.5K",J386&lt;5500,"3.5-5.5K",J386&lt;7500,"5.5-7.5K",J386&gt;=7500,"7.5K+")</f>
        <v>7.5K+</v>
      </c>
      <c r="U386">
        <f t="shared" si="5"/>
        <v>0</v>
      </c>
    </row>
    <row r="387" spans="1:21" x14ac:dyDescent="0.25">
      <c r="A387">
        <v>1569</v>
      </c>
      <c r="B387">
        <v>25</v>
      </c>
      <c r="C387" t="s">
        <v>16</v>
      </c>
      <c r="D387" t="s">
        <v>27</v>
      </c>
      <c r="E387" t="s">
        <v>44</v>
      </c>
      <c r="F387" t="s">
        <v>32</v>
      </c>
      <c r="G387" t="s">
        <v>37</v>
      </c>
      <c r="H387" t="s">
        <v>34</v>
      </c>
      <c r="I387">
        <v>18</v>
      </c>
      <c r="J387" s="2">
        <v>6933</v>
      </c>
      <c r="K387" t="s">
        <v>22</v>
      </c>
      <c r="L387">
        <v>2</v>
      </c>
      <c r="M387">
        <v>4</v>
      </c>
      <c r="N387">
        <v>0</v>
      </c>
      <c r="O387">
        <v>0</v>
      </c>
      <c r="P387">
        <v>0</v>
      </c>
      <c r="Q387" t="s">
        <v>42</v>
      </c>
      <c r="R387" t="str" cm="1">
        <f t="array" ref="R387">_xlfn.IFS(N387&lt;=1,"0-1 yrs",N387&lt;=4,"2-4 yrs",N387&lt;=9,"5-9 yrs",N387&gt;9,"10+ yrs")</f>
        <v>0-1 yrs</v>
      </c>
      <c r="S387" t="str" cm="1">
        <f t="array" ref="S387">_xlfn.IFS(B387&lt;=25,"20-25",B387&lt;=35,"26-35",B387&lt;=45,"36-45",B387&gt;45,"46+")</f>
        <v>20-25</v>
      </c>
      <c r="T387" t="str" cm="1">
        <f t="array" ref="T387">_xlfn.IFS(J387&lt;3500,"&lt;3.5K",J387&lt;5500,"3.5-5.5K",J387&lt;7500,"5.5-7.5K",J387&gt;=7500,"7.5K+")</f>
        <v>5.5-7.5K</v>
      </c>
      <c r="U387">
        <f t="shared" ref="U387:U450" si="6">IF(Q387="Yes",1,0)</f>
        <v>1</v>
      </c>
    </row>
    <row r="388" spans="1:21" x14ac:dyDescent="0.25">
      <c r="A388">
        <v>1547</v>
      </c>
      <c r="B388">
        <v>53</v>
      </c>
      <c r="C388" t="s">
        <v>23</v>
      </c>
      <c r="D388" t="s">
        <v>17</v>
      </c>
      <c r="E388" t="s">
        <v>18</v>
      </c>
      <c r="F388" t="s">
        <v>36</v>
      </c>
      <c r="G388" t="s">
        <v>20</v>
      </c>
      <c r="H388" t="s">
        <v>34</v>
      </c>
      <c r="I388">
        <v>18</v>
      </c>
      <c r="J388" s="2">
        <v>13296</v>
      </c>
      <c r="K388" t="s">
        <v>22</v>
      </c>
      <c r="L388">
        <v>1</v>
      </c>
      <c r="M388">
        <v>3</v>
      </c>
      <c r="N388">
        <v>24</v>
      </c>
      <c r="O388">
        <v>1</v>
      </c>
      <c r="P388">
        <v>24</v>
      </c>
      <c r="Q388" t="s">
        <v>22</v>
      </c>
      <c r="R388" t="str" cm="1">
        <f t="array" ref="R388">_xlfn.IFS(N388&lt;=1,"0-1 yrs",N388&lt;=4,"2-4 yrs",N388&lt;=9,"5-9 yrs",N388&gt;9,"10+ yrs")</f>
        <v>10+ yrs</v>
      </c>
      <c r="S388" t="str" cm="1">
        <f t="array" ref="S388">_xlfn.IFS(B388&lt;=25,"20-25",B388&lt;=35,"26-35",B388&lt;=45,"36-45",B388&gt;45,"46+")</f>
        <v>46+</v>
      </c>
      <c r="T388" t="str" cm="1">
        <f t="array" ref="T388">_xlfn.IFS(J388&lt;3500,"&lt;3.5K",J388&lt;5500,"3.5-5.5K",J388&lt;7500,"5.5-7.5K",J388&gt;=7500,"7.5K+")</f>
        <v>7.5K+</v>
      </c>
      <c r="U388">
        <f t="shared" si="6"/>
        <v>0</v>
      </c>
    </row>
    <row r="389" spans="1:21" x14ac:dyDescent="0.25">
      <c r="A389">
        <v>1930</v>
      </c>
      <c r="B389">
        <v>37</v>
      </c>
      <c r="C389" t="s">
        <v>16</v>
      </c>
      <c r="D389" t="s">
        <v>47</v>
      </c>
      <c r="E389" t="s">
        <v>53</v>
      </c>
      <c r="F389" t="s">
        <v>41</v>
      </c>
      <c r="G389" t="s">
        <v>33</v>
      </c>
      <c r="H389" t="s">
        <v>30</v>
      </c>
      <c r="I389">
        <v>1</v>
      </c>
      <c r="J389" s="2">
        <v>11668</v>
      </c>
      <c r="K389" t="s">
        <v>42</v>
      </c>
      <c r="L389">
        <v>2</v>
      </c>
      <c r="M389">
        <v>4</v>
      </c>
      <c r="N389">
        <v>6</v>
      </c>
      <c r="O389">
        <v>3</v>
      </c>
      <c r="P389">
        <v>12</v>
      </c>
      <c r="Q389" t="s">
        <v>22</v>
      </c>
      <c r="R389" t="str" cm="1">
        <f t="array" ref="R389">_xlfn.IFS(N389&lt;=1,"0-1 yrs",N389&lt;=4,"2-4 yrs",N389&lt;=9,"5-9 yrs",N389&gt;9,"10+ yrs")</f>
        <v>5-9 yrs</v>
      </c>
      <c r="S389" t="str" cm="1">
        <f t="array" ref="S389">_xlfn.IFS(B389&lt;=25,"20-25",B389&lt;=35,"26-35",B389&lt;=45,"36-45",B389&gt;45,"46+")</f>
        <v>36-45</v>
      </c>
      <c r="T389" t="str" cm="1">
        <f t="array" ref="T389">_xlfn.IFS(J389&lt;3500,"&lt;3.5K",J389&lt;5500,"3.5-5.5K",J389&lt;7500,"5.5-7.5K",J389&gt;=7500,"7.5K+")</f>
        <v>7.5K+</v>
      </c>
      <c r="U389">
        <f t="shared" si="6"/>
        <v>0</v>
      </c>
    </row>
    <row r="390" spans="1:21" x14ac:dyDescent="0.25">
      <c r="A390">
        <v>1962</v>
      </c>
      <c r="B390">
        <v>60</v>
      </c>
      <c r="C390" t="s">
        <v>23</v>
      </c>
      <c r="D390" t="s">
        <v>27</v>
      </c>
      <c r="E390" t="s">
        <v>28</v>
      </c>
      <c r="F390" t="s">
        <v>32</v>
      </c>
      <c r="G390" t="s">
        <v>20</v>
      </c>
      <c r="H390" t="s">
        <v>21</v>
      </c>
      <c r="I390">
        <v>1</v>
      </c>
      <c r="J390" s="2">
        <v>17517</v>
      </c>
      <c r="K390" t="s">
        <v>42</v>
      </c>
      <c r="L390">
        <v>2</v>
      </c>
      <c r="M390">
        <v>2</v>
      </c>
      <c r="N390">
        <v>13</v>
      </c>
      <c r="O390">
        <v>12</v>
      </c>
      <c r="P390">
        <v>38</v>
      </c>
      <c r="Q390" t="s">
        <v>22</v>
      </c>
      <c r="R390" t="str" cm="1">
        <f t="array" ref="R390">_xlfn.IFS(N390&lt;=1,"0-1 yrs",N390&lt;=4,"2-4 yrs",N390&lt;=9,"5-9 yrs",N390&gt;9,"10+ yrs")</f>
        <v>10+ yrs</v>
      </c>
      <c r="S390" t="str" cm="1">
        <f t="array" ref="S390">_xlfn.IFS(B390&lt;=25,"20-25",B390&lt;=35,"26-35",B390&lt;=45,"36-45",B390&gt;45,"46+")</f>
        <v>46+</v>
      </c>
      <c r="T390" t="str" cm="1">
        <f t="array" ref="T390">_xlfn.IFS(J390&lt;3500,"&lt;3.5K",J390&lt;5500,"3.5-5.5K",J390&lt;7500,"5.5-7.5K",J390&gt;=7500,"7.5K+")</f>
        <v>7.5K+</v>
      </c>
      <c r="U390">
        <f t="shared" si="6"/>
        <v>0</v>
      </c>
    </row>
    <row r="391" spans="1:21" x14ac:dyDescent="0.25">
      <c r="A391">
        <v>1605</v>
      </c>
      <c r="B391">
        <v>21</v>
      </c>
      <c r="C391" t="s">
        <v>16</v>
      </c>
      <c r="D391" t="s">
        <v>27</v>
      </c>
      <c r="E391" t="s">
        <v>43</v>
      </c>
      <c r="F391" t="s">
        <v>41</v>
      </c>
      <c r="G391" t="s">
        <v>37</v>
      </c>
      <c r="H391" t="s">
        <v>21</v>
      </c>
      <c r="I391">
        <v>22</v>
      </c>
      <c r="J391" s="2">
        <v>4413</v>
      </c>
      <c r="K391" t="s">
        <v>22</v>
      </c>
      <c r="L391">
        <v>2</v>
      </c>
      <c r="M391">
        <v>3</v>
      </c>
      <c r="N391">
        <v>0</v>
      </c>
      <c r="O391">
        <v>0</v>
      </c>
      <c r="P391">
        <v>0</v>
      </c>
      <c r="Q391" t="s">
        <v>22</v>
      </c>
      <c r="R391" t="str" cm="1">
        <f t="array" ref="R391">_xlfn.IFS(N391&lt;=1,"0-1 yrs",N391&lt;=4,"2-4 yrs",N391&lt;=9,"5-9 yrs",N391&gt;9,"10+ yrs")</f>
        <v>0-1 yrs</v>
      </c>
      <c r="S391" t="str" cm="1">
        <f t="array" ref="S391">_xlfn.IFS(B391&lt;=25,"20-25",B391&lt;=35,"26-35",B391&lt;=45,"36-45",B391&gt;45,"46+")</f>
        <v>20-25</v>
      </c>
      <c r="T391" t="str" cm="1">
        <f t="array" ref="T391">_xlfn.IFS(J391&lt;3500,"&lt;3.5K",J391&lt;5500,"3.5-5.5K",J391&lt;7500,"5.5-7.5K",J391&gt;=7500,"7.5K+")</f>
        <v>3.5-5.5K</v>
      </c>
      <c r="U391">
        <f t="shared" si="6"/>
        <v>0</v>
      </c>
    </row>
    <row r="392" spans="1:21" x14ac:dyDescent="0.25">
      <c r="A392">
        <v>1760</v>
      </c>
      <c r="B392">
        <v>54</v>
      </c>
      <c r="C392" t="s">
        <v>23</v>
      </c>
      <c r="D392" t="s">
        <v>24</v>
      </c>
      <c r="E392" t="s">
        <v>45</v>
      </c>
      <c r="F392" t="s">
        <v>36</v>
      </c>
      <c r="G392" t="s">
        <v>20</v>
      </c>
      <c r="H392" t="s">
        <v>30</v>
      </c>
      <c r="I392">
        <v>19</v>
      </c>
      <c r="J392" s="2">
        <v>12105</v>
      </c>
      <c r="K392" t="s">
        <v>22</v>
      </c>
      <c r="L392">
        <v>3</v>
      </c>
      <c r="M392">
        <v>3</v>
      </c>
      <c r="N392">
        <v>17</v>
      </c>
      <c r="O392">
        <v>11</v>
      </c>
      <c r="P392">
        <v>34</v>
      </c>
      <c r="Q392" t="s">
        <v>22</v>
      </c>
      <c r="R392" t="str" cm="1">
        <f t="array" ref="R392">_xlfn.IFS(N392&lt;=1,"0-1 yrs",N392&lt;=4,"2-4 yrs",N392&lt;=9,"5-9 yrs",N392&gt;9,"10+ yrs")</f>
        <v>10+ yrs</v>
      </c>
      <c r="S392" t="str" cm="1">
        <f t="array" ref="S392">_xlfn.IFS(B392&lt;=25,"20-25",B392&lt;=35,"26-35",B392&lt;=45,"36-45",B392&gt;45,"46+")</f>
        <v>46+</v>
      </c>
      <c r="T392" t="str" cm="1">
        <f t="array" ref="T392">_xlfn.IFS(J392&lt;3500,"&lt;3.5K",J392&lt;5500,"3.5-5.5K",J392&lt;7500,"5.5-7.5K",J392&gt;=7500,"7.5K+")</f>
        <v>7.5K+</v>
      </c>
      <c r="U392">
        <f t="shared" si="6"/>
        <v>0</v>
      </c>
    </row>
    <row r="393" spans="1:21" x14ac:dyDescent="0.25">
      <c r="A393">
        <v>1847</v>
      </c>
      <c r="B393">
        <v>28</v>
      </c>
      <c r="C393" t="s">
        <v>16</v>
      </c>
      <c r="D393" t="s">
        <v>47</v>
      </c>
      <c r="E393" t="s">
        <v>50</v>
      </c>
      <c r="F393" t="s">
        <v>26</v>
      </c>
      <c r="G393" t="s">
        <v>33</v>
      </c>
      <c r="H393" t="s">
        <v>21</v>
      </c>
      <c r="I393">
        <v>15</v>
      </c>
      <c r="J393" s="2">
        <v>8941</v>
      </c>
      <c r="K393" t="s">
        <v>22</v>
      </c>
      <c r="L393">
        <v>4</v>
      </c>
      <c r="M393">
        <v>2</v>
      </c>
      <c r="N393">
        <v>0</v>
      </c>
      <c r="O393">
        <v>0</v>
      </c>
      <c r="P393">
        <v>1</v>
      </c>
      <c r="Q393" t="s">
        <v>22</v>
      </c>
      <c r="R393" t="str" cm="1">
        <f t="array" ref="R393">_xlfn.IFS(N393&lt;=1,"0-1 yrs",N393&lt;=4,"2-4 yrs",N393&lt;=9,"5-9 yrs",N393&gt;9,"10+ yrs")</f>
        <v>0-1 yrs</v>
      </c>
      <c r="S393" t="str" cm="1">
        <f t="array" ref="S393">_xlfn.IFS(B393&lt;=25,"20-25",B393&lt;=35,"26-35",B393&lt;=45,"36-45",B393&gt;45,"46+")</f>
        <v>26-35</v>
      </c>
      <c r="T393" t="str" cm="1">
        <f t="array" ref="T393">_xlfn.IFS(J393&lt;3500,"&lt;3.5K",J393&lt;5500,"3.5-5.5K",J393&lt;7500,"5.5-7.5K",J393&gt;=7500,"7.5K+")</f>
        <v>7.5K+</v>
      </c>
      <c r="U393">
        <f t="shared" si="6"/>
        <v>0</v>
      </c>
    </row>
    <row r="394" spans="1:21" x14ac:dyDescent="0.25">
      <c r="A394">
        <v>1212</v>
      </c>
      <c r="B394">
        <v>28</v>
      </c>
      <c r="C394" t="s">
        <v>23</v>
      </c>
      <c r="D394" t="s">
        <v>17</v>
      </c>
      <c r="E394" t="s">
        <v>40</v>
      </c>
      <c r="F394" t="s">
        <v>38</v>
      </c>
      <c r="G394" t="s">
        <v>20</v>
      </c>
      <c r="H394" t="s">
        <v>34</v>
      </c>
      <c r="I394">
        <v>3</v>
      </c>
      <c r="J394" s="2">
        <v>7441</v>
      </c>
      <c r="K394" t="s">
        <v>42</v>
      </c>
      <c r="L394">
        <v>3</v>
      </c>
      <c r="M394">
        <v>1</v>
      </c>
      <c r="N394">
        <v>5</v>
      </c>
      <c r="O394">
        <v>5</v>
      </c>
      <c r="P394">
        <v>5</v>
      </c>
      <c r="Q394" t="s">
        <v>42</v>
      </c>
      <c r="R394" t="str" cm="1">
        <f t="array" ref="R394">_xlfn.IFS(N394&lt;=1,"0-1 yrs",N394&lt;=4,"2-4 yrs",N394&lt;=9,"5-9 yrs",N394&gt;9,"10+ yrs")</f>
        <v>5-9 yrs</v>
      </c>
      <c r="S394" t="str" cm="1">
        <f t="array" ref="S394">_xlfn.IFS(B394&lt;=25,"20-25",B394&lt;=35,"26-35",B394&lt;=45,"36-45",B394&gt;45,"46+")</f>
        <v>26-35</v>
      </c>
      <c r="T394" t="str" cm="1">
        <f t="array" ref="T394">_xlfn.IFS(J394&lt;3500,"&lt;3.5K",J394&lt;5500,"3.5-5.5K",J394&lt;7500,"5.5-7.5K",J394&gt;=7500,"7.5K+")</f>
        <v>5.5-7.5K</v>
      </c>
      <c r="U394">
        <f t="shared" si="6"/>
        <v>1</v>
      </c>
    </row>
    <row r="395" spans="1:21" x14ac:dyDescent="0.25">
      <c r="A395">
        <v>1310</v>
      </c>
      <c r="B395">
        <v>46</v>
      </c>
      <c r="C395" t="s">
        <v>16</v>
      </c>
      <c r="D395" t="s">
        <v>27</v>
      </c>
      <c r="E395" t="s">
        <v>44</v>
      </c>
      <c r="F395" t="s">
        <v>19</v>
      </c>
      <c r="G395" t="s">
        <v>33</v>
      </c>
      <c r="H395" t="s">
        <v>30</v>
      </c>
      <c r="I395">
        <v>22</v>
      </c>
      <c r="J395" s="2">
        <v>10313</v>
      </c>
      <c r="K395" t="s">
        <v>42</v>
      </c>
      <c r="L395">
        <v>2</v>
      </c>
      <c r="M395">
        <v>3</v>
      </c>
      <c r="N395">
        <v>0</v>
      </c>
      <c r="O395">
        <v>0</v>
      </c>
      <c r="P395">
        <v>26</v>
      </c>
      <c r="Q395" t="s">
        <v>22</v>
      </c>
      <c r="R395" t="str" cm="1">
        <f t="array" ref="R395">_xlfn.IFS(N395&lt;=1,"0-1 yrs",N395&lt;=4,"2-4 yrs",N395&lt;=9,"5-9 yrs",N395&gt;9,"10+ yrs")</f>
        <v>0-1 yrs</v>
      </c>
      <c r="S395" t="str" cm="1">
        <f t="array" ref="S395">_xlfn.IFS(B395&lt;=25,"20-25",B395&lt;=35,"26-35",B395&lt;=45,"36-45",B395&gt;45,"46+")</f>
        <v>46+</v>
      </c>
      <c r="T395" t="str" cm="1">
        <f t="array" ref="T395">_xlfn.IFS(J395&lt;3500,"&lt;3.5K",J395&lt;5500,"3.5-5.5K",J395&lt;7500,"5.5-7.5K",J395&gt;=7500,"7.5K+")</f>
        <v>7.5K+</v>
      </c>
      <c r="U395">
        <f t="shared" si="6"/>
        <v>0</v>
      </c>
    </row>
    <row r="396" spans="1:21" x14ac:dyDescent="0.25">
      <c r="A396">
        <v>1060</v>
      </c>
      <c r="B396">
        <v>29</v>
      </c>
      <c r="C396" t="s">
        <v>16</v>
      </c>
      <c r="D396" t="s">
        <v>27</v>
      </c>
      <c r="E396" t="s">
        <v>28</v>
      </c>
      <c r="F396" t="s">
        <v>38</v>
      </c>
      <c r="G396" t="s">
        <v>33</v>
      </c>
      <c r="H396" t="s">
        <v>30</v>
      </c>
      <c r="I396">
        <v>28</v>
      </c>
      <c r="J396" s="2">
        <v>10131</v>
      </c>
      <c r="K396" t="s">
        <v>22</v>
      </c>
      <c r="L396">
        <v>4</v>
      </c>
      <c r="M396">
        <v>4</v>
      </c>
      <c r="N396">
        <v>0</v>
      </c>
      <c r="O396">
        <v>0</v>
      </c>
      <c r="P396">
        <v>0</v>
      </c>
      <c r="Q396" t="s">
        <v>42</v>
      </c>
      <c r="R396" t="str" cm="1">
        <f t="array" ref="R396">_xlfn.IFS(N396&lt;=1,"0-1 yrs",N396&lt;=4,"2-4 yrs",N396&lt;=9,"5-9 yrs",N396&gt;9,"10+ yrs")</f>
        <v>0-1 yrs</v>
      </c>
      <c r="S396" t="str" cm="1">
        <f t="array" ref="S396">_xlfn.IFS(B396&lt;=25,"20-25",B396&lt;=35,"26-35",B396&lt;=45,"36-45",B396&gt;45,"46+")</f>
        <v>26-35</v>
      </c>
      <c r="T396" t="str" cm="1">
        <f t="array" ref="T396">_xlfn.IFS(J396&lt;3500,"&lt;3.5K",J396&lt;5500,"3.5-5.5K",J396&lt;7500,"5.5-7.5K",J396&gt;=7500,"7.5K+")</f>
        <v>7.5K+</v>
      </c>
      <c r="U396">
        <f t="shared" si="6"/>
        <v>1</v>
      </c>
    </row>
    <row r="397" spans="1:21" x14ac:dyDescent="0.25">
      <c r="A397">
        <v>1529</v>
      </c>
      <c r="B397">
        <v>24</v>
      </c>
      <c r="C397" t="s">
        <v>16</v>
      </c>
      <c r="D397" t="s">
        <v>17</v>
      </c>
      <c r="E397" t="s">
        <v>35</v>
      </c>
      <c r="F397" t="s">
        <v>32</v>
      </c>
      <c r="G397" t="s">
        <v>33</v>
      </c>
      <c r="H397" t="s">
        <v>30</v>
      </c>
      <c r="I397">
        <v>24</v>
      </c>
      <c r="J397" s="2">
        <v>4681</v>
      </c>
      <c r="K397" t="s">
        <v>22</v>
      </c>
      <c r="L397">
        <v>3</v>
      </c>
      <c r="M397">
        <v>4</v>
      </c>
      <c r="N397">
        <v>2</v>
      </c>
      <c r="O397">
        <v>2</v>
      </c>
      <c r="P397">
        <v>3</v>
      </c>
      <c r="Q397" t="s">
        <v>22</v>
      </c>
      <c r="R397" t="str" cm="1">
        <f t="array" ref="R397">_xlfn.IFS(N397&lt;=1,"0-1 yrs",N397&lt;=4,"2-4 yrs",N397&lt;=9,"5-9 yrs",N397&gt;9,"10+ yrs")</f>
        <v>2-4 yrs</v>
      </c>
      <c r="S397" t="str" cm="1">
        <f t="array" ref="S397">_xlfn.IFS(B397&lt;=25,"20-25",B397&lt;=35,"26-35",B397&lt;=45,"36-45",B397&gt;45,"46+")</f>
        <v>20-25</v>
      </c>
      <c r="T397" t="str" cm="1">
        <f t="array" ref="T397">_xlfn.IFS(J397&lt;3500,"&lt;3.5K",J397&lt;5500,"3.5-5.5K",J397&lt;7500,"5.5-7.5K",J397&gt;=7500,"7.5K+")</f>
        <v>3.5-5.5K</v>
      </c>
      <c r="U397">
        <f t="shared" si="6"/>
        <v>0</v>
      </c>
    </row>
    <row r="398" spans="1:21" x14ac:dyDescent="0.25">
      <c r="A398">
        <v>1606</v>
      </c>
      <c r="B398">
        <v>60</v>
      </c>
      <c r="C398" t="s">
        <v>16</v>
      </c>
      <c r="D398" t="s">
        <v>27</v>
      </c>
      <c r="E398" t="s">
        <v>31</v>
      </c>
      <c r="F398" t="s">
        <v>41</v>
      </c>
      <c r="G398" t="s">
        <v>37</v>
      </c>
      <c r="H398" t="s">
        <v>30</v>
      </c>
      <c r="I398">
        <v>8</v>
      </c>
      <c r="J398" s="2">
        <v>12624</v>
      </c>
      <c r="K398" t="s">
        <v>22</v>
      </c>
      <c r="L398">
        <v>1</v>
      </c>
      <c r="M398">
        <v>3</v>
      </c>
      <c r="N398">
        <v>0</v>
      </c>
      <c r="O398">
        <v>0</v>
      </c>
      <c r="P398">
        <v>40</v>
      </c>
      <c r="Q398" t="s">
        <v>22</v>
      </c>
      <c r="R398" t="str" cm="1">
        <f t="array" ref="R398">_xlfn.IFS(N398&lt;=1,"0-1 yrs",N398&lt;=4,"2-4 yrs",N398&lt;=9,"5-9 yrs",N398&gt;9,"10+ yrs")</f>
        <v>0-1 yrs</v>
      </c>
      <c r="S398" t="str" cm="1">
        <f t="array" ref="S398">_xlfn.IFS(B398&lt;=25,"20-25",B398&lt;=35,"26-35",B398&lt;=45,"36-45",B398&gt;45,"46+")</f>
        <v>46+</v>
      </c>
      <c r="T398" t="str" cm="1">
        <f t="array" ref="T398">_xlfn.IFS(J398&lt;3500,"&lt;3.5K",J398&lt;5500,"3.5-5.5K",J398&lt;7500,"5.5-7.5K",J398&gt;=7500,"7.5K+")</f>
        <v>7.5K+</v>
      </c>
      <c r="U398">
        <f t="shared" si="6"/>
        <v>0</v>
      </c>
    </row>
    <row r="399" spans="1:21" x14ac:dyDescent="0.25">
      <c r="A399">
        <v>1940</v>
      </c>
      <c r="B399">
        <v>42</v>
      </c>
      <c r="C399" t="s">
        <v>16</v>
      </c>
      <c r="D399" t="s">
        <v>17</v>
      </c>
      <c r="E399" t="s">
        <v>18</v>
      </c>
      <c r="F399" t="s">
        <v>41</v>
      </c>
      <c r="G399" t="s">
        <v>33</v>
      </c>
      <c r="H399" t="s">
        <v>30</v>
      </c>
      <c r="I399">
        <v>11</v>
      </c>
      <c r="J399" s="2">
        <v>13499</v>
      </c>
      <c r="K399" t="s">
        <v>22</v>
      </c>
      <c r="L399">
        <v>4</v>
      </c>
      <c r="M399">
        <v>4</v>
      </c>
      <c r="N399">
        <v>13</v>
      </c>
      <c r="O399">
        <v>7</v>
      </c>
      <c r="P399">
        <v>19</v>
      </c>
      <c r="Q399" t="s">
        <v>22</v>
      </c>
      <c r="R399" t="str" cm="1">
        <f t="array" ref="R399">_xlfn.IFS(N399&lt;=1,"0-1 yrs",N399&lt;=4,"2-4 yrs",N399&lt;=9,"5-9 yrs",N399&gt;9,"10+ yrs")</f>
        <v>10+ yrs</v>
      </c>
      <c r="S399" t="str" cm="1">
        <f t="array" ref="S399">_xlfn.IFS(B399&lt;=25,"20-25",B399&lt;=35,"26-35",B399&lt;=45,"36-45",B399&gt;45,"46+")</f>
        <v>36-45</v>
      </c>
      <c r="T399" t="str" cm="1">
        <f t="array" ref="T399">_xlfn.IFS(J399&lt;3500,"&lt;3.5K",J399&lt;5500,"3.5-5.5K",J399&lt;7500,"5.5-7.5K",J399&gt;=7500,"7.5K+")</f>
        <v>7.5K+</v>
      </c>
      <c r="U399">
        <f t="shared" si="6"/>
        <v>0</v>
      </c>
    </row>
    <row r="400" spans="1:21" x14ac:dyDescent="0.25">
      <c r="A400">
        <v>1542</v>
      </c>
      <c r="B400">
        <v>24</v>
      </c>
      <c r="C400" t="s">
        <v>16</v>
      </c>
      <c r="D400" t="s">
        <v>27</v>
      </c>
      <c r="E400" t="s">
        <v>31</v>
      </c>
      <c r="F400" t="s">
        <v>19</v>
      </c>
      <c r="G400" t="s">
        <v>20</v>
      </c>
      <c r="H400" t="s">
        <v>34</v>
      </c>
      <c r="I400">
        <v>13</v>
      </c>
      <c r="J400" s="2">
        <v>5388</v>
      </c>
      <c r="K400" t="s">
        <v>22</v>
      </c>
      <c r="L400">
        <v>1</v>
      </c>
      <c r="M400">
        <v>3</v>
      </c>
      <c r="N400">
        <v>0</v>
      </c>
      <c r="O400">
        <v>0</v>
      </c>
      <c r="P400">
        <v>0</v>
      </c>
      <c r="Q400" t="s">
        <v>22</v>
      </c>
      <c r="R400" t="str" cm="1">
        <f t="array" ref="R400">_xlfn.IFS(N400&lt;=1,"0-1 yrs",N400&lt;=4,"2-4 yrs",N400&lt;=9,"5-9 yrs",N400&gt;9,"10+ yrs")</f>
        <v>0-1 yrs</v>
      </c>
      <c r="S400" t="str" cm="1">
        <f t="array" ref="S400">_xlfn.IFS(B400&lt;=25,"20-25",B400&lt;=35,"26-35",B400&lt;=45,"36-45",B400&gt;45,"46+")</f>
        <v>20-25</v>
      </c>
      <c r="T400" t="str" cm="1">
        <f t="array" ref="T400">_xlfn.IFS(J400&lt;3500,"&lt;3.5K",J400&lt;5500,"3.5-5.5K",J400&lt;7500,"5.5-7.5K",J400&gt;=7500,"7.5K+")</f>
        <v>3.5-5.5K</v>
      </c>
      <c r="U400">
        <f t="shared" si="6"/>
        <v>0</v>
      </c>
    </row>
    <row r="401" spans="1:21" x14ac:dyDescent="0.25">
      <c r="A401">
        <v>1106</v>
      </c>
      <c r="B401">
        <v>38</v>
      </c>
      <c r="C401" t="s">
        <v>23</v>
      </c>
      <c r="D401" t="s">
        <v>24</v>
      </c>
      <c r="E401" t="s">
        <v>52</v>
      </c>
      <c r="F401" t="s">
        <v>26</v>
      </c>
      <c r="G401" t="s">
        <v>37</v>
      </c>
      <c r="H401" t="s">
        <v>30</v>
      </c>
      <c r="I401">
        <v>17</v>
      </c>
      <c r="J401" s="2">
        <v>7691</v>
      </c>
      <c r="K401" t="s">
        <v>42</v>
      </c>
      <c r="L401">
        <v>1</v>
      </c>
      <c r="M401">
        <v>3</v>
      </c>
      <c r="N401">
        <v>3</v>
      </c>
      <c r="O401">
        <v>3</v>
      </c>
      <c r="P401">
        <v>7</v>
      </c>
      <c r="Q401" t="s">
        <v>22</v>
      </c>
      <c r="R401" t="str" cm="1">
        <f t="array" ref="R401">_xlfn.IFS(N401&lt;=1,"0-1 yrs",N401&lt;=4,"2-4 yrs",N401&lt;=9,"5-9 yrs",N401&gt;9,"10+ yrs")</f>
        <v>2-4 yrs</v>
      </c>
      <c r="S401" t="str" cm="1">
        <f t="array" ref="S401">_xlfn.IFS(B401&lt;=25,"20-25",B401&lt;=35,"26-35",B401&lt;=45,"36-45",B401&gt;45,"46+")</f>
        <v>36-45</v>
      </c>
      <c r="T401" t="str" cm="1">
        <f t="array" ref="T401">_xlfn.IFS(J401&lt;3500,"&lt;3.5K",J401&lt;5500,"3.5-5.5K",J401&lt;7500,"5.5-7.5K",J401&gt;=7500,"7.5K+")</f>
        <v>7.5K+</v>
      </c>
      <c r="U401">
        <f t="shared" si="6"/>
        <v>0</v>
      </c>
    </row>
    <row r="402" spans="1:21" x14ac:dyDescent="0.25">
      <c r="A402">
        <v>1019</v>
      </c>
      <c r="B402">
        <v>22</v>
      </c>
      <c r="C402" t="s">
        <v>16</v>
      </c>
      <c r="D402" t="s">
        <v>17</v>
      </c>
      <c r="E402" t="s">
        <v>18</v>
      </c>
      <c r="F402" t="s">
        <v>41</v>
      </c>
      <c r="G402" t="s">
        <v>33</v>
      </c>
      <c r="H402" t="s">
        <v>30</v>
      </c>
      <c r="I402">
        <v>11</v>
      </c>
      <c r="J402" s="2">
        <v>7705</v>
      </c>
      <c r="K402" t="s">
        <v>22</v>
      </c>
      <c r="L402">
        <v>3</v>
      </c>
      <c r="M402">
        <v>2</v>
      </c>
      <c r="N402">
        <v>0</v>
      </c>
      <c r="O402">
        <v>0</v>
      </c>
      <c r="P402">
        <v>0</v>
      </c>
      <c r="Q402" t="s">
        <v>42</v>
      </c>
      <c r="R402" t="str" cm="1">
        <f t="array" ref="R402">_xlfn.IFS(N402&lt;=1,"0-1 yrs",N402&lt;=4,"2-4 yrs",N402&lt;=9,"5-9 yrs",N402&gt;9,"10+ yrs")</f>
        <v>0-1 yrs</v>
      </c>
      <c r="S402" t="str" cm="1">
        <f t="array" ref="S402">_xlfn.IFS(B402&lt;=25,"20-25",B402&lt;=35,"26-35",B402&lt;=45,"36-45",B402&gt;45,"46+")</f>
        <v>20-25</v>
      </c>
      <c r="T402" t="str" cm="1">
        <f t="array" ref="T402">_xlfn.IFS(J402&lt;3500,"&lt;3.5K",J402&lt;5500,"3.5-5.5K",J402&lt;7500,"5.5-7.5K",J402&gt;=7500,"7.5K+")</f>
        <v>7.5K+</v>
      </c>
      <c r="U402">
        <f t="shared" si="6"/>
        <v>1</v>
      </c>
    </row>
    <row r="403" spans="1:21" x14ac:dyDescent="0.25">
      <c r="A403">
        <v>1787</v>
      </c>
      <c r="B403">
        <v>35</v>
      </c>
      <c r="C403" t="s">
        <v>23</v>
      </c>
      <c r="D403" t="s">
        <v>47</v>
      </c>
      <c r="E403" t="s">
        <v>50</v>
      </c>
      <c r="F403" t="s">
        <v>26</v>
      </c>
      <c r="G403" t="s">
        <v>20</v>
      </c>
      <c r="H403" t="s">
        <v>30</v>
      </c>
      <c r="I403">
        <v>25</v>
      </c>
      <c r="J403" s="2">
        <v>6927</v>
      </c>
      <c r="K403" t="s">
        <v>22</v>
      </c>
      <c r="L403">
        <v>3</v>
      </c>
      <c r="M403">
        <v>4</v>
      </c>
      <c r="N403">
        <v>7</v>
      </c>
      <c r="O403">
        <v>5</v>
      </c>
      <c r="P403">
        <v>9</v>
      </c>
      <c r="Q403" t="s">
        <v>22</v>
      </c>
      <c r="R403" t="str" cm="1">
        <f t="array" ref="R403">_xlfn.IFS(N403&lt;=1,"0-1 yrs",N403&lt;=4,"2-4 yrs",N403&lt;=9,"5-9 yrs",N403&gt;9,"10+ yrs")</f>
        <v>5-9 yrs</v>
      </c>
      <c r="S403" t="str" cm="1">
        <f t="array" ref="S403">_xlfn.IFS(B403&lt;=25,"20-25",B403&lt;=35,"26-35",B403&lt;=45,"36-45",B403&gt;45,"46+")</f>
        <v>26-35</v>
      </c>
      <c r="T403" t="str" cm="1">
        <f t="array" ref="T403">_xlfn.IFS(J403&lt;3500,"&lt;3.5K",J403&lt;5500,"3.5-5.5K",J403&lt;7500,"5.5-7.5K",J403&gt;=7500,"7.5K+")</f>
        <v>5.5-7.5K</v>
      </c>
      <c r="U403">
        <f t="shared" si="6"/>
        <v>0</v>
      </c>
    </row>
    <row r="404" spans="1:21" x14ac:dyDescent="0.25">
      <c r="A404">
        <v>1256</v>
      </c>
      <c r="B404">
        <v>36</v>
      </c>
      <c r="C404" t="s">
        <v>16</v>
      </c>
      <c r="D404" t="s">
        <v>47</v>
      </c>
      <c r="E404" t="s">
        <v>50</v>
      </c>
      <c r="F404" t="s">
        <v>26</v>
      </c>
      <c r="G404" t="s">
        <v>33</v>
      </c>
      <c r="H404" t="s">
        <v>34</v>
      </c>
      <c r="I404">
        <v>4</v>
      </c>
      <c r="J404" s="2">
        <v>7662</v>
      </c>
      <c r="K404" t="s">
        <v>22</v>
      </c>
      <c r="L404">
        <v>3</v>
      </c>
      <c r="M404">
        <v>3</v>
      </c>
      <c r="N404">
        <v>2</v>
      </c>
      <c r="O404">
        <v>0</v>
      </c>
      <c r="P404">
        <v>9</v>
      </c>
      <c r="Q404" t="s">
        <v>42</v>
      </c>
      <c r="R404" t="str" cm="1">
        <f t="array" ref="R404">_xlfn.IFS(N404&lt;=1,"0-1 yrs",N404&lt;=4,"2-4 yrs",N404&lt;=9,"5-9 yrs",N404&gt;9,"10+ yrs")</f>
        <v>2-4 yrs</v>
      </c>
      <c r="S404" t="str" cm="1">
        <f t="array" ref="S404">_xlfn.IFS(B404&lt;=25,"20-25",B404&lt;=35,"26-35",B404&lt;=45,"36-45",B404&gt;45,"46+")</f>
        <v>36-45</v>
      </c>
      <c r="T404" t="str" cm="1">
        <f t="array" ref="T404">_xlfn.IFS(J404&lt;3500,"&lt;3.5K",J404&lt;5500,"3.5-5.5K",J404&lt;7500,"5.5-7.5K",J404&gt;=7500,"7.5K+")</f>
        <v>7.5K+</v>
      </c>
      <c r="U404">
        <f t="shared" si="6"/>
        <v>1</v>
      </c>
    </row>
    <row r="405" spans="1:21" x14ac:dyDescent="0.25">
      <c r="A405">
        <v>1786</v>
      </c>
      <c r="B405">
        <v>39</v>
      </c>
      <c r="C405" t="s">
        <v>16</v>
      </c>
      <c r="D405" t="s">
        <v>24</v>
      </c>
      <c r="E405" t="s">
        <v>52</v>
      </c>
      <c r="F405" t="s">
        <v>26</v>
      </c>
      <c r="G405" t="s">
        <v>20</v>
      </c>
      <c r="H405" t="s">
        <v>21</v>
      </c>
      <c r="I405">
        <v>8</v>
      </c>
      <c r="J405" s="2">
        <v>6615</v>
      </c>
      <c r="K405" t="s">
        <v>22</v>
      </c>
      <c r="L405">
        <v>3</v>
      </c>
      <c r="M405">
        <v>4</v>
      </c>
      <c r="N405">
        <v>15</v>
      </c>
      <c r="O405">
        <v>15</v>
      </c>
      <c r="P405">
        <v>19</v>
      </c>
      <c r="Q405" t="s">
        <v>22</v>
      </c>
      <c r="R405" t="str" cm="1">
        <f t="array" ref="R405">_xlfn.IFS(N405&lt;=1,"0-1 yrs",N405&lt;=4,"2-4 yrs",N405&lt;=9,"5-9 yrs",N405&gt;9,"10+ yrs")</f>
        <v>10+ yrs</v>
      </c>
      <c r="S405" t="str" cm="1">
        <f t="array" ref="S405">_xlfn.IFS(B405&lt;=25,"20-25",B405&lt;=35,"26-35",B405&lt;=45,"36-45",B405&gt;45,"46+")</f>
        <v>36-45</v>
      </c>
      <c r="T405" t="str" cm="1">
        <f t="array" ref="T405">_xlfn.IFS(J405&lt;3500,"&lt;3.5K",J405&lt;5500,"3.5-5.5K",J405&lt;7500,"5.5-7.5K",J405&gt;=7500,"7.5K+")</f>
        <v>5.5-7.5K</v>
      </c>
      <c r="U405">
        <f t="shared" si="6"/>
        <v>0</v>
      </c>
    </row>
    <row r="406" spans="1:21" x14ac:dyDescent="0.25">
      <c r="A406">
        <v>1924</v>
      </c>
      <c r="B406">
        <v>54</v>
      </c>
      <c r="C406" t="s">
        <v>23</v>
      </c>
      <c r="D406" t="s">
        <v>24</v>
      </c>
      <c r="E406" t="s">
        <v>45</v>
      </c>
      <c r="F406" t="s">
        <v>36</v>
      </c>
      <c r="G406" t="s">
        <v>20</v>
      </c>
      <c r="H406" t="s">
        <v>34</v>
      </c>
      <c r="I406">
        <v>13</v>
      </c>
      <c r="J406" s="2">
        <v>9566</v>
      </c>
      <c r="K406" t="s">
        <v>22</v>
      </c>
      <c r="L406">
        <v>3</v>
      </c>
      <c r="M406">
        <v>4</v>
      </c>
      <c r="N406">
        <v>4</v>
      </c>
      <c r="O406">
        <v>3</v>
      </c>
      <c r="P406">
        <v>27</v>
      </c>
      <c r="Q406" t="s">
        <v>42</v>
      </c>
      <c r="R406" t="str" cm="1">
        <f t="array" ref="R406">_xlfn.IFS(N406&lt;=1,"0-1 yrs",N406&lt;=4,"2-4 yrs",N406&lt;=9,"5-9 yrs",N406&gt;9,"10+ yrs")</f>
        <v>2-4 yrs</v>
      </c>
      <c r="S406" t="str" cm="1">
        <f t="array" ref="S406">_xlfn.IFS(B406&lt;=25,"20-25",B406&lt;=35,"26-35",B406&lt;=45,"36-45",B406&gt;45,"46+")</f>
        <v>46+</v>
      </c>
      <c r="T406" t="str" cm="1">
        <f t="array" ref="T406">_xlfn.IFS(J406&lt;3500,"&lt;3.5K",J406&lt;5500,"3.5-5.5K",J406&lt;7500,"5.5-7.5K",J406&gt;=7500,"7.5K+")</f>
        <v>7.5K+</v>
      </c>
      <c r="U406">
        <f t="shared" si="6"/>
        <v>1</v>
      </c>
    </row>
    <row r="407" spans="1:21" x14ac:dyDescent="0.25">
      <c r="A407">
        <v>1901</v>
      </c>
      <c r="B407">
        <v>26</v>
      </c>
      <c r="C407" t="s">
        <v>16</v>
      </c>
      <c r="D407" t="s">
        <v>24</v>
      </c>
      <c r="E407" t="s">
        <v>25</v>
      </c>
      <c r="F407" t="s">
        <v>36</v>
      </c>
      <c r="G407" t="s">
        <v>37</v>
      </c>
      <c r="H407" t="s">
        <v>34</v>
      </c>
      <c r="I407">
        <v>26</v>
      </c>
      <c r="J407" s="2">
        <v>10135</v>
      </c>
      <c r="K407" t="s">
        <v>22</v>
      </c>
      <c r="L407">
        <v>1</v>
      </c>
      <c r="M407">
        <v>1</v>
      </c>
      <c r="N407">
        <v>3</v>
      </c>
      <c r="O407">
        <v>3</v>
      </c>
      <c r="P407">
        <v>6</v>
      </c>
      <c r="Q407" t="s">
        <v>22</v>
      </c>
      <c r="R407" t="str" cm="1">
        <f t="array" ref="R407">_xlfn.IFS(N407&lt;=1,"0-1 yrs",N407&lt;=4,"2-4 yrs",N407&lt;=9,"5-9 yrs",N407&gt;9,"10+ yrs")</f>
        <v>2-4 yrs</v>
      </c>
      <c r="S407" t="str" cm="1">
        <f t="array" ref="S407">_xlfn.IFS(B407&lt;=25,"20-25",B407&lt;=35,"26-35",B407&lt;=45,"36-45",B407&gt;45,"46+")</f>
        <v>26-35</v>
      </c>
      <c r="T407" t="str" cm="1">
        <f t="array" ref="T407">_xlfn.IFS(J407&lt;3500,"&lt;3.5K",J407&lt;5500,"3.5-5.5K",J407&lt;7500,"5.5-7.5K",J407&gt;=7500,"7.5K+")</f>
        <v>7.5K+</v>
      </c>
      <c r="U407">
        <f t="shared" si="6"/>
        <v>0</v>
      </c>
    </row>
    <row r="408" spans="1:21" x14ac:dyDescent="0.25">
      <c r="A408">
        <v>1421</v>
      </c>
      <c r="B408">
        <v>22</v>
      </c>
      <c r="C408" t="s">
        <v>16</v>
      </c>
      <c r="D408" t="s">
        <v>24</v>
      </c>
      <c r="E408" t="s">
        <v>52</v>
      </c>
      <c r="F408" t="s">
        <v>36</v>
      </c>
      <c r="G408" t="s">
        <v>33</v>
      </c>
      <c r="H408" t="s">
        <v>30</v>
      </c>
      <c r="I408">
        <v>29</v>
      </c>
      <c r="J408" s="2">
        <v>6403</v>
      </c>
      <c r="K408" t="s">
        <v>22</v>
      </c>
      <c r="L408">
        <v>3</v>
      </c>
      <c r="M408">
        <v>3</v>
      </c>
      <c r="N408">
        <v>0</v>
      </c>
      <c r="O408">
        <v>0</v>
      </c>
      <c r="P408">
        <v>2</v>
      </c>
      <c r="Q408" t="s">
        <v>22</v>
      </c>
      <c r="R408" t="str" cm="1">
        <f t="array" ref="R408">_xlfn.IFS(N408&lt;=1,"0-1 yrs",N408&lt;=4,"2-4 yrs",N408&lt;=9,"5-9 yrs",N408&gt;9,"10+ yrs")</f>
        <v>0-1 yrs</v>
      </c>
      <c r="S408" t="str" cm="1">
        <f t="array" ref="S408">_xlfn.IFS(B408&lt;=25,"20-25",B408&lt;=35,"26-35",B408&lt;=45,"36-45",B408&gt;45,"46+")</f>
        <v>20-25</v>
      </c>
      <c r="T408" t="str" cm="1">
        <f t="array" ref="T408">_xlfn.IFS(J408&lt;3500,"&lt;3.5K",J408&lt;5500,"3.5-5.5K",J408&lt;7500,"5.5-7.5K",J408&gt;=7500,"7.5K+")</f>
        <v>5.5-7.5K</v>
      </c>
      <c r="U408">
        <f t="shared" si="6"/>
        <v>0</v>
      </c>
    </row>
    <row r="409" spans="1:21" x14ac:dyDescent="0.25">
      <c r="A409">
        <v>1129</v>
      </c>
      <c r="B409">
        <v>57</v>
      </c>
      <c r="C409" t="s">
        <v>16</v>
      </c>
      <c r="D409" t="s">
        <v>24</v>
      </c>
      <c r="E409" t="s">
        <v>25</v>
      </c>
      <c r="F409" t="s">
        <v>41</v>
      </c>
      <c r="G409" t="s">
        <v>37</v>
      </c>
      <c r="H409" t="s">
        <v>21</v>
      </c>
      <c r="I409">
        <v>22</v>
      </c>
      <c r="J409" s="2">
        <v>16390</v>
      </c>
      <c r="K409" t="s">
        <v>22</v>
      </c>
      <c r="L409">
        <v>4</v>
      </c>
      <c r="M409">
        <v>1</v>
      </c>
      <c r="N409">
        <v>17</v>
      </c>
      <c r="O409">
        <v>15</v>
      </c>
      <c r="P409">
        <v>28</v>
      </c>
      <c r="Q409" t="s">
        <v>42</v>
      </c>
      <c r="R409" t="str" cm="1">
        <f t="array" ref="R409">_xlfn.IFS(N409&lt;=1,"0-1 yrs",N409&lt;=4,"2-4 yrs",N409&lt;=9,"5-9 yrs",N409&gt;9,"10+ yrs")</f>
        <v>10+ yrs</v>
      </c>
      <c r="S409" t="str" cm="1">
        <f t="array" ref="S409">_xlfn.IFS(B409&lt;=25,"20-25",B409&lt;=35,"26-35",B409&lt;=45,"36-45",B409&gt;45,"46+")</f>
        <v>46+</v>
      </c>
      <c r="T409" t="str" cm="1">
        <f t="array" ref="T409">_xlfn.IFS(J409&lt;3500,"&lt;3.5K",J409&lt;5500,"3.5-5.5K",J409&lt;7500,"5.5-7.5K",J409&gt;=7500,"7.5K+")</f>
        <v>7.5K+</v>
      </c>
      <c r="U409">
        <f t="shared" si="6"/>
        <v>1</v>
      </c>
    </row>
    <row r="410" spans="1:21" x14ac:dyDescent="0.25">
      <c r="A410">
        <v>1385</v>
      </c>
      <c r="B410">
        <v>50</v>
      </c>
      <c r="C410" t="s">
        <v>16</v>
      </c>
      <c r="D410" t="s">
        <v>24</v>
      </c>
      <c r="E410" t="s">
        <v>45</v>
      </c>
      <c r="F410" t="s">
        <v>26</v>
      </c>
      <c r="G410" t="s">
        <v>20</v>
      </c>
      <c r="H410" t="s">
        <v>21</v>
      </c>
      <c r="I410">
        <v>22</v>
      </c>
      <c r="J410" s="2">
        <v>11269</v>
      </c>
      <c r="K410" t="s">
        <v>22</v>
      </c>
      <c r="L410">
        <v>4</v>
      </c>
      <c r="M410">
        <v>2</v>
      </c>
      <c r="N410">
        <v>19</v>
      </c>
      <c r="O410">
        <v>8</v>
      </c>
      <c r="P410">
        <v>26</v>
      </c>
      <c r="Q410" t="s">
        <v>22</v>
      </c>
      <c r="R410" t="str" cm="1">
        <f t="array" ref="R410">_xlfn.IFS(N410&lt;=1,"0-1 yrs",N410&lt;=4,"2-4 yrs",N410&lt;=9,"5-9 yrs",N410&gt;9,"10+ yrs")</f>
        <v>10+ yrs</v>
      </c>
      <c r="S410" t="str" cm="1">
        <f t="array" ref="S410">_xlfn.IFS(B410&lt;=25,"20-25",B410&lt;=35,"26-35",B410&lt;=45,"36-45",B410&gt;45,"46+")</f>
        <v>46+</v>
      </c>
      <c r="T410" t="str" cm="1">
        <f t="array" ref="T410">_xlfn.IFS(J410&lt;3500,"&lt;3.5K",J410&lt;5500,"3.5-5.5K",J410&lt;7500,"5.5-7.5K",J410&gt;=7500,"7.5K+")</f>
        <v>7.5K+</v>
      </c>
      <c r="U410">
        <f t="shared" si="6"/>
        <v>0</v>
      </c>
    </row>
    <row r="411" spans="1:21" x14ac:dyDescent="0.25">
      <c r="A411">
        <v>1973</v>
      </c>
      <c r="B411">
        <v>40</v>
      </c>
      <c r="C411" t="s">
        <v>16</v>
      </c>
      <c r="D411" t="s">
        <v>24</v>
      </c>
      <c r="E411" t="s">
        <v>52</v>
      </c>
      <c r="F411" t="s">
        <v>36</v>
      </c>
      <c r="G411" t="s">
        <v>37</v>
      </c>
      <c r="H411" t="s">
        <v>21</v>
      </c>
      <c r="I411">
        <v>20</v>
      </c>
      <c r="J411" s="2">
        <v>7657</v>
      </c>
      <c r="K411" t="s">
        <v>42</v>
      </c>
      <c r="L411">
        <v>3</v>
      </c>
      <c r="M411">
        <v>4</v>
      </c>
      <c r="N411">
        <v>0</v>
      </c>
      <c r="O411">
        <v>0</v>
      </c>
      <c r="P411">
        <v>18</v>
      </c>
      <c r="Q411" t="s">
        <v>22</v>
      </c>
      <c r="R411" t="str" cm="1">
        <f t="array" ref="R411">_xlfn.IFS(N411&lt;=1,"0-1 yrs",N411&lt;=4,"2-4 yrs",N411&lt;=9,"5-9 yrs",N411&gt;9,"10+ yrs")</f>
        <v>0-1 yrs</v>
      </c>
      <c r="S411" t="str" cm="1">
        <f t="array" ref="S411">_xlfn.IFS(B411&lt;=25,"20-25",B411&lt;=35,"26-35",B411&lt;=45,"36-45",B411&gt;45,"46+")</f>
        <v>36-45</v>
      </c>
      <c r="T411" t="str" cm="1">
        <f t="array" ref="T411">_xlfn.IFS(J411&lt;3500,"&lt;3.5K",J411&lt;5500,"3.5-5.5K",J411&lt;7500,"5.5-7.5K",J411&gt;=7500,"7.5K+")</f>
        <v>7.5K+</v>
      </c>
      <c r="U411">
        <f t="shared" si="6"/>
        <v>0</v>
      </c>
    </row>
    <row r="412" spans="1:21" x14ac:dyDescent="0.25">
      <c r="A412">
        <v>1751</v>
      </c>
      <c r="B412">
        <v>56</v>
      </c>
      <c r="C412" t="s">
        <v>16</v>
      </c>
      <c r="D412" t="s">
        <v>17</v>
      </c>
      <c r="E412" t="s">
        <v>40</v>
      </c>
      <c r="F412" t="s">
        <v>29</v>
      </c>
      <c r="G412" t="s">
        <v>20</v>
      </c>
      <c r="H412" t="s">
        <v>34</v>
      </c>
      <c r="I412">
        <v>20</v>
      </c>
      <c r="J412" s="2">
        <v>10446</v>
      </c>
      <c r="K412" t="s">
        <v>22</v>
      </c>
      <c r="L412">
        <v>1</v>
      </c>
      <c r="M412">
        <v>4</v>
      </c>
      <c r="N412">
        <v>24</v>
      </c>
      <c r="O412">
        <v>1</v>
      </c>
      <c r="P412">
        <v>36</v>
      </c>
      <c r="Q412" t="s">
        <v>22</v>
      </c>
      <c r="R412" t="str" cm="1">
        <f t="array" ref="R412">_xlfn.IFS(N412&lt;=1,"0-1 yrs",N412&lt;=4,"2-4 yrs",N412&lt;=9,"5-9 yrs",N412&gt;9,"10+ yrs")</f>
        <v>10+ yrs</v>
      </c>
      <c r="S412" t="str" cm="1">
        <f t="array" ref="S412">_xlfn.IFS(B412&lt;=25,"20-25",B412&lt;=35,"26-35",B412&lt;=45,"36-45",B412&gt;45,"46+")</f>
        <v>46+</v>
      </c>
      <c r="T412" t="str" cm="1">
        <f t="array" ref="T412">_xlfn.IFS(J412&lt;3500,"&lt;3.5K",J412&lt;5500,"3.5-5.5K",J412&lt;7500,"5.5-7.5K",J412&gt;=7500,"7.5K+")</f>
        <v>7.5K+</v>
      </c>
      <c r="U412">
        <f t="shared" si="6"/>
        <v>0</v>
      </c>
    </row>
    <row r="413" spans="1:21" x14ac:dyDescent="0.25">
      <c r="A413">
        <v>1368</v>
      </c>
      <c r="B413">
        <v>49</v>
      </c>
      <c r="C413" t="s">
        <v>16</v>
      </c>
      <c r="D413" t="s">
        <v>27</v>
      </c>
      <c r="E413" t="s">
        <v>31</v>
      </c>
      <c r="F413" t="s">
        <v>41</v>
      </c>
      <c r="G413" t="s">
        <v>33</v>
      </c>
      <c r="H413" t="s">
        <v>30</v>
      </c>
      <c r="I413">
        <v>16</v>
      </c>
      <c r="J413" s="2">
        <v>9544</v>
      </c>
      <c r="K413" t="s">
        <v>22</v>
      </c>
      <c r="L413">
        <v>2</v>
      </c>
      <c r="M413">
        <v>2</v>
      </c>
      <c r="N413">
        <v>0</v>
      </c>
      <c r="O413">
        <v>0</v>
      </c>
      <c r="P413">
        <v>19</v>
      </c>
      <c r="Q413" t="s">
        <v>22</v>
      </c>
      <c r="R413" t="str" cm="1">
        <f t="array" ref="R413">_xlfn.IFS(N413&lt;=1,"0-1 yrs",N413&lt;=4,"2-4 yrs",N413&lt;=9,"5-9 yrs",N413&gt;9,"10+ yrs")</f>
        <v>0-1 yrs</v>
      </c>
      <c r="S413" t="str" cm="1">
        <f t="array" ref="S413">_xlfn.IFS(B413&lt;=25,"20-25",B413&lt;=35,"26-35",B413&lt;=45,"36-45",B413&gt;45,"46+")</f>
        <v>46+</v>
      </c>
      <c r="T413" t="str" cm="1">
        <f t="array" ref="T413">_xlfn.IFS(J413&lt;3500,"&lt;3.5K",J413&lt;5500,"3.5-5.5K",J413&lt;7500,"5.5-7.5K",J413&gt;=7500,"7.5K+")</f>
        <v>7.5K+</v>
      </c>
      <c r="U413">
        <f t="shared" si="6"/>
        <v>0</v>
      </c>
    </row>
    <row r="414" spans="1:21" x14ac:dyDescent="0.25">
      <c r="A414">
        <v>1514</v>
      </c>
      <c r="B414">
        <v>36</v>
      </c>
      <c r="C414" t="s">
        <v>23</v>
      </c>
      <c r="D414" t="s">
        <v>24</v>
      </c>
      <c r="E414" t="s">
        <v>45</v>
      </c>
      <c r="F414" t="s">
        <v>26</v>
      </c>
      <c r="G414" t="s">
        <v>33</v>
      </c>
      <c r="H414" t="s">
        <v>34</v>
      </c>
      <c r="I414">
        <v>15</v>
      </c>
      <c r="J414" s="2">
        <v>8382</v>
      </c>
      <c r="K414" t="s">
        <v>22</v>
      </c>
      <c r="L414">
        <v>1</v>
      </c>
      <c r="M414">
        <v>1</v>
      </c>
      <c r="N414">
        <v>1</v>
      </c>
      <c r="O414">
        <v>1</v>
      </c>
      <c r="P414">
        <v>16</v>
      </c>
      <c r="Q414" t="s">
        <v>22</v>
      </c>
      <c r="R414" t="str" cm="1">
        <f t="array" ref="R414">_xlfn.IFS(N414&lt;=1,"0-1 yrs",N414&lt;=4,"2-4 yrs",N414&lt;=9,"5-9 yrs",N414&gt;9,"10+ yrs")</f>
        <v>0-1 yrs</v>
      </c>
      <c r="S414" t="str" cm="1">
        <f t="array" ref="S414">_xlfn.IFS(B414&lt;=25,"20-25",B414&lt;=35,"26-35",B414&lt;=45,"36-45",B414&gt;45,"46+")</f>
        <v>36-45</v>
      </c>
      <c r="T414" t="str" cm="1">
        <f t="array" ref="T414">_xlfn.IFS(J414&lt;3500,"&lt;3.5K",J414&lt;5500,"3.5-5.5K",J414&lt;7500,"5.5-7.5K",J414&gt;=7500,"7.5K+")</f>
        <v>7.5K+</v>
      </c>
      <c r="U414">
        <f t="shared" si="6"/>
        <v>0</v>
      </c>
    </row>
    <row r="415" spans="1:21" x14ac:dyDescent="0.25">
      <c r="A415">
        <v>1440</v>
      </c>
      <c r="B415">
        <v>41</v>
      </c>
      <c r="C415" t="s">
        <v>23</v>
      </c>
      <c r="D415" t="s">
        <v>27</v>
      </c>
      <c r="E415" t="s">
        <v>28</v>
      </c>
      <c r="F415" t="s">
        <v>41</v>
      </c>
      <c r="G415" t="s">
        <v>20</v>
      </c>
      <c r="H415" t="s">
        <v>34</v>
      </c>
      <c r="I415">
        <v>20</v>
      </c>
      <c r="J415" s="2">
        <v>9833</v>
      </c>
      <c r="K415" t="s">
        <v>42</v>
      </c>
      <c r="L415">
        <v>1</v>
      </c>
      <c r="M415">
        <v>3</v>
      </c>
      <c r="N415">
        <v>0</v>
      </c>
      <c r="O415">
        <v>0</v>
      </c>
      <c r="P415">
        <v>13</v>
      </c>
      <c r="Q415" t="s">
        <v>22</v>
      </c>
      <c r="R415" t="str" cm="1">
        <f t="array" ref="R415">_xlfn.IFS(N415&lt;=1,"0-1 yrs",N415&lt;=4,"2-4 yrs",N415&lt;=9,"5-9 yrs",N415&gt;9,"10+ yrs")</f>
        <v>0-1 yrs</v>
      </c>
      <c r="S415" t="str" cm="1">
        <f t="array" ref="S415">_xlfn.IFS(B415&lt;=25,"20-25",B415&lt;=35,"26-35",B415&lt;=45,"36-45",B415&gt;45,"46+")</f>
        <v>36-45</v>
      </c>
      <c r="T415" t="str" cm="1">
        <f t="array" ref="T415">_xlfn.IFS(J415&lt;3500,"&lt;3.5K",J415&lt;5500,"3.5-5.5K",J415&lt;7500,"5.5-7.5K",J415&gt;=7500,"7.5K+")</f>
        <v>7.5K+</v>
      </c>
      <c r="U415">
        <f t="shared" si="6"/>
        <v>0</v>
      </c>
    </row>
    <row r="416" spans="1:21" x14ac:dyDescent="0.25">
      <c r="A416">
        <v>1480</v>
      </c>
      <c r="B416">
        <v>35</v>
      </c>
      <c r="C416" t="s">
        <v>23</v>
      </c>
      <c r="D416" t="s">
        <v>27</v>
      </c>
      <c r="E416" t="s">
        <v>31</v>
      </c>
      <c r="F416" t="s">
        <v>19</v>
      </c>
      <c r="G416" t="s">
        <v>20</v>
      </c>
      <c r="H416" t="s">
        <v>34</v>
      </c>
      <c r="I416">
        <v>13</v>
      </c>
      <c r="J416" s="2">
        <v>9279</v>
      </c>
      <c r="K416" t="s">
        <v>22</v>
      </c>
      <c r="L416">
        <v>2</v>
      </c>
      <c r="M416">
        <v>4</v>
      </c>
      <c r="N416">
        <v>10</v>
      </c>
      <c r="O416">
        <v>5</v>
      </c>
      <c r="P416">
        <v>10</v>
      </c>
      <c r="Q416" t="s">
        <v>22</v>
      </c>
      <c r="R416" t="str" cm="1">
        <f t="array" ref="R416">_xlfn.IFS(N416&lt;=1,"0-1 yrs",N416&lt;=4,"2-4 yrs",N416&lt;=9,"5-9 yrs",N416&gt;9,"10+ yrs")</f>
        <v>10+ yrs</v>
      </c>
      <c r="S416" t="str" cm="1">
        <f t="array" ref="S416">_xlfn.IFS(B416&lt;=25,"20-25",B416&lt;=35,"26-35",B416&lt;=45,"36-45",B416&gt;45,"46+")</f>
        <v>26-35</v>
      </c>
      <c r="T416" t="str" cm="1">
        <f t="array" ref="T416">_xlfn.IFS(J416&lt;3500,"&lt;3.5K",J416&lt;5500,"3.5-5.5K",J416&lt;7500,"5.5-7.5K",J416&gt;=7500,"7.5K+")</f>
        <v>7.5K+</v>
      </c>
      <c r="U416">
        <f t="shared" si="6"/>
        <v>0</v>
      </c>
    </row>
    <row r="417" spans="1:21" x14ac:dyDescent="0.25">
      <c r="A417">
        <v>1182</v>
      </c>
      <c r="B417">
        <v>51</v>
      </c>
      <c r="C417" t="s">
        <v>16</v>
      </c>
      <c r="D417" t="s">
        <v>47</v>
      </c>
      <c r="E417" t="s">
        <v>48</v>
      </c>
      <c r="F417" t="s">
        <v>32</v>
      </c>
      <c r="G417" t="s">
        <v>33</v>
      </c>
      <c r="H417" t="s">
        <v>30</v>
      </c>
      <c r="I417">
        <v>27</v>
      </c>
      <c r="J417" s="2">
        <v>13426</v>
      </c>
      <c r="K417" t="s">
        <v>22</v>
      </c>
      <c r="L417">
        <v>4</v>
      </c>
      <c r="M417">
        <v>4</v>
      </c>
      <c r="N417">
        <v>17</v>
      </c>
      <c r="O417">
        <v>16</v>
      </c>
      <c r="P417">
        <v>31</v>
      </c>
      <c r="Q417" t="s">
        <v>22</v>
      </c>
      <c r="R417" t="str" cm="1">
        <f t="array" ref="R417">_xlfn.IFS(N417&lt;=1,"0-1 yrs",N417&lt;=4,"2-4 yrs",N417&lt;=9,"5-9 yrs",N417&gt;9,"10+ yrs")</f>
        <v>10+ yrs</v>
      </c>
      <c r="S417" t="str" cm="1">
        <f t="array" ref="S417">_xlfn.IFS(B417&lt;=25,"20-25",B417&lt;=35,"26-35",B417&lt;=45,"36-45",B417&gt;45,"46+")</f>
        <v>46+</v>
      </c>
      <c r="T417" t="str" cm="1">
        <f t="array" ref="T417">_xlfn.IFS(J417&lt;3500,"&lt;3.5K",J417&lt;5500,"3.5-5.5K",J417&lt;7500,"5.5-7.5K",J417&gt;=7500,"7.5K+")</f>
        <v>7.5K+</v>
      </c>
      <c r="U417">
        <f t="shared" si="6"/>
        <v>0</v>
      </c>
    </row>
    <row r="418" spans="1:21" x14ac:dyDescent="0.25">
      <c r="A418">
        <v>1866</v>
      </c>
      <c r="B418">
        <v>37</v>
      </c>
      <c r="C418" t="s">
        <v>16</v>
      </c>
      <c r="D418" t="s">
        <v>27</v>
      </c>
      <c r="E418" t="s">
        <v>28</v>
      </c>
      <c r="F418" t="s">
        <v>19</v>
      </c>
      <c r="G418" t="s">
        <v>37</v>
      </c>
      <c r="H418" t="s">
        <v>30</v>
      </c>
      <c r="I418">
        <v>14</v>
      </c>
      <c r="J418" s="2">
        <v>12926</v>
      </c>
      <c r="K418" t="s">
        <v>42</v>
      </c>
      <c r="L418">
        <v>3</v>
      </c>
      <c r="M418">
        <v>3</v>
      </c>
      <c r="N418">
        <v>6</v>
      </c>
      <c r="O418">
        <v>5</v>
      </c>
      <c r="P418">
        <v>17</v>
      </c>
      <c r="Q418" t="s">
        <v>22</v>
      </c>
      <c r="R418" t="str" cm="1">
        <f t="array" ref="R418">_xlfn.IFS(N418&lt;=1,"0-1 yrs",N418&lt;=4,"2-4 yrs",N418&lt;=9,"5-9 yrs",N418&gt;9,"10+ yrs")</f>
        <v>5-9 yrs</v>
      </c>
      <c r="S418" t="str" cm="1">
        <f t="array" ref="S418">_xlfn.IFS(B418&lt;=25,"20-25",B418&lt;=35,"26-35",B418&lt;=45,"36-45",B418&gt;45,"46+")</f>
        <v>36-45</v>
      </c>
      <c r="T418" t="str" cm="1">
        <f t="array" ref="T418">_xlfn.IFS(J418&lt;3500,"&lt;3.5K",J418&lt;5500,"3.5-5.5K",J418&lt;7500,"5.5-7.5K",J418&gt;=7500,"7.5K+")</f>
        <v>7.5K+</v>
      </c>
      <c r="U418">
        <f t="shared" si="6"/>
        <v>0</v>
      </c>
    </row>
    <row r="419" spans="1:21" x14ac:dyDescent="0.25">
      <c r="A419">
        <v>1777</v>
      </c>
      <c r="B419">
        <v>26</v>
      </c>
      <c r="C419" t="s">
        <v>16</v>
      </c>
      <c r="D419" t="s">
        <v>27</v>
      </c>
      <c r="E419" t="s">
        <v>44</v>
      </c>
      <c r="F419" t="s">
        <v>32</v>
      </c>
      <c r="G419" t="s">
        <v>33</v>
      </c>
      <c r="H419" t="s">
        <v>30</v>
      </c>
      <c r="I419">
        <v>25</v>
      </c>
      <c r="J419" s="2">
        <v>8082</v>
      </c>
      <c r="K419" t="s">
        <v>22</v>
      </c>
      <c r="L419">
        <v>3</v>
      </c>
      <c r="M419">
        <v>3</v>
      </c>
      <c r="N419">
        <v>0</v>
      </c>
      <c r="O419">
        <v>0</v>
      </c>
      <c r="P419">
        <v>2</v>
      </c>
      <c r="Q419" t="s">
        <v>42</v>
      </c>
      <c r="R419" t="str" cm="1">
        <f t="array" ref="R419">_xlfn.IFS(N419&lt;=1,"0-1 yrs",N419&lt;=4,"2-4 yrs",N419&lt;=9,"5-9 yrs",N419&gt;9,"10+ yrs")</f>
        <v>0-1 yrs</v>
      </c>
      <c r="S419" t="str" cm="1">
        <f t="array" ref="S419">_xlfn.IFS(B419&lt;=25,"20-25",B419&lt;=35,"26-35",B419&lt;=45,"36-45",B419&gt;45,"46+")</f>
        <v>26-35</v>
      </c>
      <c r="T419" t="str" cm="1">
        <f t="array" ref="T419">_xlfn.IFS(J419&lt;3500,"&lt;3.5K",J419&lt;5500,"3.5-5.5K",J419&lt;7500,"5.5-7.5K",J419&gt;=7500,"7.5K+")</f>
        <v>7.5K+</v>
      </c>
      <c r="U419">
        <f t="shared" si="6"/>
        <v>1</v>
      </c>
    </row>
    <row r="420" spans="1:21" x14ac:dyDescent="0.25">
      <c r="A420">
        <v>1239</v>
      </c>
      <c r="B420">
        <v>30</v>
      </c>
      <c r="C420" t="s">
        <v>23</v>
      </c>
      <c r="D420" t="s">
        <v>24</v>
      </c>
      <c r="E420" t="s">
        <v>25</v>
      </c>
      <c r="F420" t="s">
        <v>32</v>
      </c>
      <c r="G420" t="s">
        <v>33</v>
      </c>
      <c r="H420" t="s">
        <v>30</v>
      </c>
      <c r="I420">
        <v>19</v>
      </c>
      <c r="J420" s="2">
        <v>9616</v>
      </c>
      <c r="K420" t="s">
        <v>42</v>
      </c>
      <c r="L420">
        <v>4</v>
      </c>
      <c r="M420">
        <v>1</v>
      </c>
      <c r="N420">
        <v>1</v>
      </c>
      <c r="O420">
        <v>1</v>
      </c>
      <c r="P420">
        <v>8</v>
      </c>
      <c r="Q420" t="s">
        <v>22</v>
      </c>
      <c r="R420" t="str" cm="1">
        <f t="array" ref="R420">_xlfn.IFS(N420&lt;=1,"0-1 yrs",N420&lt;=4,"2-4 yrs",N420&lt;=9,"5-9 yrs",N420&gt;9,"10+ yrs")</f>
        <v>0-1 yrs</v>
      </c>
      <c r="S420" t="str" cm="1">
        <f t="array" ref="S420">_xlfn.IFS(B420&lt;=25,"20-25",B420&lt;=35,"26-35",B420&lt;=45,"36-45",B420&gt;45,"46+")</f>
        <v>26-35</v>
      </c>
      <c r="T420" t="str" cm="1">
        <f t="array" ref="T420">_xlfn.IFS(J420&lt;3500,"&lt;3.5K",J420&lt;5500,"3.5-5.5K",J420&lt;7500,"5.5-7.5K",J420&gt;=7500,"7.5K+")</f>
        <v>7.5K+</v>
      </c>
      <c r="U420">
        <f t="shared" si="6"/>
        <v>0</v>
      </c>
    </row>
    <row r="421" spans="1:21" x14ac:dyDescent="0.25">
      <c r="A421">
        <v>1873</v>
      </c>
      <c r="B421">
        <v>56</v>
      </c>
      <c r="C421" t="s">
        <v>23</v>
      </c>
      <c r="D421" t="s">
        <v>24</v>
      </c>
      <c r="E421" t="s">
        <v>46</v>
      </c>
      <c r="F421" t="s">
        <v>38</v>
      </c>
      <c r="G421" t="s">
        <v>33</v>
      </c>
      <c r="H421" t="s">
        <v>30</v>
      </c>
      <c r="I421">
        <v>29</v>
      </c>
      <c r="J421" s="2">
        <v>11180</v>
      </c>
      <c r="K421" t="s">
        <v>22</v>
      </c>
      <c r="M421">
        <v>3</v>
      </c>
      <c r="N421">
        <v>6</v>
      </c>
      <c r="O421">
        <v>6</v>
      </c>
      <c r="P421">
        <v>36</v>
      </c>
      <c r="Q421" t="s">
        <v>22</v>
      </c>
      <c r="R421" t="str" cm="1">
        <f t="array" ref="R421">_xlfn.IFS(N421&lt;=1,"0-1 yrs",N421&lt;=4,"2-4 yrs",N421&lt;=9,"5-9 yrs",N421&gt;9,"10+ yrs")</f>
        <v>5-9 yrs</v>
      </c>
      <c r="S421" t="str" cm="1">
        <f t="array" ref="S421">_xlfn.IFS(B421&lt;=25,"20-25",B421&lt;=35,"26-35",B421&lt;=45,"36-45",B421&gt;45,"46+")</f>
        <v>46+</v>
      </c>
      <c r="T421" t="str" cm="1">
        <f t="array" ref="T421">_xlfn.IFS(J421&lt;3500,"&lt;3.5K",J421&lt;5500,"3.5-5.5K",J421&lt;7500,"5.5-7.5K",J421&gt;=7500,"7.5K+")</f>
        <v>7.5K+</v>
      </c>
      <c r="U421">
        <f t="shared" si="6"/>
        <v>0</v>
      </c>
    </row>
    <row r="422" spans="1:21" x14ac:dyDescent="0.25">
      <c r="A422">
        <v>1207</v>
      </c>
      <c r="B422">
        <v>46</v>
      </c>
      <c r="C422" t="s">
        <v>23</v>
      </c>
      <c r="D422" t="s">
        <v>17</v>
      </c>
      <c r="E422" t="s">
        <v>40</v>
      </c>
      <c r="F422" t="s">
        <v>19</v>
      </c>
      <c r="G422" t="s">
        <v>20</v>
      </c>
      <c r="H422" t="s">
        <v>30</v>
      </c>
      <c r="I422">
        <v>17</v>
      </c>
      <c r="J422" s="2">
        <v>8824</v>
      </c>
      <c r="K422" t="s">
        <v>22</v>
      </c>
      <c r="L422">
        <v>1</v>
      </c>
      <c r="M422">
        <v>2</v>
      </c>
      <c r="N422">
        <v>4</v>
      </c>
      <c r="O422">
        <v>2</v>
      </c>
      <c r="P422">
        <v>20</v>
      </c>
      <c r="Q422" t="s">
        <v>22</v>
      </c>
      <c r="R422" t="str" cm="1">
        <f t="array" ref="R422">_xlfn.IFS(N422&lt;=1,"0-1 yrs",N422&lt;=4,"2-4 yrs",N422&lt;=9,"5-9 yrs",N422&gt;9,"10+ yrs")</f>
        <v>2-4 yrs</v>
      </c>
      <c r="S422" t="str" cm="1">
        <f t="array" ref="S422">_xlfn.IFS(B422&lt;=25,"20-25",B422&lt;=35,"26-35",B422&lt;=45,"36-45",B422&gt;45,"46+")</f>
        <v>46+</v>
      </c>
      <c r="T422" t="str" cm="1">
        <f t="array" ref="T422">_xlfn.IFS(J422&lt;3500,"&lt;3.5K",J422&lt;5500,"3.5-5.5K",J422&lt;7500,"5.5-7.5K",J422&gt;=7500,"7.5K+")</f>
        <v>7.5K+</v>
      </c>
      <c r="U422">
        <f t="shared" si="6"/>
        <v>0</v>
      </c>
    </row>
    <row r="423" spans="1:21" x14ac:dyDescent="0.25">
      <c r="A423">
        <v>1372</v>
      </c>
      <c r="B423">
        <v>59</v>
      </c>
      <c r="C423" t="s">
        <v>23</v>
      </c>
      <c r="D423" t="s">
        <v>24</v>
      </c>
      <c r="E423" t="s">
        <v>52</v>
      </c>
      <c r="F423" t="s">
        <v>29</v>
      </c>
      <c r="G423" t="s">
        <v>37</v>
      </c>
      <c r="H423" t="s">
        <v>30</v>
      </c>
      <c r="I423">
        <v>28</v>
      </c>
      <c r="J423" s="2">
        <v>13271</v>
      </c>
      <c r="K423" t="s">
        <v>22</v>
      </c>
      <c r="L423">
        <v>4</v>
      </c>
      <c r="M423">
        <v>3</v>
      </c>
      <c r="N423">
        <v>20</v>
      </c>
      <c r="O423">
        <v>16</v>
      </c>
      <c r="P423">
        <v>39</v>
      </c>
      <c r="Q423" t="s">
        <v>22</v>
      </c>
      <c r="R423" t="str" cm="1">
        <f t="array" ref="R423">_xlfn.IFS(N423&lt;=1,"0-1 yrs",N423&lt;=4,"2-4 yrs",N423&lt;=9,"5-9 yrs",N423&gt;9,"10+ yrs")</f>
        <v>10+ yrs</v>
      </c>
      <c r="S423" t="str" cm="1">
        <f t="array" ref="S423">_xlfn.IFS(B423&lt;=25,"20-25",B423&lt;=35,"26-35",B423&lt;=45,"36-45",B423&gt;45,"46+")</f>
        <v>46+</v>
      </c>
      <c r="T423" t="str" cm="1">
        <f t="array" ref="T423">_xlfn.IFS(J423&lt;3500,"&lt;3.5K",J423&lt;5500,"3.5-5.5K",J423&lt;7500,"5.5-7.5K",J423&gt;=7500,"7.5K+")</f>
        <v>7.5K+</v>
      </c>
      <c r="U423">
        <f t="shared" si="6"/>
        <v>0</v>
      </c>
    </row>
    <row r="424" spans="1:21" x14ac:dyDescent="0.25">
      <c r="A424">
        <v>2000</v>
      </c>
      <c r="B424">
        <v>32</v>
      </c>
      <c r="C424" t="s">
        <v>16</v>
      </c>
      <c r="D424" t="s">
        <v>47</v>
      </c>
      <c r="E424" t="s">
        <v>48</v>
      </c>
      <c r="F424" t="s">
        <v>29</v>
      </c>
      <c r="G424" t="s">
        <v>20</v>
      </c>
      <c r="H424" t="s">
        <v>34</v>
      </c>
      <c r="I424">
        <v>11</v>
      </c>
      <c r="J424" s="2">
        <v>6738</v>
      </c>
      <c r="K424" t="s">
        <v>42</v>
      </c>
      <c r="L424">
        <v>1</v>
      </c>
      <c r="M424">
        <v>3</v>
      </c>
      <c r="N424">
        <v>3</v>
      </c>
      <c r="O424">
        <v>1</v>
      </c>
      <c r="P424">
        <v>4</v>
      </c>
      <c r="Q424" t="s">
        <v>22</v>
      </c>
      <c r="R424" t="str" cm="1">
        <f t="array" ref="R424">_xlfn.IFS(N424&lt;=1,"0-1 yrs",N424&lt;=4,"2-4 yrs",N424&lt;=9,"5-9 yrs",N424&gt;9,"10+ yrs")</f>
        <v>2-4 yrs</v>
      </c>
      <c r="S424" t="str" cm="1">
        <f t="array" ref="S424">_xlfn.IFS(B424&lt;=25,"20-25",B424&lt;=35,"26-35",B424&lt;=45,"36-45",B424&gt;45,"46+")</f>
        <v>26-35</v>
      </c>
      <c r="T424" t="str" cm="1">
        <f t="array" ref="T424">_xlfn.IFS(J424&lt;3500,"&lt;3.5K",J424&lt;5500,"3.5-5.5K",J424&lt;7500,"5.5-7.5K",J424&gt;=7500,"7.5K+")</f>
        <v>5.5-7.5K</v>
      </c>
      <c r="U424">
        <f t="shared" si="6"/>
        <v>0</v>
      </c>
    </row>
    <row r="425" spans="1:21" x14ac:dyDescent="0.25">
      <c r="A425">
        <v>1282</v>
      </c>
      <c r="B425">
        <v>50</v>
      </c>
      <c r="C425" t="s">
        <v>16</v>
      </c>
      <c r="D425" t="s">
        <v>27</v>
      </c>
      <c r="E425" t="s">
        <v>31</v>
      </c>
      <c r="F425" t="s">
        <v>38</v>
      </c>
      <c r="G425" t="s">
        <v>20</v>
      </c>
      <c r="H425" t="s">
        <v>34</v>
      </c>
      <c r="I425">
        <v>26</v>
      </c>
      <c r="J425" s="2">
        <v>11780</v>
      </c>
      <c r="K425" t="s">
        <v>22</v>
      </c>
      <c r="L425">
        <v>2</v>
      </c>
      <c r="M425">
        <v>3</v>
      </c>
      <c r="N425">
        <v>23</v>
      </c>
      <c r="O425">
        <v>12</v>
      </c>
      <c r="P425">
        <v>27</v>
      </c>
      <c r="Q425" t="s">
        <v>22</v>
      </c>
      <c r="R425" t="str" cm="1">
        <f t="array" ref="R425">_xlfn.IFS(N425&lt;=1,"0-1 yrs",N425&lt;=4,"2-4 yrs",N425&lt;=9,"5-9 yrs",N425&gt;9,"10+ yrs")</f>
        <v>10+ yrs</v>
      </c>
      <c r="S425" t="str" cm="1">
        <f t="array" ref="S425">_xlfn.IFS(B425&lt;=25,"20-25",B425&lt;=35,"26-35",B425&lt;=45,"36-45",B425&gt;45,"46+")</f>
        <v>46+</v>
      </c>
      <c r="T425" t="str" cm="1">
        <f t="array" ref="T425">_xlfn.IFS(J425&lt;3500,"&lt;3.5K",J425&lt;5500,"3.5-5.5K",J425&lt;7500,"5.5-7.5K",J425&gt;=7500,"7.5K+")</f>
        <v>7.5K+</v>
      </c>
      <c r="U425">
        <f t="shared" si="6"/>
        <v>0</v>
      </c>
    </row>
    <row r="426" spans="1:21" x14ac:dyDescent="0.25">
      <c r="A426">
        <v>1203</v>
      </c>
      <c r="B426">
        <v>22</v>
      </c>
      <c r="C426" t="s">
        <v>16</v>
      </c>
      <c r="D426" t="s">
        <v>47</v>
      </c>
      <c r="E426" t="s">
        <v>48</v>
      </c>
      <c r="F426" t="s">
        <v>26</v>
      </c>
      <c r="G426" t="s">
        <v>33</v>
      </c>
      <c r="H426" t="s">
        <v>30</v>
      </c>
      <c r="I426">
        <v>24</v>
      </c>
      <c r="J426" s="2">
        <v>4888</v>
      </c>
      <c r="K426" t="s">
        <v>42</v>
      </c>
      <c r="L426">
        <v>2</v>
      </c>
      <c r="M426">
        <v>3</v>
      </c>
      <c r="N426">
        <v>0</v>
      </c>
      <c r="O426">
        <v>0</v>
      </c>
      <c r="P426">
        <v>0</v>
      </c>
      <c r="Q426" t="s">
        <v>42</v>
      </c>
      <c r="R426" t="str" cm="1">
        <f t="array" ref="R426">_xlfn.IFS(N426&lt;=1,"0-1 yrs",N426&lt;=4,"2-4 yrs",N426&lt;=9,"5-9 yrs",N426&gt;9,"10+ yrs")</f>
        <v>0-1 yrs</v>
      </c>
      <c r="S426" t="str" cm="1">
        <f t="array" ref="S426">_xlfn.IFS(B426&lt;=25,"20-25",B426&lt;=35,"26-35",B426&lt;=45,"36-45",B426&gt;45,"46+")</f>
        <v>20-25</v>
      </c>
      <c r="T426" t="str" cm="1">
        <f t="array" ref="T426">_xlfn.IFS(J426&lt;3500,"&lt;3.5K",J426&lt;5500,"3.5-5.5K",J426&lt;7500,"5.5-7.5K",J426&gt;=7500,"7.5K+")</f>
        <v>3.5-5.5K</v>
      </c>
      <c r="U426">
        <f t="shared" si="6"/>
        <v>1</v>
      </c>
    </row>
    <row r="427" spans="1:21" x14ac:dyDescent="0.25">
      <c r="A427">
        <v>1439</v>
      </c>
      <c r="B427">
        <v>49</v>
      </c>
      <c r="C427" t="s">
        <v>16</v>
      </c>
      <c r="D427" t="s">
        <v>47</v>
      </c>
      <c r="E427" t="s">
        <v>48</v>
      </c>
      <c r="F427" t="s">
        <v>29</v>
      </c>
      <c r="G427" t="s">
        <v>37</v>
      </c>
      <c r="H427" t="s">
        <v>34</v>
      </c>
      <c r="I427">
        <v>25</v>
      </c>
      <c r="J427" s="2">
        <v>10402</v>
      </c>
      <c r="K427" t="s">
        <v>22</v>
      </c>
      <c r="L427">
        <v>3</v>
      </c>
      <c r="M427">
        <v>4</v>
      </c>
      <c r="N427">
        <v>23</v>
      </c>
      <c r="O427">
        <v>17</v>
      </c>
      <c r="P427">
        <v>27</v>
      </c>
      <c r="Q427" t="s">
        <v>22</v>
      </c>
      <c r="R427" t="str" cm="1">
        <f t="array" ref="R427">_xlfn.IFS(N427&lt;=1,"0-1 yrs",N427&lt;=4,"2-4 yrs",N427&lt;=9,"5-9 yrs",N427&gt;9,"10+ yrs")</f>
        <v>10+ yrs</v>
      </c>
      <c r="S427" t="str" cm="1">
        <f t="array" ref="S427">_xlfn.IFS(B427&lt;=25,"20-25",B427&lt;=35,"26-35",B427&lt;=45,"36-45",B427&gt;45,"46+")</f>
        <v>46+</v>
      </c>
      <c r="T427" t="str" cm="1">
        <f t="array" ref="T427">_xlfn.IFS(J427&lt;3500,"&lt;3.5K",J427&lt;5500,"3.5-5.5K",J427&lt;7500,"5.5-7.5K",J427&gt;=7500,"7.5K+")</f>
        <v>7.5K+</v>
      </c>
      <c r="U427">
        <f t="shared" si="6"/>
        <v>0</v>
      </c>
    </row>
    <row r="428" spans="1:21" x14ac:dyDescent="0.25">
      <c r="A428">
        <v>1347</v>
      </c>
      <c r="B428">
        <v>46</v>
      </c>
      <c r="C428" t="s">
        <v>23</v>
      </c>
      <c r="D428" t="s">
        <v>24</v>
      </c>
      <c r="E428" t="s">
        <v>45</v>
      </c>
      <c r="F428" t="s">
        <v>29</v>
      </c>
      <c r="G428" t="s">
        <v>33</v>
      </c>
      <c r="H428" t="s">
        <v>21</v>
      </c>
      <c r="I428">
        <v>2</v>
      </c>
      <c r="J428" s="2">
        <v>9618</v>
      </c>
      <c r="K428" t="s">
        <v>22</v>
      </c>
      <c r="L428">
        <v>4</v>
      </c>
      <c r="M428">
        <v>1</v>
      </c>
      <c r="N428">
        <v>24</v>
      </c>
      <c r="O428">
        <v>7</v>
      </c>
      <c r="P428">
        <v>24</v>
      </c>
      <c r="Q428" t="s">
        <v>22</v>
      </c>
      <c r="R428" t="str" cm="1">
        <f t="array" ref="R428">_xlfn.IFS(N428&lt;=1,"0-1 yrs",N428&lt;=4,"2-4 yrs",N428&lt;=9,"5-9 yrs",N428&gt;9,"10+ yrs")</f>
        <v>10+ yrs</v>
      </c>
      <c r="S428" t="str" cm="1">
        <f t="array" ref="S428">_xlfn.IFS(B428&lt;=25,"20-25",B428&lt;=35,"26-35",B428&lt;=45,"36-45",B428&gt;45,"46+")</f>
        <v>46+</v>
      </c>
      <c r="T428" t="str" cm="1">
        <f t="array" ref="T428">_xlfn.IFS(J428&lt;3500,"&lt;3.5K",J428&lt;5500,"3.5-5.5K",J428&lt;7500,"5.5-7.5K",J428&gt;=7500,"7.5K+")</f>
        <v>7.5K+</v>
      </c>
      <c r="U428">
        <f t="shared" si="6"/>
        <v>0</v>
      </c>
    </row>
    <row r="429" spans="1:21" x14ac:dyDescent="0.25">
      <c r="A429">
        <v>1251</v>
      </c>
      <c r="B429">
        <v>21</v>
      </c>
      <c r="C429" t="s">
        <v>23</v>
      </c>
      <c r="D429" t="s">
        <v>47</v>
      </c>
      <c r="E429" t="s">
        <v>50</v>
      </c>
      <c r="F429" t="s">
        <v>38</v>
      </c>
      <c r="G429" t="s">
        <v>37</v>
      </c>
      <c r="H429" t="s">
        <v>34</v>
      </c>
      <c r="I429">
        <v>6</v>
      </c>
      <c r="J429" s="2">
        <v>8135</v>
      </c>
      <c r="K429" t="s">
        <v>22</v>
      </c>
      <c r="L429">
        <v>2</v>
      </c>
      <c r="M429">
        <v>1</v>
      </c>
      <c r="N429">
        <v>0</v>
      </c>
      <c r="O429">
        <v>0</v>
      </c>
      <c r="P429">
        <v>0</v>
      </c>
      <c r="Q429" t="s">
        <v>42</v>
      </c>
      <c r="R429" t="str" cm="1">
        <f t="array" ref="R429">_xlfn.IFS(N429&lt;=1,"0-1 yrs",N429&lt;=4,"2-4 yrs",N429&lt;=9,"5-9 yrs",N429&gt;9,"10+ yrs")</f>
        <v>0-1 yrs</v>
      </c>
      <c r="S429" t="str" cm="1">
        <f t="array" ref="S429">_xlfn.IFS(B429&lt;=25,"20-25",B429&lt;=35,"26-35",B429&lt;=45,"36-45",B429&gt;45,"46+")</f>
        <v>20-25</v>
      </c>
      <c r="T429" t="str" cm="1">
        <f t="array" ref="T429">_xlfn.IFS(J429&lt;3500,"&lt;3.5K",J429&lt;5500,"3.5-5.5K",J429&lt;7500,"5.5-7.5K",J429&gt;=7500,"7.5K+")</f>
        <v>7.5K+</v>
      </c>
      <c r="U429">
        <f t="shared" si="6"/>
        <v>1</v>
      </c>
    </row>
    <row r="430" spans="1:21" x14ac:dyDescent="0.25">
      <c r="A430">
        <v>1410</v>
      </c>
      <c r="B430">
        <v>54</v>
      </c>
      <c r="C430" t="s">
        <v>23</v>
      </c>
      <c r="D430" t="s">
        <v>24</v>
      </c>
      <c r="E430" t="s">
        <v>46</v>
      </c>
      <c r="F430" t="s">
        <v>38</v>
      </c>
      <c r="G430" t="s">
        <v>33</v>
      </c>
      <c r="H430" t="s">
        <v>21</v>
      </c>
      <c r="I430">
        <v>13</v>
      </c>
      <c r="J430" s="2">
        <v>12363</v>
      </c>
      <c r="K430" t="s">
        <v>22</v>
      </c>
      <c r="L430">
        <v>3</v>
      </c>
      <c r="M430">
        <v>3</v>
      </c>
      <c r="N430">
        <v>22</v>
      </c>
      <c r="O430">
        <v>15</v>
      </c>
      <c r="P430">
        <v>30</v>
      </c>
      <c r="Q430" t="s">
        <v>42</v>
      </c>
      <c r="R430" t="str" cm="1">
        <f t="array" ref="R430">_xlfn.IFS(N430&lt;=1,"0-1 yrs",N430&lt;=4,"2-4 yrs",N430&lt;=9,"5-9 yrs",N430&gt;9,"10+ yrs")</f>
        <v>10+ yrs</v>
      </c>
      <c r="S430" t="str" cm="1">
        <f t="array" ref="S430">_xlfn.IFS(B430&lt;=25,"20-25",B430&lt;=35,"26-35",B430&lt;=45,"36-45",B430&gt;45,"46+")</f>
        <v>46+</v>
      </c>
      <c r="T430" t="str" cm="1">
        <f t="array" ref="T430">_xlfn.IFS(J430&lt;3500,"&lt;3.5K",J430&lt;5500,"3.5-5.5K",J430&lt;7500,"5.5-7.5K",J430&gt;=7500,"7.5K+")</f>
        <v>7.5K+</v>
      </c>
      <c r="U430">
        <f t="shared" si="6"/>
        <v>1</v>
      </c>
    </row>
    <row r="431" spans="1:21" x14ac:dyDescent="0.25">
      <c r="A431">
        <v>1938</v>
      </c>
      <c r="B431">
        <v>51</v>
      </c>
      <c r="C431" t="s">
        <v>16</v>
      </c>
      <c r="D431" t="s">
        <v>24</v>
      </c>
      <c r="E431" t="s">
        <v>52</v>
      </c>
      <c r="F431" t="s">
        <v>19</v>
      </c>
      <c r="G431" t="s">
        <v>37</v>
      </c>
      <c r="H431" t="s">
        <v>30</v>
      </c>
      <c r="I431">
        <v>12</v>
      </c>
      <c r="J431" s="2">
        <v>8902</v>
      </c>
      <c r="K431" t="s">
        <v>22</v>
      </c>
      <c r="L431">
        <v>2</v>
      </c>
      <c r="M431">
        <v>4</v>
      </c>
      <c r="N431">
        <v>20</v>
      </c>
      <c r="O431">
        <v>14</v>
      </c>
      <c r="P431">
        <v>23</v>
      </c>
      <c r="Q431" t="s">
        <v>22</v>
      </c>
      <c r="R431" t="str" cm="1">
        <f t="array" ref="R431">_xlfn.IFS(N431&lt;=1,"0-1 yrs",N431&lt;=4,"2-4 yrs",N431&lt;=9,"5-9 yrs",N431&gt;9,"10+ yrs")</f>
        <v>10+ yrs</v>
      </c>
      <c r="S431" t="str" cm="1">
        <f t="array" ref="S431">_xlfn.IFS(B431&lt;=25,"20-25",B431&lt;=35,"26-35",B431&lt;=45,"36-45",B431&gt;45,"46+")</f>
        <v>46+</v>
      </c>
      <c r="T431" t="str" cm="1">
        <f t="array" ref="T431">_xlfn.IFS(J431&lt;3500,"&lt;3.5K",J431&lt;5500,"3.5-5.5K",J431&lt;7500,"5.5-7.5K",J431&gt;=7500,"7.5K+")</f>
        <v>7.5K+</v>
      </c>
      <c r="U431">
        <f t="shared" si="6"/>
        <v>0</v>
      </c>
    </row>
    <row r="432" spans="1:21" x14ac:dyDescent="0.25">
      <c r="A432">
        <v>1236</v>
      </c>
      <c r="B432">
        <v>28</v>
      </c>
      <c r="C432" t="s">
        <v>16</v>
      </c>
      <c r="D432" t="s">
        <v>47</v>
      </c>
      <c r="E432" t="s">
        <v>48</v>
      </c>
      <c r="F432" t="s">
        <v>41</v>
      </c>
      <c r="G432" t="s">
        <v>37</v>
      </c>
      <c r="H432" t="s">
        <v>21</v>
      </c>
      <c r="I432">
        <v>27</v>
      </c>
      <c r="J432" s="2">
        <v>8274</v>
      </c>
      <c r="K432" t="s">
        <v>22</v>
      </c>
      <c r="L432">
        <v>1</v>
      </c>
      <c r="M432">
        <v>2</v>
      </c>
      <c r="N432">
        <v>1</v>
      </c>
      <c r="O432">
        <v>1</v>
      </c>
      <c r="P432">
        <v>1</v>
      </c>
      <c r="Q432" t="s">
        <v>22</v>
      </c>
      <c r="R432" t="str" cm="1">
        <f t="array" ref="R432">_xlfn.IFS(N432&lt;=1,"0-1 yrs",N432&lt;=4,"2-4 yrs",N432&lt;=9,"5-9 yrs",N432&gt;9,"10+ yrs")</f>
        <v>0-1 yrs</v>
      </c>
      <c r="S432" t="str" cm="1">
        <f t="array" ref="S432">_xlfn.IFS(B432&lt;=25,"20-25",B432&lt;=35,"26-35",B432&lt;=45,"36-45",B432&gt;45,"46+")</f>
        <v>26-35</v>
      </c>
      <c r="T432" t="str" cm="1">
        <f t="array" ref="T432">_xlfn.IFS(J432&lt;3500,"&lt;3.5K",J432&lt;5500,"3.5-5.5K",J432&lt;7500,"5.5-7.5K",J432&gt;=7500,"7.5K+")</f>
        <v>7.5K+</v>
      </c>
      <c r="U432">
        <f t="shared" si="6"/>
        <v>0</v>
      </c>
    </row>
    <row r="433" spans="1:21" x14ac:dyDescent="0.25">
      <c r="A433">
        <v>1586</v>
      </c>
      <c r="B433">
        <v>58</v>
      </c>
      <c r="C433" t="s">
        <v>23</v>
      </c>
      <c r="D433" t="s">
        <v>17</v>
      </c>
      <c r="E433" t="s">
        <v>40</v>
      </c>
      <c r="F433" t="s">
        <v>26</v>
      </c>
      <c r="G433" t="s">
        <v>37</v>
      </c>
      <c r="H433" t="s">
        <v>21</v>
      </c>
      <c r="I433">
        <v>29</v>
      </c>
      <c r="J433" s="2">
        <v>12364</v>
      </c>
      <c r="K433" t="s">
        <v>22</v>
      </c>
      <c r="L433">
        <v>3</v>
      </c>
      <c r="M433">
        <v>2</v>
      </c>
      <c r="N433">
        <v>12</v>
      </c>
      <c r="O433">
        <v>10</v>
      </c>
      <c r="P433">
        <v>30</v>
      </c>
      <c r="Q433" t="s">
        <v>22</v>
      </c>
      <c r="R433" t="str" cm="1">
        <f t="array" ref="R433">_xlfn.IFS(N433&lt;=1,"0-1 yrs",N433&lt;=4,"2-4 yrs",N433&lt;=9,"5-9 yrs",N433&gt;9,"10+ yrs")</f>
        <v>10+ yrs</v>
      </c>
      <c r="S433" t="str" cm="1">
        <f t="array" ref="S433">_xlfn.IFS(B433&lt;=25,"20-25",B433&lt;=35,"26-35",B433&lt;=45,"36-45",B433&gt;45,"46+")</f>
        <v>46+</v>
      </c>
      <c r="T433" t="str" cm="1">
        <f t="array" ref="T433">_xlfn.IFS(J433&lt;3500,"&lt;3.5K",J433&lt;5500,"3.5-5.5K",J433&lt;7500,"5.5-7.5K",J433&gt;=7500,"7.5K+")</f>
        <v>7.5K+</v>
      </c>
      <c r="U433">
        <f t="shared" si="6"/>
        <v>0</v>
      </c>
    </row>
    <row r="434" spans="1:21" x14ac:dyDescent="0.25">
      <c r="A434">
        <v>1001</v>
      </c>
      <c r="B434">
        <v>37</v>
      </c>
      <c r="C434" t="s">
        <v>16</v>
      </c>
      <c r="D434" t="s">
        <v>38</v>
      </c>
      <c r="E434" t="s">
        <v>39</v>
      </c>
      <c r="F434" t="s">
        <v>36</v>
      </c>
      <c r="G434" t="s">
        <v>37</v>
      </c>
      <c r="H434" t="s">
        <v>34</v>
      </c>
      <c r="I434">
        <v>8</v>
      </c>
      <c r="J434" s="2">
        <v>7907</v>
      </c>
      <c r="K434" t="s">
        <v>42</v>
      </c>
      <c r="L434">
        <v>1</v>
      </c>
      <c r="M434">
        <v>1</v>
      </c>
      <c r="N434">
        <v>1</v>
      </c>
      <c r="O434">
        <v>0</v>
      </c>
      <c r="P434">
        <v>13</v>
      </c>
      <c r="Q434" t="s">
        <v>42</v>
      </c>
      <c r="R434" t="str" cm="1">
        <f t="array" ref="R434">_xlfn.IFS(N434&lt;=1,"0-1 yrs",N434&lt;=4,"2-4 yrs",N434&lt;=9,"5-9 yrs",N434&gt;9,"10+ yrs")</f>
        <v>0-1 yrs</v>
      </c>
      <c r="S434" t="str" cm="1">
        <f t="array" ref="S434">_xlfn.IFS(B434&lt;=25,"20-25",B434&lt;=35,"26-35",B434&lt;=45,"36-45",B434&gt;45,"46+")</f>
        <v>36-45</v>
      </c>
      <c r="T434" t="str" cm="1">
        <f t="array" ref="T434">_xlfn.IFS(J434&lt;3500,"&lt;3.5K",J434&lt;5500,"3.5-5.5K",J434&lt;7500,"5.5-7.5K",J434&gt;=7500,"7.5K+")</f>
        <v>7.5K+</v>
      </c>
      <c r="U434">
        <f t="shared" si="6"/>
        <v>1</v>
      </c>
    </row>
    <row r="435" spans="1:21" x14ac:dyDescent="0.25">
      <c r="A435">
        <v>1465</v>
      </c>
      <c r="B435">
        <v>50</v>
      </c>
      <c r="C435" t="s">
        <v>16</v>
      </c>
      <c r="D435" t="s">
        <v>27</v>
      </c>
      <c r="E435" t="s">
        <v>28</v>
      </c>
      <c r="F435" t="s">
        <v>19</v>
      </c>
      <c r="G435" t="s">
        <v>20</v>
      </c>
      <c r="H435" t="s">
        <v>34</v>
      </c>
      <c r="I435">
        <v>12</v>
      </c>
      <c r="J435" s="2">
        <v>13428</v>
      </c>
      <c r="K435" t="s">
        <v>22</v>
      </c>
      <c r="L435">
        <v>4</v>
      </c>
      <c r="M435">
        <v>4</v>
      </c>
      <c r="N435">
        <v>1</v>
      </c>
      <c r="O435">
        <v>1</v>
      </c>
      <c r="P435">
        <v>23</v>
      </c>
      <c r="Q435" t="s">
        <v>22</v>
      </c>
      <c r="R435" t="str" cm="1">
        <f t="array" ref="R435">_xlfn.IFS(N435&lt;=1,"0-1 yrs",N435&lt;=4,"2-4 yrs",N435&lt;=9,"5-9 yrs",N435&gt;9,"10+ yrs")</f>
        <v>0-1 yrs</v>
      </c>
      <c r="S435" t="str" cm="1">
        <f t="array" ref="S435">_xlfn.IFS(B435&lt;=25,"20-25",B435&lt;=35,"26-35",B435&lt;=45,"36-45",B435&gt;45,"46+")</f>
        <v>46+</v>
      </c>
      <c r="T435" t="str" cm="1">
        <f t="array" ref="T435">_xlfn.IFS(J435&lt;3500,"&lt;3.5K",J435&lt;5500,"3.5-5.5K",J435&lt;7500,"5.5-7.5K",J435&gt;=7500,"7.5K+")</f>
        <v>7.5K+</v>
      </c>
      <c r="U435">
        <f t="shared" si="6"/>
        <v>0</v>
      </c>
    </row>
    <row r="436" spans="1:21" x14ac:dyDescent="0.25">
      <c r="A436">
        <v>1710</v>
      </c>
      <c r="B436">
        <v>45</v>
      </c>
      <c r="C436" t="s">
        <v>16</v>
      </c>
      <c r="D436" t="s">
        <v>24</v>
      </c>
      <c r="E436" t="s">
        <v>25</v>
      </c>
      <c r="F436" t="s">
        <v>36</v>
      </c>
      <c r="G436" t="s">
        <v>20</v>
      </c>
      <c r="H436" t="s">
        <v>30</v>
      </c>
      <c r="I436">
        <v>21</v>
      </c>
      <c r="J436" s="2">
        <v>14761</v>
      </c>
      <c r="K436" t="s">
        <v>22</v>
      </c>
      <c r="L436">
        <v>3</v>
      </c>
      <c r="M436">
        <v>4</v>
      </c>
      <c r="N436">
        <v>15</v>
      </c>
      <c r="O436">
        <v>1</v>
      </c>
      <c r="P436">
        <v>25</v>
      </c>
      <c r="Q436" t="s">
        <v>22</v>
      </c>
      <c r="R436" t="str" cm="1">
        <f t="array" ref="R436">_xlfn.IFS(N436&lt;=1,"0-1 yrs",N436&lt;=4,"2-4 yrs",N436&lt;=9,"5-9 yrs",N436&gt;9,"10+ yrs")</f>
        <v>10+ yrs</v>
      </c>
      <c r="S436" t="str" cm="1">
        <f t="array" ref="S436">_xlfn.IFS(B436&lt;=25,"20-25",B436&lt;=35,"26-35",B436&lt;=45,"36-45",B436&gt;45,"46+")</f>
        <v>36-45</v>
      </c>
      <c r="T436" t="str" cm="1">
        <f t="array" ref="T436">_xlfn.IFS(J436&lt;3500,"&lt;3.5K",J436&lt;5500,"3.5-5.5K",J436&lt;7500,"5.5-7.5K",J436&gt;=7500,"7.5K+")</f>
        <v>7.5K+</v>
      </c>
      <c r="U436">
        <f t="shared" si="6"/>
        <v>0</v>
      </c>
    </row>
    <row r="437" spans="1:21" x14ac:dyDescent="0.25">
      <c r="A437">
        <v>1501</v>
      </c>
      <c r="B437">
        <v>29</v>
      </c>
      <c r="C437" t="s">
        <v>16</v>
      </c>
      <c r="D437" t="s">
        <v>17</v>
      </c>
      <c r="E437" t="s">
        <v>18</v>
      </c>
      <c r="F437" t="s">
        <v>32</v>
      </c>
      <c r="G437" t="s">
        <v>33</v>
      </c>
      <c r="H437" t="s">
        <v>30</v>
      </c>
      <c r="I437">
        <v>26</v>
      </c>
      <c r="J437" s="2">
        <v>9596</v>
      </c>
      <c r="K437" t="s">
        <v>42</v>
      </c>
      <c r="L437">
        <v>4</v>
      </c>
      <c r="M437">
        <v>4</v>
      </c>
      <c r="N437">
        <v>8</v>
      </c>
      <c r="O437">
        <v>1</v>
      </c>
      <c r="P437">
        <v>9</v>
      </c>
      <c r="Q437" t="s">
        <v>22</v>
      </c>
      <c r="R437" t="str" cm="1">
        <f t="array" ref="R437">_xlfn.IFS(N437&lt;=1,"0-1 yrs",N437&lt;=4,"2-4 yrs",N437&lt;=9,"5-9 yrs",N437&gt;9,"10+ yrs")</f>
        <v>5-9 yrs</v>
      </c>
      <c r="S437" t="str" cm="1">
        <f t="array" ref="S437">_xlfn.IFS(B437&lt;=25,"20-25",B437&lt;=35,"26-35",B437&lt;=45,"36-45",B437&gt;45,"46+")</f>
        <v>26-35</v>
      </c>
      <c r="T437" t="str" cm="1">
        <f t="array" ref="T437">_xlfn.IFS(J437&lt;3500,"&lt;3.5K",J437&lt;5500,"3.5-5.5K",J437&lt;7500,"5.5-7.5K",J437&gt;=7500,"7.5K+")</f>
        <v>7.5K+</v>
      </c>
      <c r="U437">
        <f t="shared" si="6"/>
        <v>0</v>
      </c>
    </row>
    <row r="438" spans="1:21" x14ac:dyDescent="0.25">
      <c r="A438">
        <v>1593</v>
      </c>
      <c r="B438">
        <v>29</v>
      </c>
      <c r="C438" t="s">
        <v>16</v>
      </c>
      <c r="D438" t="s">
        <v>24</v>
      </c>
      <c r="E438" t="s">
        <v>45</v>
      </c>
      <c r="F438" t="s">
        <v>32</v>
      </c>
      <c r="G438" t="s">
        <v>37</v>
      </c>
      <c r="H438" t="s">
        <v>30</v>
      </c>
      <c r="I438">
        <v>10</v>
      </c>
      <c r="J438" s="2">
        <v>4787</v>
      </c>
      <c r="K438" t="s">
        <v>22</v>
      </c>
      <c r="L438">
        <v>4</v>
      </c>
      <c r="M438">
        <v>1</v>
      </c>
      <c r="N438">
        <v>0</v>
      </c>
      <c r="O438">
        <v>0</v>
      </c>
      <c r="P438">
        <v>8</v>
      </c>
      <c r="Q438" t="s">
        <v>22</v>
      </c>
      <c r="R438" t="str" cm="1">
        <f t="array" ref="R438">_xlfn.IFS(N438&lt;=1,"0-1 yrs",N438&lt;=4,"2-4 yrs",N438&lt;=9,"5-9 yrs",N438&gt;9,"10+ yrs")</f>
        <v>0-1 yrs</v>
      </c>
      <c r="S438" t="str" cm="1">
        <f t="array" ref="S438">_xlfn.IFS(B438&lt;=25,"20-25",B438&lt;=35,"26-35",B438&lt;=45,"36-45",B438&gt;45,"46+")</f>
        <v>26-35</v>
      </c>
      <c r="T438" t="str" cm="1">
        <f t="array" ref="T438">_xlfn.IFS(J438&lt;3500,"&lt;3.5K",J438&lt;5500,"3.5-5.5K",J438&lt;7500,"5.5-7.5K",J438&gt;=7500,"7.5K+")</f>
        <v>3.5-5.5K</v>
      </c>
      <c r="U438">
        <f t="shared" si="6"/>
        <v>0</v>
      </c>
    </row>
    <row r="439" spans="1:21" x14ac:dyDescent="0.25">
      <c r="A439">
        <v>1584</v>
      </c>
      <c r="B439">
        <v>47</v>
      </c>
      <c r="C439" t="s">
        <v>23</v>
      </c>
      <c r="D439" t="s">
        <v>38</v>
      </c>
      <c r="E439" t="s">
        <v>49</v>
      </c>
      <c r="F439" t="s">
        <v>41</v>
      </c>
      <c r="G439" t="s">
        <v>33</v>
      </c>
      <c r="H439" t="s">
        <v>34</v>
      </c>
      <c r="I439">
        <v>1</v>
      </c>
      <c r="J439" s="2">
        <v>13468</v>
      </c>
      <c r="K439" t="s">
        <v>22</v>
      </c>
      <c r="L439">
        <v>1</v>
      </c>
      <c r="M439">
        <v>4</v>
      </c>
      <c r="N439">
        <v>11</v>
      </c>
      <c r="O439">
        <v>5</v>
      </c>
      <c r="P439">
        <v>25</v>
      </c>
      <c r="Q439" t="s">
        <v>22</v>
      </c>
      <c r="R439" t="str" cm="1">
        <f t="array" ref="R439">_xlfn.IFS(N439&lt;=1,"0-1 yrs",N439&lt;=4,"2-4 yrs",N439&lt;=9,"5-9 yrs",N439&gt;9,"10+ yrs")</f>
        <v>10+ yrs</v>
      </c>
      <c r="S439" t="str" cm="1">
        <f t="array" ref="S439">_xlfn.IFS(B439&lt;=25,"20-25",B439&lt;=35,"26-35",B439&lt;=45,"36-45",B439&gt;45,"46+")</f>
        <v>46+</v>
      </c>
      <c r="T439" t="str" cm="1">
        <f t="array" ref="T439">_xlfn.IFS(J439&lt;3500,"&lt;3.5K",J439&lt;5500,"3.5-5.5K",J439&lt;7500,"5.5-7.5K",J439&gt;=7500,"7.5K+")</f>
        <v>7.5K+</v>
      </c>
      <c r="U439">
        <f t="shared" si="6"/>
        <v>0</v>
      </c>
    </row>
    <row r="440" spans="1:21" x14ac:dyDescent="0.25">
      <c r="A440">
        <v>1817</v>
      </c>
      <c r="B440">
        <v>34</v>
      </c>
      <c r="C440" t="s">
        <v>16</v>
      </c>
      <c r="D440" t="s">
        <v>24</v>
      </c>
      <c r="E440" t="s">
        <v>45</v>
      </c>
      <c r="F440" t="s">
        <v>19</v>
      </c>
      <c r="G440" t="s">
        <v>20</v>
      </c>
      <c r="H440" t="s">
        <v>30</v>
      </c>
      <c r="I440">
        <v>16</v>
      </c>
      <c r="J440" s="2">
        <v>6799</v>
      </c>
      <c r="K440" t="s">
        <v>42</v>
      </c>
      <c r="L440">
        <v>3</v>
      </c>
      <c r="M440">
        <v>4</v>
      </c>
      <c r="N440">
        <v>3</v>
      </c>
      <c r="O440">
        <v>1</v>
      </c>
      <c r="P440">
        <v>12</v>
      </c>
      <c r="Q440" t="s">
        <v>22</v>
      </c>
      <c r="R440" t="str" cm="1">
        <f t="array" ref="R440">_xlfn.IFS(N440&lt;=1,"0-1 yrs",N440&lt;=4,"2-4 yrs",N440&lt;=9,"5-9 yrs",N440&gt;9,"10+ yrs")</f>
        <v>2-4 yrs</v>
      </c>
      <c r="S440" t="str" cm="1">
        <f t="array" ref="S440">_xlfn.IFS(B440&lt;=25,"20-25",B440&lt;=35,"26-35",B440&lt;=45,"36-45",B440&gt;45,"46+")</f>
        <v>26-35</v>
      </c>
      <c r="T440" t="str" cm="1">
        <f t="array" ref="T440">_xlfn.IFS(J440&lt;3500,"&lt;3.5K",J440&lt;5500,"3.5-5.5K",J440&lt;7500,"5.5-7.5K",J440&gt;=7500,"7.5K+")</f>
        <v>5.5-7.5K</v>
      </c>
      <c r="U440">
        <f t="shared" si="6"/>
        <v>0</v>
      </c>
    </row>
    <row r="441" spans="1:21" x14ac:dyDescent="0.25">
      <c r="A441">
        <v>1918</v>
      </c>
      <c r="B441">
        <v>51</v>
      </c>
      <c r="C441" t="s">
        <v>16</v>
      </c>
      <c r="D441" t="s">
        <v>27</v>
      </c>
      <c r="E441" t="s">
        <v>44</v>
      </c>
      <c r="F441" t="s">
        <v>36</v>
      </c>
      <c r="G441" t="s">
        <v>37</v>
      </c>
      <c r="H441" t="s">
        <v>34</v>
      </c>
      <c r="I441">
        <v>4</v>
      </c>
      <c r="J441" s="2">
        <v>12087</v>
      </c>
      <c r="K441" t="s">
        <v>22</v>
      </c>
      <c r="L441">
        <v>1</v>
      </c>
      <c r="M441">
        <v>3</v>
      </c>
      <c r="N441">
        <v>6</v>
      </c>
      <c r="O441">
        <v>1</v>
      </c>
      <c r="P441">
        <v>30</v>
      </c>
      <c r="Q441" t="s">
        <v>22</v>
      </c>
      <c r="R441" t="str" cm="1">
        <f t="array" ref="R441">_xlfn.IFS(N441&lt;=1,"0-1 yrs",N441&lt;=4,"2-4 yrs",N441&lt;=9,"5-9 yrs",N441&gt;9,"10+ yrs")</f>
        <v>5-9 yrs</v>
      </c>
      <c r="S441" t="str" cm="1">
        <f t="array" ref="S441">_xlfn.IFS(B441&lt;=25,"20-25",B441&lt;=35,"26-35",B441&lt;=45,"36-45",B441&gt;45,"46+")</f>
        <v>46+</v>
      </c>
      <c r="T441" t="str" cm="1">
        <f t="array" ref="T441">_xlfn.IFS(J441&lt;3500,"&lt;3.5K",J441&lt;5500,"3.5-5.5K",J441&lt;7500,"5.5-7.5K",J441&gt;=7500,"7.5K+")</f>
        <v>7.5K+</v>
      </c>
      <c r="U441">
        <f t="shared" si="6"/>
        <v>0</v>
      </c>
    </row>
    <row r="442" spans="1:21" x14ac:dyDescent="0.25">
      <c r="A442">
        <v>1083</v>
      </c>
      <c r="B442">
        <v>23</v>
      </c>
      <c r="C442" t="s">
        <v>23</v>
      </c>
      <c r="D442" t="s">
        <v>24</v>
      </c>
      <c r="E442" t="s">
        <v>45</v>
      </c>
      <c r="F442" t="s">
        <v>29</v>
      </c>
      <c r="G442" t="s">
        <v>20</v>
      </c>
      <c r="H442" t="s">
        <v>34</v>
      </c>
      <c r="I442">
        <v>4</v>
      </c>
      <c r="J442" s="2">
        <v>5765</v>
      </c>
      <c r="K442" t="s">
        <v>42</v>
      </c>
      <c r="L442">
        <v>2</v>
      </c>
      <c r="M442">
        <v>4</v>
      </c>
      <c r="N442">
        <v>2</v>
      </c>
      <c r="O442">
        <v>0</v>
      </c>
      <c r="P442">
        <v>3</v>
      </c>
      <c r="Q442" t="s">
        <v>22</v>
      </c>
      <c r="R442" t="str" cm="1">
        <f t="array" ref="R442">_xlfn.IFS(N442&lt;=1,"0-1 yrs",N442&lt;=4,"2-4 yrs",N442&lt;=9,"5-9 yrs",N442&gt;9,"10+ yrs")</f>
        <v>2-4 yrs</v>
      </c>
      <c r="S442" t="str" cm="1">
        <f t="array" ref="S442">_xlfn.IFS(B442&lt;=25,"20-25",B442&lt;=35,"26-35",B442&lt;=45,"36-45",B442&gt;45,"46+")</f>
        <v>20-25</v>
      </c>
      <c r="T442" t="str" cm="1">
        <f t="array" ref="T442">_xlfn.IFS(J442&lt;3500,"&lt;3.5K",J442&lt;5500,"3.5-5.5K",J442&lt;7500,"5.5-7.5K",J442&gt;=7500,"7.5K+")</f>
        <v>5.5-7.5K</v>
      </c>
      <c r="U442">
        <f t="shared" si="6"/>
        <v>0</v>
      </c>
    </row>
    <row r="443" spans="1:21" x14ac:dyDescent="0.25">
      <c r="A443">
        <v>1633</v>
      </c>
      <c r="B443">
        <v>39</v>
      </c>
      <c r="C443" t="s">
        <v>23</v>
      </c>
      <c r="D443" t="s">
        <v>38</v>
      </c>
      <c r="E443" t="s">
        <v>39</v>
      </c>
      <c r="F443" t="s">
        <v>19</v>
      </c>
      <c r="G443" t="s">
        <v>37</v>
      </c>
      <c r="H443" t="s">
        <v>21</v>
      </c>
      <c r="I443">
        <v>2</v>
      </c>
      <c r="J443" s="2">
        <v>7451</v>
      </c>
      <c r="K443" t="s">
        <v>42</v>
      </c>
      <c r="L443">
        <v>2</v>
      </c>
      <c r="M443">
        <v>1</v>
      </c>
      <c r="N443">
        <v>1</v>
      </c>
      <c r="O443">
        <v>0</v>
      </c>
      <c r="P443">
        <v>11</v>
      </c>
      <c r="Q443" t="s">
        <v>42</v>
      </c>
      <c r="R443" t="str" cm="1">
        <f t="array" ref="R443">_xlfn.IFS(N443&lt;=1,"0-1 yrs",N443&lt;=4,"2-4 yrs",N443&lt;=9,"5-9 yrs",N443&gt;9,"10+ yrs")</f>
        <v>0-1 yrs</v>
      </c>
      <c r="S443" t="str" cm="1">
        <f t="array" ref="S443">_xlfn.IFS(B443&lt;=25,"20-25",B443&lt;=35,"26-35",B443&lt;=45,"36-45",B443&gt;45,"46+")</f>
        <v>36-45</v>
      </c>
      <c r="T443" t="str" cm="1">
        <f t="array" ref="T443">_xlfn.IFS(J443&lt;3500,"&lt;3.5K",J443&lt;5500,"3.5-5.5K",J443&lt;7500,"5.5-7.5K",J443&gt;=7500,"7.5K+")</f>
        <v>5.5-7.5K</v>
      </c>
      <c r="U443">
        <f t="shared" si="6"/>
        <v>1</v>
      </c>
    </row>
    <row r="444" spans="1:21" x14ac:dyDescent="0.25">
      <c r="A444">
        <v>1366</v>
      </c>
      <c r="B444">
        <v>27</v>
      </c>
      <c r="C444" t="s">
        <v>16</v>
      </c>
      <c r="D444" t="s">
        <v>27</v>
      </c>
      <c r="E444" t="s">
        <v>31</v>
      </c>
      <c r="F444" t="s">
        <v>68</v>
      </c>
      <c r="G444" t="s">
        <v>37</v>
      </c>
      <c r="H444" t="s">
        <v>30</v>
      </c>
      <c r="I444">
        <v>2</v>
      </c>
      <c r="J444" s="2">
        <v>4369</v>
      </c>
      <c r="K444" t="s">
        <v>22</v>
      </c>
      <c r="L444">
        <v>2</v>
      </c>
      <c r="M444">
        <v>4</v>
      </c>
      <c r="N444">
        <v>0</v>
      </c>
      <c r="O444">
        <v>0</v>
      </c>
      <c r="P444">
        <v>1</v>
      </c>
      <c r="Q444" t="s">
        <v>22</v>
      </c>
      <c r="R444" t="str" cm="1">
        <f t="array" ref="R444">_xlfn.IFS(N444&lt;=1,"0-1 yrs",N444&lt;=4,"2-4 yrs",N444&lt;=9,"5-9 yrs",N444&gt;9,"10+ yrs")</f>
        <v>0-1 yrs</v>
      </c>
      <c r="S444" t="str" cm="1">
        <f t="array" ref="S444">_xlfn.IFS(B444&lt;=25,"20-25",B444&lt;=35,"26-35",B444&lt;=45,"36-45",B444&gt;45,"46+")</f>
        <v>26-35</v>
      </c>
      <c r="T444" t="str" cm="1">
        <f t="array" ref="T444">_xlfn.IFS(J444&lt;3500,"&lt;3.5K",J444&lt;5500,"3.5-5.5K",J444&lt;7500,"5.5-7.5K",J444&gt;=7500,"7.5K+")</f>
        <v>3.5-5.5K</v>
      </c>
      <c r="U444">
        <f t="shared" si="6"/>
        <v>0</v>
      </c>
    </row>
    <row r="445" spans="1:21" x14ac:dyDescent="0.25">
      <c r="A445">
        <v>1057</v>
      </c>
      <c r="B445">
        <v>33</v>
      </c>
      <c r="C445" t="s">
        <v>16</v>
      </c>
      <c r="D445" t="s">
        <v>24</v>
      </c>
      <c r="E445" t="s">
        <v>46</v>
      </c>
      <c r="F445" t="s">
        <v>38</v>
      </c>
      <c r="G445" t="s">
        <v>33</v>
      </c>
      <c r="H445" t="s">
        <v>21</v>
      </c>
      <c r="I445">
        <v>20</v>
      </c>
      <c r="J445" s="2">
        <v>7777</v>
      </c>
      <c r="K445" t="s">
        <v>22</v>
      </c>
      <c r="L445">
        <v>1</v>
      </c>
      <c r="M445">
        <v>1</v>
      </c>
      <c r="N445">
        <v>4</v>
      </c>
      <c r="O445">
        <v>3</v>
      </c>
      <c r="P445">
        <v>8</v>
      </c>
      <c r="Q445" t="s">
        <v>22</v>
      </c>
      <c r="R445" t="str" cm="1">
        <f t="array" ref="R445">_xlfn.IFS(N445&lt;=1,"0-1 yrs",N445&lt;=4,"2-4 yrs",N445&lt;=9,"5-9 yrs",N445&gt;9,"10+ yrs")</f>
        <v>2-4 yrs</v>
      </c>
      <c r="S445" t="str" cm="1">
        <f t="array" ref="S445">_xlfn.IFS(B445&lt;=25,"20-25",B445&lt;=35,"26-35",B445&lt;=45,"36-45",B445&gt;45,"46+")</f>
        <v>26-35</v>
      </c>
      <c r="T445" t="str" cm="1">
        <f t="array" ref="T445">_xlfn.IFS(J445&lt;3500,"&lt;3.5K",J445&lt;5500,"3.5-5.5K",J445&lt;7500,"5.5-7.5K",J445&gt;=7500,"7.5K+")</f>
        <v>7.5K+</v>
      </c>
      <c r="U445">
        <f t="shared" si="6"/>
        <v>0</v>
      </c>
    </row>
    <row r="446" spans="1:21" x14ac:dyDescent="0.25">
      <c r="A446">
        <v>1364</v>
      </c>
      <c r="B446">
        <v>38</v>
      </c>
      <c r="C446" t="s">
        <v>23</v>
      </c>
      <c r="D446" t="s">
        <v>24</v>
      </c>
      <c r="E446" t="s">
        <v>25</v>
      </c>
      <c r="F446" t="s">
        <v>26</v>
      </c>
      <c r="G446" t="s">
        <v>37</v>
      </c>
      <c r="H446" t="s">
        <v>30</v>
      </c>
      <c r="I446">
        <v>17</v>
      </c>
      <c r="J446" s="2">
        <v>10892</v>
      </c>
      <c r="K446" t="s">
        <v>42</v>
      </c>
      <c r="L446">
        <v>4</v>
      </c>
      <c r="M446">
        <v>4</v>
      </c>
      <c r="N446">
        <v>0</v>
      </c>
      <c r="O446">
        <v>0</v>
      </c>
      <c r="P446">
        <v>8</v>
      </c>
      <c r="Q446" t="s">
        <v>42</v>
      </c>
      <c r="R446" t="str" cm="1">
        <f t="array" ref="R446">_xlfn.IFS(N446&lt;=1,"0-1 yrs",N446&lt;=4,"2-4 yrs",N446&lt;=9,"5-9 yrs",N446&gt;9,"10+ yrs")</f>
        <v>0-1 yrs</v>
      </c>
      <c r="S446" t="str" cm="1">
        <f t="array" ref="S446">_xlfn.IFS(B446&lt;=25,"20-25",B446&lt;=35,"26-35",B446&lt;=45,"36-45",B446&gt;45,"46+")</f>
        <v>36-45</v>
      </c>
      <c r="T446" t="str" cm="1">
        <f t="array" ref="T446">_xlfn.IFS(J446&lt;3500,"&lt;3.5K",J446&lt;5500,"3.5-5.5K",J446&lt;7500,"5.5-7.5K",J446&gt;=7500,"7.5K+")</f>
        <v>7.5K+</v>
      </c>
      <c r="U446">
        <f t="shared" si="6"/>
        <v>1</v>
      </c>
    </row>
    <row r="447" spans="1:21" x14ac:dyDescent="0.25">
      <c r="A447">
        <v>1982</v>
      </c>
      <c r="B447">
        <v>50</v>
      </c>
      <c r="C447" t="s">
        <v>23</v>
      </c>
      <c r="D447" t="s">
        <v>27</v>
      </c>
      <c r="E447" t="s">
        <v>28</v>
      </c>
      <c r="F447" t="s">
        <v>36</v>
      </c>
      <c r="G447" t="s">
        <v>20</v>
      </c>
      <c r="H447" t="s">
        <v>34</v>
      </c>
      <c r="I447">
        <v>20</v>
      </c>
      <c r="J447" s="2">
        <v>13131</v>
      </c>
      <c r="K447" t="s">
        <v>22</v>
      </c>
      <c r="L447">
        <v>1</v>
      </c>
      <c r="M447">
        <v>1</v>
      </c>
      <c r="N447">
        <v>21</v>
      </c>
      <c r="O447">
        <v>7</v>
      </c>
      <c r="P447">
        <v>22</v>
      </c>
      <c r="Q447" t="s">
        <v>42</v>
      </c>
      <c r="R447" t="str" cm="1">
        <f t="array" ref="R447">_xlfn.IFS(N447&lt;=1,"0-1 yrs",N447&lt;=4,"2-4 yrs",N447&lt;=9,"5-9 yrs",N447&gt;9,"10+ yrs")</f>
        <v>10+ yrs</v>
      </c>
      <c r="S447" t="str" cm="1">
        <f t="array" ref="S447">_xlfn.IFS(B447&lt;=25,"20-25",B447&lt;=35,"26-35",B447&lt;=45,"36-45",B447&gt;45,"46+")</f>
        <v>46+</v>
      </c>
      <c r="T447" t="str" cm="1">
        <f t="array" ref="T447">_xlfn.IFS(J447&lt;3500,"&lt;3.5K",J447&lt;5500,"3.5-5.5K",J447&lt;7500,"5.5-7.5K",J447&gt;=7500,"7.5K+")</f>
        <v>7.5K+</v>
      </c>
      <c r="U447">
        <f t="shared" si="6"/>
        <v>1</v>
      </c>
    </row>
    <row r="448" spans="1:21" x14ac:dyDescent="0.25">
      <c r="A448">
        <v>1233</v>
      </c>
      <c r="B448">
        <v>59</v>
      </c>
      <c r="C448" t="s">
        <v>23</v>
      </c>
      <c r="D448" t="s">
        <v>24</v>
      </c>
      <c r="E448" t="s">
        <v>46</v>
      </c>
      <c r="F448" t="s">
        <v>26</v>
      </c>
      <c r="G448" t="s">
        <v>20</v>
      </c>
      <c r="H448" t="s">
        <v>30</v>
      </c>
      <c r="I448">
        <v>19</v>
      </c>
      <c r="J448" s="2">
        <v>9182</v>
      </c>
      <c r="K448" t="s">
        <v>22</v>
      </c>
      <c r="L448">
        <v>2</v>
      </c>
      <c r="M448">
        <v>1</v>
      </c>
      <c r="N448">
        <v>3</v>
      </c>
      <c r="O448">
        <v>3</v>
      </c>
      <c r="P448">
        <v>27</v>
      </c>
      <c r="Q448" t="s">
        <v>22</v>
      </c>
      <c r="R448" t="str" cm="1">
        <f t="array" ref="R448">_xlfn.IFS(N448&lt;=1,"0-1 yrs",N448&lt;=4,"2-4 yrs",N448&lt;=9,"5-9 yrs",N448&gt;9,"10+ yrs")</f>
        <v>2-4 yrs</v>
      </c>
      <c r="S448" t="str" cm="1">
        <f t="array" ref="S448">_xlfn.IFS(B448&lt;=25,"20-25",B448&lt;=35,"26-35",B448&lt;=45,"36-45",B448&gt;45,"46+")</f>
        <v>46+</v>
      </c>
      <c r="T448" t="str" cm="1">
        <f t="array" ref="T448">_xlfn.IFS(J448&lt;3500,"&lt;3.5K",J448&lt;5500,"3.5-5.5K",J448&lt;7500,"5.5-7.5K",J448&gt;=7500,"7.5K+")</f>
        <v>7.5K+</v>
      </c>
      <c r="U448">
        <f t="shared" si="6"/>
        <v>0</v>
      </c>
    </row>
    <row r="449" spans="1:21" x14ac:dyDescent="0.25">
      <c r="A449">
        <v>1955</v>
      </c>
      <c r="B449">
        <v>20</v>
      </c>
      <c r="C449" t="s">
        <v>23</v>
      </c>
      <c r="D449" t="s">
        <v>27</v>
      </c>
      <c r="E449" t="s">
        <v>31</v>
      </c>
      <c r="F449" t="s">
        <v>41</v>
      </c>
      <c r="G449" t="s">
        <v>33</v>
      </c>
      <c r="H449" t="s">
        <v>30</v>
      </c>
      <c r="I449">
        <v>21</v>
      </c>
      <c r="J449" s="2">
        <v>6970</v>
      </c>
      <c r="K449" t="s">
        <v>22</v>
      </c>
      <c r="L449">
        <v>1</v>
      </c>
      <c r="M449">
        <v>1</v>
      </c>
      <c r="N449">
        <v>0</v>
      </c>
      <c r="O449">
        <v>0</v>
      </c>
      <c r="P449">
        <v>0</v>
      </c>
      <c r="Q449" t="s">
        <v>42</v>
      </c>
      <c r="R449" t="str" cm="1">
        <f t="array" ref="R449">_xlfn.IFS(N449&lt;=1,"0-1 yrs",N449&lt;=4,"2-4 yrs",N449&lt;=9,"5-9 yrs",N449&gt;9,"10+ yrs")</f>
        <v>0-1 yrs</v>
      </c>
      <c r="S449" t="str" cm="1">
        <f t="array" ref="S449">_xlfn.IFS(B449&lt;=25,"20-25",B449&lt;=35,"26-35",B449&lt;=45,"36-45",B449&gt;45,"46+")</f>
        <v>20-25</v>
      </c>
      <c r="T449" t="str" cm="1">
        <f t="array" ref="T449">_xlfn.IFS(J449&lt;3500,"&lt;3.5K",J449&lt;5500,"3.5-5.5K",J449&lt;7500,"5.5-7.5K",J449&gt;=7500,"7.5K+")</f>
        <v>5.5-7.5K</v>
      </c>
      <c r="U449">
        <f t="shared" si="6"/>
        <v>1</v>
      </c>
    </row>
    <row r="450" spans="1:21" x14ac:dyDescent="0.25">
      <c r="A450">
        <v>1548</v>
      </c>
      <c r="B450">
        <v>34</v>
      </c>
      <c r="C450" t="s">
        <v>23</v>
      </c>
      <c r="D450" t="s">
        <v>24</v>
      </c>
      <c r="E450" t="s">
        <v>46</v>
      </c>
      <c r="F450" t="s">
        <v>36</v>
      </c>
      <c r="G450" t="s">
        <v>20</v>
      </c>
      <c r="H450" t="s">
        <v>21</v>
      </c>
      <c r="I450">
        <v>21</v>
      </c>
      <c r="J450" s="2">
        <v>7918</v>
      </c>
      <c r="K450" t="s">
        <v>22</v>
      </c>
      <c r="L450">
        <v>2</v>
      </c>
      <c r="M450">
        <v>3</v>
      </c>
      <c r="N450">
        <v>1</v>
      </c>
      <c r="O450">
        <v>0</v>
      </c>
      <c r="P450">
        <v>14</v>
      </c>
      <c r="Q450" t="s">
        <v>22</v>
      </c>
      <c r="R450" t="str" cm="1">
        <f t="array" ref="R450">_xlfn.IFS(N450&lt;=1,"0-1 yrs",N450&lt;=4,"2-4 yrs",N450&lt;=9,"5-9 yrs",N450&gt;9,"10+ yrs")</f>
        <v>0-1 yrs</v>
      </c>
      <c r="S450" t="str" cm="1">
        <f t="array" ref="S450">_xlfn.IFS(B450&lt;=25,"20-25",B450&lt;=35,"26-35",B450&lt;=45,"36-45",B450&gt;45,"46+")</f>
        <v>26-35</v>
      </c>
      <c r="T450" t="str" cm="1">
        <f t="array" ref="T450">_xlfn.IFS(J450&lt;3500,"&lt;3.5K",J450&lt;5500,"3.5-5.5K",J450&lt;7500,"5.5-7.5K",J450&gt;=7500,"7.5K+")</f>
        <v>7.5K+</v>
      </c>
      <c r="U450">
        <f t="shared" si="6"/>
        <v>0</v>
      </c>
    </row>
    <row r="451" spans="1:21" x14ac:dyDescent="0.25">
      <c r="A451">
        <v>1758</v>
      </c>
      <c r="B451">
        <v>53</v>
      </c>
      <c r="C451" t="s">
        <v>16</v>
      </c>
      <c r="D451" t="s">
        <v>17</v>
      </c>
      <c r="E451" t="s">
        <v>40</v>
      </c>
      <c r="F451" t="s">
        <v>26</v>
      </c>
      <c r="G451" t="s">
        <v>20</v>
      </c>
      <c r="H451" t="s">
        <v>34</v>
      </c>
      <c r="I451">
        <v>23</v>
      </c>
      <c r="J451" s="2">
        <v>12887</v>
      </c>
      <c r="K451" t="s">
        <v>22</v>
      </c>
      <c r="L451">
        <v>2</v>
      </c>
      <c r="M451">
        <v>1</v>
      </c>
      <c r="N451">
        <v>6</v>
      </c>
      <c r="O451">
        <v>0</v>
      </c>
      <c r="P451">
        <v>30</v>
      </c>
      <c r="Q451" t="s">
        <v>22</v>
      </c>
      <c r="R451" t="str" cm="1">
        <f t="array" ref="R451">_xlfn.IFS(N451&lt;=1,"0-1 yrs",N451&lt;=4,"2-4 yrs",N451&lt;=9,"5-9 yrs",N451&gt;9,"10+ yrs")</f>
        <v>5-9 yrs</v>
      </c>
      <c r="S451" t="str" cm="1">
        <f t="array" ref="S451">_xlfn.IFS(B451&lt;=25,"20-25",B451&lt;=35,"26-35",B451&lt;=45,"36-45",B451&gt;45,"46+")</f>
        <v>46+</v>
      </c>
      <c r="T451" t="str" cm="1">
        <f t="array" ref="T451">_xlfn.IFS(J451&lt;3500,"&lt;3.5K",J451&lt;5500,"3.5-5.5K",J451&lt;7500,"5.5-7.5K",J451&gt;=7500,"7.5K+")</f>
        <v>7.5K+</v>
      </c>
      <c r="U451">
        <f t="shared" ref="U451:U514" si="7">IF(Q451="Yes",1,0)</f>
        <v>0</v>
      </c>
    </row>
    <row r="452" spans="1:21" x14ac:dyDescent="0.25">
      <c r="A452">
        <v>1727</v>
      </c>
      <c r="B452">
        <v>57</v>
      </c>
      <c r="C452" t="s">
        <v>23</v>
      </c>
      <c r="D452" t="s">
        <v>47</v>
      </c>
      <c r="E452" t="s">
        <v>50</v>
      </c>
      <c r="F452" t="s">
        <v>26</v>
      </c>
      <c r="G452" t="s">
        <v>20</v>
      </c>
      <c r="H452" t="s">
        <v>21</v>
      </c>
      <c r="I452">
        <v>15</v>
      </c>
      <c r="J452" s="2">
        <v>11541</v>
      </c>
      <c r="K452" t="s">
        <v>22</v>
      </c>
      <c r="L452">
        <v>3</v>
      </c>
      <c r="M452">
        <v>1</v>
      </c>
      <c r="N452">
        <v>9</v>
      </c>
      <c r="O452">
        <v>3</v>
      </c>
      <c r="P452">
        <v>19</v>
      </c>
      <c r="Q452" t="s">
        <v>22</v>
      </c>
      <c r="R452" t="str" cm="1">
        <f t="array" ref="R452">_xlfn.IFS(N452&lt;=1,"0-1 yrs",N452&lt;=4,"2-4 yrs",N452&lt;=9,"5-9 yrs",N452&gt;9,"10+ yrs")</f>
        <v>5-9 yrs</v>
      </c>
      <c r="S452" t="str" cm="1">
        <f t="array" ref="S452">_xlfn.IFS(B452&lt;=25,"20-25",B452&lt;=35,"26-35",B452&lt;=45,"36-45",B452&gt;45,"46+")</f>
        <v>46+</v>
      </c>
      <c r="T452" t="str" cm="1">
        <f t="array" ref="T452">_xlfn.IFS(J452&lt;3500,"&lt;3.5K",J452&lt;5500,"3.5-5.5K",J452&lt;7500,"5.5-7.5K",J452&gt;=7500,"7.5K+")</f>
        <v>7.5K+</v>
      </c>
      <c r="U452">
        <f t="shared" si="7"/>
        <v>0</v>
      </c>
    </row>
    <row r="453" spans="1:21" x14ac:dyDescent="0.25">
      <c r="A453">
        <v>1294</v>
      </c>
      <c r="B453">
        <v>43</v>
      </c>
      <c r="C453" t="s">
        <v>16</v>
      </c>
      <c r="D453" t="s">
        <v>17</v>
      </c>
      <c r="E453" t="s">
        <v>40</v>
      </c>
      <c r="F453" t="s">
        <v>29</v>
      </c>
      <c r="G453" t="s">
        <v>33</v>
      </c>
      <c r="H453" t="s">
        <v>30</v>
      </c>
      <c r="I453">
        <v>16</v>
      </c>
      <c r="J453" s="2">
        <v>5637</v>
      </c>
      <c r="K453" t="s">
        <v>22</v>
      </c>
      <c r="L453">
        <v>3</v>
      </c>
      <c r="M453">
        <v>1</v>
      </c>
      <c r="N453">
        <v>10</v>
      </c>
      <c r="O453">
        <v>3</v>
      </c>
      <c r="P453">
        <v>11</v>
      </c>
      <c r="Q453" t="s">
        <v>22</v>
      </c>
      <c r="R453" t="str" cm="1">
        <f t="array" ref="R453">_xlfn.IFS(N453&lt;=1,"0-1 yrs",N453&lt;=4,"2-4 yrs",N453&lt;=9,"5-9 yrs",N453&gt;9,"10+ yrs")</f>
        <v>10+ yrs</v>
      </c>
      <c r="S453" t="str" cm="1">
        <f t="array" ref="S453">_xlfn.IFS(B453&lt;=25,"20-25",B453&lt;=35,"26-35",B453&lt;=45,"36-45",B453&gt;45,"46+")</f>
        <v>36-45</v>
      </c>
      <c r="T453" t="str" cm="1">
        <f t="array" ref="T453">_xlfn.IFS(J453&lt;3500,"&lt;3.5K",J453&lt;5500,"3.5-5.5K",J453&lt;7500,"5.5-7.5K",J453&gt;=7500,"7.5K+")</f>
        <v>5.5-7.5K</v>
      </c>
      <c r="U453">
        <f t="shared" si="7"/>
        <v>0</v>
      </c>
    </row>
    <row r="454" spans="1:21" x14ac:dyDescent="0.25">
      <c r="A454">
        <v>1692</v>
      </c>
      <c r="B454">
        <v>52</v>
      </c>
      <c r="C454" t="s">
        <v>23</v>
      </c>
      <c r="D454" t="s">
        <v>17</v>
      </c>
      <c r="E454" t="s">
        <v>35</v>
      </c>
      <c r="F454" t="s">
        <v>41</v>
      </c>
      <c r="G454" t="s">
        <v>33</v>
      </c>
      <c r="H454" t="s">
        <v>21</v>
      </c>
      <c r="I454">
        <v>4</v>
      </c>
      <c r="J454" s="2">
        <v>9703</v>
      </c>
      <c r="K454" t="s">
        <v>22</v>
      </c>
      <c r="L454">
        <v>2</v>
      </c>
      <c r="M454">
        <v>4</v>
      </c>
      <c r="N454">
        <v>9</v>
      </c>
      <c r="O454">
        <v>6</v>
      </c>
      <c r="P454">
        <v>26</v>
      </c>
      <c r="Q454" t="s">
        <v>22</v>
      </c>
      <c r="R454" t="str" cm="1">
        <f t="array" ref="R454">_xlfn.IFS(N454&lt;=1,"0-1 yrs",N454&lt;=4,"2-4 yrs",N454&lt;=9,"5-9 yrs",N454&gt;9,"10+ yrs")</f>
        <v>5-9 yrs</v>
      </c>
      <c r="S454" t="str" cm="1">
        <f t="array" ref="S454">_xlfn.IFS(B454&lt;=25,"20-25",B454&lt;=35,"26-35",B454&lt;=45,"36-45",B454&gt;45,"46+")</f>
        <v>46+</v>
      </c>
      <c r="T454" t="str" cm="1">
        <f t="array" ref="T454">_xlfn.IFS(J454&lt;3500,"&lt;3.5K",J454&lt;5500,"3.5-5.5K",J454&lt;7500,"5.5-7.5K",J454&gt;=7500,"7.5K+")</f>
        <v>7.5K+</v>
      </c>
      <c r="U454">
        <f t="shared" si="7"/>
        <v>0</v>
      </c>
    </row>
    <row r="455" spans="1:21" x14ac:dyDescent="0.25">
      <c r="A455">
        <v>1834</v>
      </c>
      <c r="B455">
        <v>31</v>
      </c>
      <c r="C455" t="s">
        <v>16</v>
      </c>
      <c r="D455" t="s">
        <v>27</v>
      </c>
      <c r="E455" t="s">
        <v>43</v>
      </c>
      <c r="F455" t="s">
        <v>32</v>
      </c>
      <c r="G455" t="s">
        <v>37</v>
      </c>
      <c r="H455" t="s">
        <v>30</v>
      </c>
      <c r="I455">
        <v>15</v>
      </c>
      <c r="J455" s="2">
        <v>7854</v>
      </c>
      <c r="K455" t="s">
        <v>22</v>
      </c>
      <c r="L455">
        <v>4</v>
      </c>
      <c r="M455">
        <v>3</v>
      </c>
      <c r="N455">
        <v>2</v>
      </c>
      <c r="O455">
        <v>2</v>
      </c>
      <c r="P455">
        <v>8</v>
      </c>
      <c r="Q455" t="s">
        <v>22</v>
      </c>
      <c r="R455" t="str" cm="1">
        <f t="array" ref="R455">_xlfn.IFS(N455&lt;=1,"0-1 yrs",N455&lt;=4,"2-4 yrs",N455&lt;=9,"5-9 yrs",N455&gt;9,"10+ yrs")</f>
        <v>2-4 yrs</v>
      </c>
      <c r="S455" t="str" cm="1">
        <f t="array" ref="S455">_xlfn.IFS(B455&lt;=25,"20-25",B455&lt;=35,"26-35",B455&lt;=45,"36-45",B455&gt;45,"46+")</f>
        <v>26-35</v>
      </c>
      <c r="T455" t="str" cm="1">
        <f t="array" ref="T455">_xlfn.IFS(J455&lt;3500,"&lt;3.5K",J455&lt;5500,"3.5-5.5K",J455&lt;7500,"5.5-7.5K",J455&gt;=7500,"7.5K+")</f>
        <v>7.5K+</v>
      </c>
      <c r="U455">
        <f t="shared" si="7"/>
        <v>0</v>
      </c>
    </row>
    <row r="456" spans="1:21" x14ac:dyDescent="0.25">
      <c r="A456">
        <v>1312</v>
      </c>
      <c r="B456">
        <v>29</v>
      </c>
      <c r="C456" t="s">
        <v>16</v>
      </c>
      <c r="D456" t="s">
        <v>27</v>
      </c>
      <c r="E456" t="s">
        <v>44</v>
      </c>
      <c r="F456" t="s">
        <v>41</v>
      </c>
      <c r="G456" t="s">
        <v>37</v>
      </c>
      <c r="H456" t="s">
        <v>21</v>
      </c>
      <c r="I456">
        <v>12</v>
      </c>
      <c r="J456" s="2">
        <v>6304</v>
      </c>
      <c r="K456" t="s">
        <v>22</v>
      </c>
      <c r="L456">
        <v>1</v>
      </c>
      <c r="M456">
        <v>1</v>
      </c>
      <c r="N456">
        <v>0</v>
      </c>
      <c r="O456">
        <v>0</v>
      </c>
      <c r="P456">
        <v>5</v>
      </c>
      <c r="Q456" t="s">
        <v>22</v>
      </c>
      <c r="R456" t="str" cm="1">
        <f t="array" ref="R456">_xlfn.IFS(N456&lt;=1,"0-1 yrs",N456&lt;=4,"2-4 yrs",N456&lt;=9,"5-9 yrs",N456&gt;9,"10+ yrs")</f>
        <v>0-1 yrs</v>
      </c>
      <c r="S456" t="str" cm="1">
        <f t="array" ref="S456">_xlfn.IFS(B456&lt;=25,"20-25",B456&lt;=35,"26-35",B456&lt;=45,"36-45",B456&gt;45,"46+")</f>
        <v>26-35</v>
      </c>
      <c r="T456" t="str" cm="1">
        <f t="array" ref="T456">_xlfn.IFS(J456&lt;3500,"&lt;3.5K",J456&lt;5500,"3.5-5.5K",J456&lt;7500,"5.5-7.5K",J456&gt;=7500,"7.5K+")</f>
        <v>5.5-7.5K</v>
      </c>
      <c r="U456">
        <f t="shared" si="7"/>
        <v>0</v>
      </c>
    </row>
    <row r="457" spans="1:21" x14ac:dyDescent="0.25">
      <c r="A457">
        <v>1442</v>
      </c>
      <c r="B457">
        <v>58</v>
      </c>
      <c r="C457" t="s">
        <v>16</v>
      </c>
      <c r="D457" t="s">
        <v>17</v>
      </c>
      <c r="E457" t="s">
        <v>35</v>
      </c>
      <c r="F457" t="s">
        <v>19</v>
      </c>
      <c r="G457" t="s">
        <v>20</v>
      </c>
      <c r="H457" t="s">
        <v>21</v>
      </c>
      <c r="I457">
        <v>12</v>
      </c>
      <c r="J457" s="2">
        <v>7462</v>
      </c>
      <c r="K457" t="s">
        <v>22</v>
      </c>
      <c r="L457">
        <v>2</v>
      </c>
      <c r="M457">
        <v>4</v>
      </c>
      <c r="N457">
        <v>21</v>
      </c>
      <c r="O457">
        <v>11</v>
      </c>
      <c r="P457">
        <v>24</v>
      </c>
      <c r="Q457" t="s">
        <v>42</v>
      </c>
      <c r="R457" t="str" cm="1">
        <f t="array" ref="R457">_xlfn.IFS(N457&lt;=1,"0-1 yrs",N457&lt;=4,"2-4 yrs",N457&lt;=9,"5-9 yrs",N457&gt;9,"10+ yrs")</f>
        <v>10+ yrs</v>
      </c>
      <c r="S457" t="str" cm="1">
        <f t="array" ref="S457">_xlfn.IFS(B457&lt;=25,"20-25",B457&lt;=35,"26-35",B457&lt;=45,"36-45",B457&gt;45,"46+")</f>
        <v>46+</v>
      </c>
      <c r="T457" t="str" cm="1">
        <f t="array" ref="T457">_xlfn.IFS(J457&lt;3500,"&lt;3.5K",J457&lt;5500,"3.5-5.5K",J457&lt;7500,"5.5-7.5K",J457&gt;=7500,"7.5K+")</f>
        <v>5.5-7.5K</v>
      </c>
      <c r="U457">
        <f t="shared" si="7"/>
        <v>1</v>
      </c>
    </row>
    <row r="458" spans="1:21" x14ac:dyDescent="0.25">
      <c r="A458">
        <v>1967</v>
      </c>
      <c r="B458">
        <v>32</v>
      </c>
      <c r="C458" t="s">
        <v>23</v>
      </c>
      <c r="D458" t="s">
        <v>24</v>
      </c>
      <c r="E458" t="s">
        <v>25</v>
      </c>
      <c r="F458" t="s">
        <v>19</v>
      </c>
      <c r="G458" t="s">
        <v>37</v>
      </c>
      <c r="H458" t="s">
        <v>34</v>
      </c>
      <c r="I458">
        <v>16</v>
      </c>
      <c r="J458" s="2">
        <v>9159</v>
      </c>
      <c r="K458" t="s">
        <v>22</v>
      </c>
      <c r="L458">
        <v>2</v>
      </c>
      <c r="M458">
        <v>2</v>
      </c>
      <c r="N458">
        <v>12</v>
      </c>
      <c r="O458">
        <v>10</v>
      </c>
      <c r="P458">
        <v>12</v>
      </c>
      <c r="Q458" t="s">
        <v>22</v>
      </c>
      <c r="R458" t="str" cm="1">
        <f t="array" ref="R458">_xlfn.IFS(N458&lt;=1,"0-1 yrs",N458&lt;=4,"2-4 yrs",N458&lt;=9,"5-9 yrs",N458&gt;9,"10+ yrs")</f>
        <v>10+ yrs</v>
      </c>
      <c r="S458" t="str" cm="1">
        <f t="array" ref="S458">_xlfn.IFS(B458&lt;=25,"20-25",B458&lt;=35,"26-35",B458&lt;=45,"36-45",B458&gt;45,"46+")</f>
        <v>26-35</v>
      </c>
      <c r="T458" t="str" cm="1">
        <f t="array" ref="T458">_xlfn.IFS(J458&lt;3500,"&lt;3.5K",J458&lt;5500,"3.5-5.5K",J458&lt;7500,"5.5-7.5K",J458&gt;=7500,"7.5K+")</f>
        <v>7.5K+</v>
      </c>
      <c r="U458">
        <f t="shared" si="7"/>
        <v>0</v>
      </c>
    </row>
    <row r="459" spans="1:21" x14ac:dyDescent="0.25">
      <c r="A459">
        <v>1833</v>
      </c>
      <c r="B459">
        <v>54</v>
      </c>
      <c r="C459" t="s">
        <v>16</v>
      </c>
      <c r="D459" t="s">
        <v>27</v>
      </c>
      <c r="E459" t="s">
        <v>31</v>
      </c>
      <c r="F459" t="s">
        <v>38</v>
      </c>
      <c r="G459" t="s">
        <v>33</v>
      </c>
      <c r="H459" t="s">
        <v>30</v>
      </c>
      <c r="I459">
        <v>20</v>
      </c>
      <c r="J459" s="2">
        <v>12479</v>
      </c>
      <c r="K459" t="s">
        <v>22</v>
      </c>
      <c r="L459">
        <v>3</v>
      </c>
      <c r="M459">
        <v>3</v>
      </c>
      <c r="N459">
        <v>13</v>
      </c>
      <c r="O459">
        <v>0</v>
      </c>
      <c r="P459">
        <v>29</v>
      </c>
      <c r="Q459" t="s">
        <v>22</v>
      </c>
      <c r="R459" t="str" cm="1">
        <f t="array" ref="R459">_xlfn.IFS(N459&lt;=1,"0-1 yrs",N459&lt;=4,"2-4 yrs",N459&lt;=9,"5-9 yrs",N459&gt;9,"10+ yrs")</f>
        <v>10+ yrs</v>
      </c>
      <c r="S459" t="str" cm="1">
        <f t="array" ref="S459">_xlfn.IFS(B459&lt;=25,"20-25",B459&lt;=35,"26-35",B459&lt;=45,"36-45",B459&gt;45,"46+")</f>
        <v>46+</v>
      </c>
      <c r="T459" t="str" cm="1">
        <f t="array" ref="T459">_xlfn.IFS(J459&lt;3500,"&lt;3.5K",J459&lt;5500,"3.5-5.5K",J459&lt;7500,"5.5-7.5K",J459&gt;=7500,"7.5K+")</f>
        <v>7.5K+</v>
      </c>
      <c r="U459">
        <f t="shared" si="7"/>
        <v>0</v>
      </c>
    </row>
    <row r="460" spans="1:21" x14ac:dyDescent="0.25">
      <c r="A460">
        <v>1592</v>
      </c>
      <c r="B460">
        <v>39</v>
      </c>
      <c r="C460" t="s">
        <v>16</v>
      </c>
      <c r="D460" t="s">
        <v>17</v>
      </c>
      <c r="E460" t="s">
        <v>40</v>
      </c>
      <c r="F460" t="s">
        <v>32</v>
      </c>
      <c r="G460" t="s">
        <v>20</v>
      </c>
      <c r="H460" t="s">
        <v>21</v>
      </c>
      <c r="I460">
        <v>12</v>
      </c>
      <c r="J460" s="2">
        <v>9029</v>
      </c>
      <c r="K460" t="s">
        <v>22</v>
      </c>
      <c r="L460">
        <v>4</v>
      </c>
      <c r="M460">
        <v>1</v>
      </c>
      <c r="N460">
        <v>10</v>
      </c>
      <c r="O460">
        <v>3</v>
      </c>
      <c r="P460">
        <v>13</v>
      </c>
      <c r="Q460" t="s">
        <v>22</v>
      </c>
      <c r="R460" t="str" cm="1">
        <f t="array" ref="R460">_xlfn.IFS(N460&lt;=1,"0-1 yrs",N460&lt;=4,"2-4 yrs",N460&lt;=9,"5-9 yrs",N460&gt;9,"10+ yrs")</f>
        <v>10+ yrs</v>
      </c>
      <c r="S460" t="str" cm="1">
        <f t="array" ref="S460">_xlfn.IFS(B460&lt;=25,"20-25",B460&lt;=35,"26-35",B460&lt;=45,"36-45",B460&gt;45,"46+")</f>
        <v>36-45</v>
      </c>
      <c r="T460" t="str" cm="1">
        <f t="array" ref="T460">_xlfn.IFS(J460&lt;3500,"&lt;3.5K",J460&lt;5500,"3.5-5.5K",J460&lt;7500,"5.5-7.5K",J460&gt;=7500,"7.5K+")</f>
        <v>7.5K+</v>
      </c>
      <c r="U460">
        <f t="shared" si="7"/>
        <v>0</v>
      </c>
    </row>
    <row r="461" spans="1:21" x14ac:dyDescent="0.25">
      <c r="A461">
        <v>1637</v>
      </c>
      <c r="B461">
        <v>52</v>
      </c>
      <c r="C461" t="s">
        <v>16</v>
      </c>
      <c r="D461" t="s">
        <v>24</v>
      </c>
      <c r="E461" t="s">
        <v>25</v>
      </c>
      <c r="F461" t="s">
        <v>19</v>
      </c>
      <c r="G461" t="s">
        <v>33</v>
      </c>
      <c r="H461" t="s">
        <v>34</v>
      </c>
      <c r="I461">
        <v>15</v>
      </c>
      <c r="J461" s="2">
        <v>13805</v>
      </c>
      <c r="K461" t="s">
        <v>42</v>
      </c>
      <c r="L461">
        <v>1</v>
      </c>
      <c r="M461">
        <v>3</v>
      </c>
      <c r="N461">
        <v>14</v>
      </c>
      <c r="O461">
        <v>14</v>
      </c>
      <c r="P461">
        <v>28</v>
      </c>
      <c r="Q461" t="s">
        <v>42</v>
      </c>
      <c r="R461" t="str" cm="1">
        <f t="array" ref="R461">_xlfn.IFS(N461&lt;=1,"0-1 yrs",N461&lt;=4,"2-4 yrs",N461&lt;=9,"5-9 yrs",N461&gt;9,"10+ yrs")</f>
        <v>10+ yrs</v>
      </c>
      <c r="S461" t="str" cm="1">
        <f t="array" ref="S461">_xlfn.IFS(B461&lt;=25,"20-25",B461&lt;=35,"26-35",B461&lt;=45,"36-45",B461&gt;45,"46+")</f>
        <v>46+</v>
      </c>
      <c r="T461" t="str" cm="1">
        <f t="array" ref="T461">_xlfn.IFS(J461&lt;3500,"&lt;3.5K",J461&lt;5500,"3.5-5.5K",J461&lt;7500,"5.5-7.5K",J461&gt;=7500,"7.5K+")</f>
        <v>7.5K+</v>
      </c>
      <c r="U461">
        <f t="shared" si="7"/>
        <v>1</v>
      </c>
    </row>
    <row r="462" spans="1:21" x14ac:dyDescent="0.25">
      <c r="A462">
        <v>1241</v>
      </c>
      <c r="B462">
        <v>37</v>
      </c>
      <c r="C462" t="s">
        <v>16</v>
      </c>
      <c r="D462" t="s">
        <v>47</v>
      </c>
      <c r="E462" t="s">
        <v>53</v>
      </c>
      <c r="F462" t="s">
        <v>41</v>
      </c>
      <c r="G462" t="s">
        <v>37</v>
      </c>
      <c r="H462" t="s">
        <v>34</v>
      </c>
      <c r="I462">
        <v>17</v>
      </c>
      <c r="J462" s="2">
        <v>11466</v>
      </c>
      <c r="K462" t="s">
        <v>22</v>
      </c>
      <c r="L462">
        <v>2</v>
      </c>
      <c r="M462">
        <v>4</v>
      </c>
      <c r="N462">
        <v>5</v>
      </c>
      <c r="O462">
        <v>3</v>
      </c>
      <c r="P462">
        <v>8</v>
      </c>
      <c r="Q462" t="s">
        <v>22</v>
      </c>
      <c r="R462" t="str" cm="1">
        <f t="array" ref="R462">_xlfn.IFS(N462&lt;=1,"0-1 yrs",N462&lt;=4,"2-4 yrs",N462&lt;=9,"5-9 yrs",N462&gt;9,"10+ yrs")</f>
        <v>5-9 yrs</v>
      </c>
      <c r="S462" t="str" cm="1">
        <f t="array" ref="S462">_xlfn.IFS(B462&lt;=25,"20-25",B462&lt;=35,"26-35",B462&lt;=45,"36-45",B462&gt;45,"46+")</f>
        <v>36-45</v>
      </c>
      <c r="T462" t="str" cm="1">
        <f t="array" ref="T462">_xlfn.IFS(J462&lt;3500,"&lt;3.5K",J462&lt;5500,"3.5-5.5K",J462&lt;7500,"5.5-7.5K",J462&gt;=7500,"7.5K+")</f>
        <v>7.5K+</v>
      </c>
      <c r="U462">
        <f t="shared" si="7"/>
        <v>0</v>
      </c>
    </row>
    <row r="463" spans="1:21" x14ac:dyDescent="0.25">
      <c r="A463">
        <v>1570</v>
      </c>
      <c r="B463">
        <v>51</v>
      </c>
      <c r="C463" t="s">
        <v>16</v>
      </c>
      <c r="D463" t="s">
        <v>24</v>
      </c>
      <c r="E463" t="s">
        <v>46</v>
      </c>
      <c r="F463" t="s">
        <v>19</v>
      </c>
      <c r="G463" t="s">
        <v>37</v>
      </c>
      <c r="H463" t="s">
        <v>34</v>
      </c>
      <c r="I463">
        <v>23</v>
      </c>
      <c r="J463" s="2">
        <v>8534</v>
      </c>
      <c r="K463" t="s">
        <v>22</v>
      </c>
      <c r="L463">
        <v>4</v>
      </c>
      <c r="M463">
        <v>4</v>
      </c>
      <c r="N463">
        <v>10</v>
      </c>
      <c r="O463">
        <v>3</v>
      </c>
      <c r="P463">
        <v>30</v>
      </c>
      <c r="Q463" t="s">
        <v>22</v>
      </c>
      <c r="R463" t="str" cm="1">
        <f t="array" ref="R463">_xlfn.IFS(N463&lt;=1,"0-1 yrs",N463&lt;=4,"2-4 yrs",N463&lt;=9,"5-9 yrs",N463&gt;9,"10+ yrs")</f>
        <v>10+ yrs</v>
      </c>
      <c r="S463" t="str" cm="1">
        <f t="array" ref="S463">_xlfn.IFS(B463&lt;=25,"20-25",B463&lt;=35,"26-35",B463&lt;=45,"36-45",B463&gt;45,"46+")</f>
        <v>46+</v>
      </c>
      <c r="T463" t="str" cm="1">
        <f t="array" ref="T463">_xlfn.IFS(J463&lt;3500,"&lt;3.5K",J463&lt;5500,"3.5-5.5K",J463&lt;7500,"5.5-7.5K",J463&gt;=7500,"7.5K+")</f>
        <v>7.5K+</v>
      </c>
      <c r="U463">
        <f t="shared" si="7"/>
        <v>0</v>
      </c>
    </row>
    <row r="464" spans="1:21" x14ac:dyDescent="0.25">
      <c r="A464">
        <v>1840</v>
      </c>
      <c r="B464">
        <v>44</v>
      </c>
      <c r="C464" t="s">
        <v>16</v>
      </c>
      <c r="D464" t="s">
        <v>24</v>
      </c>
      <c r="E464" t="s">
        <v>52</v>
      </c>
      <c r="F464" t="s">
        <v>19</v>
      </c>
      <c r="G464" t="s">
        <v>20</v>
      </c>
      <c r="H464" t="s">
        <v>21</v>
      </c>
      <c r="I464">
        <v>17</v>
      </c>
      <c r="J464" s="2">
        <v>9378</v>
      </c>
      <c r="K464" t="s">
        <v>42</v>
      </c>
      <c r="L464">
        <v>3</v>
      </c>
      <c r="M464">
        <v>1</v>
      </c>
      <c r="N464">
        <v>18</v>
      </c>
      <c r="O464">
        <v>2</v>
      </c>
      <c r="P464">
        <v>19</v>
      </c>
      <c r="Q464" t="s">
        <v>22</v>
      </c>
      <c r="R464" t="str" cm="1">
        <f t="array" ref="R464">_xlfn.IFS(N464&lt;=1,"0-1 yrs",N464&lt;=4,"2-4 yrs",N464&lt;=9,"5-9 yrs",N464&gt;9,"10+ yrs")</f>
        <v>10+ yrs</v>
      </c>
      <c r="S464" t="str" cm="1">
        <f t="array" ref="S464">_xlfn.IFS(B464&lt;=25,"20-25",B464&lt;=35,"26-35",B464&lt;=45,"36-45",B464&gt;45,"46+")</f>
        <v>36-45</v>
      </c>
      <c r="T464" t="str" cm="1">
        <f t="array" ref="T464">_xlfn.IFS(J464&lt;3500,"&lt;3.5K",J464&lt;5500,"3.5-5.5K",J464&lt;7500,"5.5-7.5K",J464&gt;=7500,"7.5K+")</f>
        <v>7.5K+</v>
      </c>
      <c r="U464">
        <f t="shared" si="7"/>
        <v>0</v>
      </c>
    </row>
    <row r="465" spans="1:21" x14ac:dyDescent="0.25">
      <c r="A465">
        <v>1888</v>
      </c>
      <c r="B465">
        <v>28</v>
      </c>
      <c r="C465" t="s">
        <v>23</v>
      </c>
      <c r="D465" t="s">
        <v>54</v>
      </c>
      <c r="E465" t="s">
        <v>50</v>
      </c>
      <c r="F465" t="s">
        <v>38</v>
      </c>
      <c r="G465" t="s">
        <v>33</v>
      </c>
      <c r="H465" t="s">
        <v>34</v>
      </c>
      <c r="I465">
        <v>6</v>
      </c>
      <c r="J465" s="2">
        <v>7277</v>
      </c>
      <c r="K465" t="s">
        <v>22</v>
      </c>
      <c r="L465">
        <v>4</v>
      </c>
      <c r="M465">
        <v>1</v>
      </c>
      <c r="N465">
        <v>0</v>
      </c>
      <c r="O465">
        <v>0</v>
      </c>
      <c r="P465">
        <v>1</v>
      </c>
      <c r="Q465" t="s">
        <v>42</v>
      </c>
      <c r="R465" t="str" cm="1">
        <f t="array" ref="R465">_xlfn.IFS(N465&lt;=1,"0-1 yrs",N465&lt;=4,"2-4 yrs",N465&lt;=9,"5-9 yrs",N465&gt;9,"10+ yrs")</f>
        <v>0-1 yrs</v>
      </c>
      <c r="S465" t="str" cm="1">
        <f t="array" ref="S465">_xlfn.IFS(B465&lt;=25,"20-25",B465&lt;=35,"26-35",B465&lt;=45,"36-45",B465&gt;45,"46+")</f>
        <v>26-35</v>
      </c>
      <c r="T465" t="str" cm="1">
        <f t="array" ref="T465">_xlfn.IFS(J465&lt;3500,"&lt;3.5K",J465&lt;5500,"3.5-5.5K",J465&lt;7500,"5.5-7.5K",J465&gt;=7500,"7.5K+")</f>
        <v>5.5-7.5K</v>
      </c>
      <c r="U465">
        <f t="shared" si="7"/>
        <v>1</v>
      </c>
    </row>
    <row r="466" spans="1:21" x14ac:dyDescent="0.25">
      <c r="A466">
        <v>1960</v>
      </c>
      <c r="B466">
        <v>48</v>
      </c>
      <c r="C466" t="s">
        <v>16</v>
      </c>
      <c r="D466" t="s">
        <v>24</v>
      </c>
      <c r="E466" t="s">
        <v>25</v>
      </c>
      <c r="F466" t="s">
        <v>29</v>
      </c>
      <c r="G466" t="s">
        <v>33</v>
      </c>
      <c r="H466" t="s">
        <v>34</v>
      </c>
      <c r="I466">
        <v>24</v>
      </c>
      <c r="J466" s="2">
        <v>14328</v>
      </c>
      <c r="K466" t="s">
        <v>22</v>
      </c>
      <c r="L466">
        <v>4</v>
      </c>
      <c r="M466">
        <v>3</v>
      </c>
      <c r="N466">
        <v>11</v>
      </c>
      <c r="O466">
        <v>7</v>
      </c>
      <c r="P466">
        <v>18</v>
      </c>
      <c r="Q466" t="s">
        <v>22</v>
      </c>
      <c r="R466" t="str" cm="1">
        <f t="array" ref="R466">_xlfn.IFS(N466&lt;=1,"0-1 yrs",N466&lt;=4,"2-4 yrs",N466&lt;=9,"5-9 yrs",N466&gt;9,"10+ yrs")</f>
        <v>10+ yrs</v>
      </c>
      <c r="S466" t="str" cm="1">
        <f t="array" ref="S466">_xlfn.IFS(B466&lt;=25,"20-25",B466&lt;=35,"26-35",B466&lt;=45,"36-45",B466&gt;45,"46+")</f>
        <v>46+</v>
      </c>
      <c r="T466" t="str" cm="1">
        <f t="array" ref="T466">_xlfn.IFS(J466&lt;3500,"&lt;3.5K",J466&lt;5500,"3.5-5.5K",J466&lt;7500,"5.5-7.5K",J466&gt;=7500,"7.5K+")</f>
        <v>7.5K+</v>
      </c>
      <c r="U466">
        <f t="shared" si="7"/>
        <v>0</v>
      </c>
    </row>
    <row r="467" spans="1:21" x14ac:dyDescent="0.25">
      <c r="A467">
        <v>1030</v>
      </c>
      <c r="B467">
        <v>46</v>
      </c>
      <c r="C467" t="s">
        <v>16</v>
      </c>
      <c r="D467" t="s">
        <v>24</v>
      </c>
      <c r="E467" t="s">
        <v>52</v>
      </c>
      <c r="F467" t="s">
        <v>29</v>
      </c>
      <c r="G467" t="s">
        <v>37</v>
      </c>
      <c r="H467" t="s">
        <v>30</v>
      </c>
      <c r="I467">
        <v>7</v>
      </c>
      <c r="J467" s="2">
        <v>7843</v>
      </c>
      <c r="K467" t="s">
        <v>22</v>
      </c>
      <c r="L467">
        <v>4</v>
      </c>
      <c r="M467">
        <v>1</v>
      </c>
      <c r="N467">
        <v>5</v>
      </c>
      <c r="O467">
        <v>4</v>
      </c>
      <c r="P467">
        <v>19</v>
      </c>
      <c r="Q467" t="s">
        <v>22</v>
      </c>
      <c r="R467" t="str" cm="1">
        <f t="array" ref="R467">_xlfn.IFS(N467&lt;=1,"0-1 yrs",N467&lt;=4,"2-4 yrs",N467&lt;=9,"5-9 yrs",N467&gt;9,"10+ yrs")</f>
        <v>5-9 yrs</v>
      </c>
      <c r="S467" t="str" cm="1">
        <f t="array" ref="S467">_xlfn.IFS(B467&lt;=25,"20-25",B467&lt;=35,"26-35",B467&lt;=45,"36-45",B467&gt;45,"46+")</f>
        <v>46+</v>
      </c>
      <c r="T467" t="str" cm="1">
        <f t="array" ref="T467">_xlfn.IFS(J467&lt;3500,"&lt;3.5K",J467&lt;5500,"3.5-5.5K",J467&lt;7500,"5.5-7.5K",J467&gt;=7500,"7.5K+")</f>
        <v>7.5K+</v>
      </c>
      <c r="U467">
        <f t="shared" si="7"/>
        <v>0</v>
      </c>
    </row>
    <row r="468" spans="1:21" x14ac:dyDescent="0.25">
      <c r="A468">
        <v>1511</v>
      </c>
      <c r="B468">
        <v>58</v>
      </c>
      <c r="C468" t="s">
        <v>16</v>
      </c>
      <c r="D468" t="s">
        <v>24</v>
      </c>
      <c r="E468" t="s">
        <v>25</v>
      </c>
      <c r="F468" t="s">
        <v>19</v>
      </c>
      <c r="G468" t="s">
        <v>20</v>
      </c>
      <c r="H468" t="s">
        <v>34</v>
      </c>
      <c r="I468">
        <v>22</v>
      </c>
      <c r="J468" s="2">
        <v>14173</v>
      </c>
      <c r="K468" t="s">
        <v>22</v>
      </c>
      <c r="L468">
        <v>4</v>
      </c>
      <c r="M468">
        <v>4</v>
      </c>
      <c r="N468">
        <v>14</v>
      </c>
      <c r="O468">
        <v>2</v>
      </c>
      <c r="P468">
        <v>38</v>
      </c>
      <c r="Q468" t="s">
        <v>22</v>
      </c>
      <c r="R468" t="str" cm="1">
        <f t="array" ref="R468">_xlfn.IFS(N468&lt;=1,"0-1 yrs",N468&lt;=4,"2-4 yrs",N468&lt;=9,"5-9 yrs",N468&gt;9,"10+ yrs")</f>
        <v>10+ yrs</v>
      </c>
      <c r="S468" t="str" cm="1">
        <f t="array" ref="S468">_xlfn.IFS(B468&lt;=25,"20-25",B468&lt;=35,"26-35",B468&lt;=45,"36-45",B468&gt;45,"46+")</f>
        <v>46+</v>
      </c>
      <c r="T468" t="str" cm="1">
        <f t="array" ref="T468">_xlfn.IFS(J468&lt;3500,"&lt;3.5K",J468&lt;5500,"3.5-5.5K",J468&lt;7500,"5.5-7.5K",J468&gt;=7500,"7.5K+")</f>
        <v>7.5K+</v>
      </c>
      <c r="U468">
        <f t="shared" si="7"/>
        <v>0</v>
      </c>
    </row>
    <row r="469" spans="1:21" x14ac:dyDescent="0.25">
      <c r="A469">
        <v>1717</v>
      </c>
      <c r="B469">
        <v>27</v>
      </c>
      <c r="C469" t="s">
        <v>23</v>
      </c>
      <c r="D469" t="s">
        <v>47</v>
      </c>
      <c r="E469" t="s">
        <v>53</v>
      </c>
      <c r="F469" t="s">
        <v>36</v>
      </c>
      <c r="G469" t="s">
        <v>20</v>
      </c>
      <c r="H469" t="s">
        <v>21</v>
      </c>
      <c r="I469">
        <v>4</v>
      </c>
      <c r="J469" s="2">
        <v>12901</v>
      </c>
      <c r="K469" t="s">
        <v>22</v>
      </c>
      <c r="L469">
        <v>4</v>
      </c>
      <c r="M469">
        <v>4</v>
      </c>
      <c r="N469">
        <v>1</v>
      </c>
      <c r="O469">
        <v>1</v>
      </c>
      <c r="P469">
        <v>3</v>
      </c>
      <c r="Q469" t="s">
        <v>22</v>
      </c>
      <c r="R469" t="str" cm="1">
        <f t="array" ref="R469">_xlfn.IFS(N469&lt;=1,"0-1 yrs",N469&lt;=4,"2-4 yrs",N469&lt;=9,"5-9 yrs",N469&gt;9,"10+ yrs")</f>
        <v>0-1 yrs</v>
      </c>
      <c r="S469" t="str" cm="1">
        <f t="array" ref="S469">_xlfn.IFS(B469&lt;=25,"20-25",B469&lt;=35,"26-35",B469&lt;=45,"36-45",B469&gt;45,"46+")</f>
        <v>26-35</v>
      </c>
      <c r="T469" t="str" cm="1">
        <f t="array" ref="T469">_xlfn.IFS(J469&lt;3500,"&lt;3.5K",J469&lt;5500,"3.5-5.5K",J469&lt;7500,"5.5-7.5K",J469&gt;=7500,"7.5K+")</f>
        <v>7.5K+</v>
      </c>
      <c r="U469">
        <f t="shared" si="7"/>
        <v>0</v>
      </c>
    </row>
    <row r="470" spans="1:21" x14ac:dyDescent="0.25">
      <c r="A470">
        <v>1861</v>
      </c>
      <c r="B470">
        <v>52</v>
      </c>
      <c r="C470" t="s">
        <v>23</v>
      </c>
      <c r="D470" t="s">
        <v>24</v>
      </c>
      <c r="E470" t="s">
        <v>45</v>
      </c>
      <c r="F470" t="s">
        <v>41</v>
      </c>
      <c r="G470" t="s">
        <v>33</v>
      </c>
      <c r="H470" t="s">
        <v>34</v>
      </c>
      <c r="I470">
        <v>17</v>
      </c>
      <c r="J470" s="2">
        <v>12250</v>
      </c>
      <c r="K470" t="s">
        <v>22</v>
      </c>
      <c r="L470">
        <v>3</v>
      </c>
      <c r="M470">
        <v>3</v>
      </c>
      <c r="N470">
        <v>8</v>
      </c>
      <c r="O470">
        <v>8</v>
      </c>
      <c r="P470">
        <v>26</v>
      </c>
      <c r="Q470" t="s">
        <v>22</v>
      </c>
      <c r="R470" t="str" cm="1">
        <f t="array" ref="R470">_xlfn.IFS(N470&lt;=1,"0-1 yrs",N470&lt;=4,"2-4 yrs",N470&lt;=9,"5-9 yrs",N470&gt;9,"10+ yrs")</f>
        <v>5-9 yrs</v>
      </c>
      <c r="S470" t="str" cm="1">
        <f t="array" ref="S470">_xlfn.IFS(B470&lt;=25,"20-25",B470&lt;=35,"26-35",B470&lt;=45,"36-45",B470&gt;45,"46+")</f>
        <v>46+</v>
      </c>
      <c r="T470" t="str" cm="1">
        <f t="array" ref="T470">_xlfn.IFS(J470&lt;3500,"&lt;3.5K",J470&lt;5500,"3.5-5.5K",J470&lt;7500,"5.5-7.5K",J470&gt;=7500,"7.5K+")</f>
        <v>7.5K+</v>
      </c>
      <c r="U470">
        <f t="shared" si="7"/>
        <v>0</v>
      </c>
    </row>
    <row r="471" spans="1:21" x14ac:dyDescent="0.25">
      <c r="A471">
        <v>1668</v>
      </c>
      <c r="B471">
        <v>29</v>
      </c>
      <c r="C471" t="s">
        <v>23</v>
      </c>
      <c r="D471" t="s">
        <v>47</v>
      </c>
      <c r="E471" t="s">
        <v>53</v>
      </c>
      <c r="F471" t="s">
        <v>36</v>
      </c>
      <c r="G471" t="s">
        <v>33</v>
      </c>
      <c r="H471" t="s">
        <v>21</v>
      </c>
      <c r="I471">
        <v>20</v>
      </c>
      <c r="J471" s="2">
        <v>10345</v>
      </c>
      <c r="K471" t="s">
        <v>22</v>
      </c>
      <c r="L471">
        <v>1</v>
      </c>
      <c r="M471">
        <v>1</v>
      </c>
      <c r="N471">
        <v>3</v>
      </c>
      <c r="O471">
        <v>2</v>
      </c>
      <c r="P471">
        <v>4</v>
      </c>
      <c r="Q471" t="s">
        <v>22</v>
      </c>
      <c r="R471" t="str" cm="1">
        <f t="array" ref="R471">_xlfn.IFS(N471&lt;=1,"0-1 yrs",N471&lt;=4,"2-4 yrs",N471&lt;=9,"5-9 yrs",N471&gt;9,"10+ yrs")</f>
        <v>2-4 yrs</v>
      </c>
      <c r="S471" t="str" cm="1">
        <f t="array" ref="S471">_xlfn.IFS(B471&lt;=25,"20-25",B471&lt;=35,"26-35",B471&lt;=45,"36-45",B471&gt;45,"46+")</f>
        <v>26-35</v>
      </c>
      <c r="T471" t="str" cm="1">
        <f t="array" ref="T471">_xlfn.IFS(J471&lt;3500,"&lt;3.5K",J471&lt;5500,"3.5-5.5K",J471&lt;7500,"5.5-7.5K",J471&gt;=7500,"7.5K+")</f>
        <v>7.5K+</v>
      </c>
      <c r="U471">
        <f t="shared" si="7"/>
        <v>0</v>
      </c>
    </row>
    <row r="472" spans="1:21" x14ac:dyDescent="0.25">
      <c r="A472">
        <v>1852</v>
      </c>
      <c r="B472">
        <v>28</v>
      </c>
      <c r="C472" t="s">
        <v>16</v>
      </c>
      <c r="D472" t="s">
        <v>24</v>
      </c>
      <c r="E472" t="s">
        <v>46</v>
      </c>
      <c r="F472" t="s">
        <v>19</v>
      </c>
      <c r="G472" t="s">
        <v>20</v>
      </c>
      <c r="H472" t="s">
        <v>30</v>
      </c>
      <c r="I472">
        <v>6</v>
      </c>
      <c r="J472" s="2">
        <v>7605</v>
      </c>
      <c r="K472" t="s">
        <v>22</v>
      </c>
      <c r="L472">
        <v>3</v>
      </c>
      <c r="M472">
        <v>3</v>
      </c>
      <c r="N472">
        <v>1</v>
      </c>
      <c r="O472">
        <v>1</v>
      </c>
      <c r="P472">
        <v>6</v>
      </c>
      <c r="Q472" t="s">
        <v>22</v>
      </c>
      <c r="R472" t="str" cm="1">
        <f t="array" ref="R472">_xlfn.IFS(N472&lt;=1,"0-1 yrs",N472&lt;=4,"2-4 yrs",N472&lt;=9,"5-9 yrs",N472&gt;9,"10+ yrs")</f>
        <v>0-1 yrs</v>
      </c>
      <c r="S472" t="str" cm="1">
        <f t="array" ref="S472">_xlfn.IFS(B472&lt;=25,"20-25",B472&lt;=35,"26-35",B472&lt;=45,"36-45",B472&gt;45,"46+")</f>
        <v>26-35</v>
      </c>
      <c r="T472" t="str" cm="1">
        <f t="array" ref="T472">_xlfn.IFS(J472&lt;3500,"&lt;3.5K",J472&lt;5500,"3.5-5.5K",J472&lt;7500,"5.5-7.5K",J472&gt;=7500,"7.5K+")</f>
        <v>7.5K+</v>
      </c>
      <c r="U472">
        <f t="shared" si="7"/>
        <v>0</v>
      </c>
    </row>
    <row r="473" spans="1:21" x14ac:dyDescent="0.25">
      <c r="A473">
        <v>1263</v>
      </c>
      <c r="B473">
        <v>22</v>
      </c>
      <c r="C473" t="s">
        <v>23</v>
      </c>
      <c r="D473" t="s">
        <v>17</v>
      </c>
      <c r="E473" t="s">
        <v>35</v>
      </c>
      <c r="F473" t="s">
        <v>19</v>
      </c>
      <c r="G473" t="s">
        <v>33</v>
      </c>
      <c r="H473" t="s">
        <v>34</v>
      </c>
      <c r="I473">
        <v>15</v>
      </c>
      <c r="J473" s="2">
        <v>5190</v>
      </c>
      <c r="K473" t="s">
        <v>22</v>
      </c>
      <c r="L473">
        <v>3</v>
      </c>
      <c r="M473">
        <v>2</v>
      </c>
      <c r="N473">
        <v>0</v>
      </c>
      <c r="O473">
        <v>0</v>
      </c>
      <c r="P473">
        <v>0</v>
      </c>
      <c r="Q473" t="s">
        <v>22</v>
      </c>
      <c r="R473" t="str" cm="1">
        <f t="array" ref="R473">_xlfn.IFS(N473&lt;=1,"0-1 yrs",N473&lt;=4,"2-4 yrs",N473&lt;=9,"5-9 yrs",N473&gt;9,"10+ yrs")</f>
        <v>0-1 yrs</v>
      </c>
      <c r="S473" t="str" cm="1">
        <f t="array" ref="S473">_xlfn.IFS(B473&lt;=25,"20-25",B473&lt;=35,"26-35",B473&lt;=45,"36-45",B473&gt;45,"46+")</f>
        <v>20-25</v>
      </c>
      <c r="T473" t="str" cm="1">
        <f t="array" ref="T473">_xlfn.IFS(J473&lt;3500,"&lt;3.5K",J473&lt;5500,"3.5-5.5K",J473&lt;7500,"5.5-7.5K",J473&gt;=7500,"7.5K+")</f>
        <v>3.5-5.5K</v>
      </c>
      <c r="U473">
        <f t="shared" si="7"/>
        <v>0</v>
      </c>
    </row>
    <row r="474" spans="1:21" x14ac:dyDescent="0.25">
      <c r="A474">
        <v>1140</v>
      </c>
      <c r="B474">
        <v>50</v>
      </c>
      <c r="C474" t="s">
        <v>23</v>
      </c>
      <c r="D474" t="s">
        <v>17</v>
      </c>
      <c r="E474" t="s">
        <v>40</v>
      </c>
      <c r="F474" t="s">
        <v>29</v>
      </c>
      <c r="G474" t="s">
        <v>33</v>
      </c>
      <c r="H474" t="s">
        <v>21</v>
      </c>
      <c r="I474">
        <v>10</v>
      </c>
      <c r="J474" s="2">
        <v>10466</v>
      </c>
      <c r="K474" t="s">
        <v>22</v>
      </c>
      <c r="L474">
        <v>4</v>
      </c>
      <c r="M474">
        <v>3</v>
      </c>
      <c r="N474">
        <v>8</v>
      </c>
      <c r="O474">
        <v>6</v>
      </c>
      <c r="P474">
        <v>24</v>
      </c>
      <c r="Q474" t="s">
        <v>22</v>
      </c>
      <c r="R474" t="str" cm="1">
        <f t="array" ref="R474">_xlfn.IFS(N474&lt;=1,"0-1 yrs",N474&lt;=4,"2-4 yrs",N474&lt;=9,"5-9 yrs",N474&gt;9,"10+ yrs")</f>
        <v>5-9 yrs</v>
      </c>
      <c r="S474" t="str" cm="1">
        <f t="array" ref="S474">_xlfn.IFS(B474&lt;=25,"20-25",B474&lt;=35,"26-35",B474&lt;=45,"36-45",B474&gt;45,"46+")</f>
        <v>46+</v>
      </c>
      <c r="T474" t="str" cm="1">
        <f t="array" ref="T474">_xlfn.IFS(J474&lt;3500,"&lt;3.5K",J474&lt;5500,"3.5-5.5K",J474&lt;7500,"5.5-7.5K",J474&gt;=7500,"7.5K+")</f>
        <v>7.5K+</v>
      </c>
      <c r="U474">
        <f t="shared" si="7"/>
        <v>0</v>
      </c>
    </row>
    <row r="475" spans="1:21" x14ac:dyDescent="0.25">
      <c r="A475">
        <v>1696</v>
      </c>
      <c r="B475">
        <v>30</v>
      </c>
      <c r="C475" t="s">
        <v>16</v>
      </c>
      <c r="D475" t="s">
        <v>47</v>
      </c>
      <c r="E475" t="s">
        <v>53</v>
      </c>
      <c r="F475" t="s">
        <v>36</v>
      </c>
      <c r="G475" t="s">
        <v>20</v>
      </c>
      <c r="H475" t="s">
        <v>34</v>
      </c>
      <c r="I475">
        <v>7</v>
      </c>
      <c r="J475" s="2">
        <v>10185</v>
      </c>
      <c r="K475" t="s">
        <v>22</v>
      </c>
      <c r="L475">
        <v>3</v>
      </c>
      <c r="M475">
        <v>2</v>
      </c>
      <c r="N475">
        <v>1</v>
      </c>
      <c r="O475">
        <v>0</v>
      </c>
      <c r="P475">
        <v>3</v>
      </c>
      <c r="Q475" t="s">
        <v>42</v>
      </c>
      <c r="R475" t="str" cm="1">
        <f t="array" ref="R475">_xlfn.IFS(N475&lt;=1,"0-1 yrs",N475&lt;=4,"2-4 yrs",N475&lt;=9,"5-9 yrs",N475&gt;9,"10+ yrs")</f>
        <v>0-1 yrs</v>
      </c>
      <c r="S475" t="str" cm="1">
        <f t="array" ref="S475">_xlfn.IFS(B475&lt;=25,"20-25",B475&lt;=35,"26-35",B475&lt;=45,"36-45",B475&gt;45,"46+")</f>
        <v>26-35</v>
      </c>
      <c r="T475" t="str" cm="1">
        <f t="array" ref="T475">_xlfn.IFS(J475&lt;3500,"&lt;3.5K",J475&lt;5500,"3.5-5.5K",J475&lt;7500,"5.5-7.5K",J475&gt;=7500,"7.5K+")</f>
        <v>7.5K+</v>
      </c>
      <c r="U475">
        <f t="shared" si="7"/>
        <v>1</v>
      </c>
    </row>
    <row r="476" spans="1:21" x14ac:dyDescent="0.25">
      <c r="A476">
        <v>1088</v>
      </c>
      <c r="B476">
        <v>38</v>
      </c>
      <c r="C476" t="s">
        <v>23</v>
      </c>
      <c r="D476" t="s">
        <v>27</v>
      </c>
      <c r="E476" t="s">
        <v>44</v>
      </c>
      <c r="F476" t="s">
        <v>26</v>
      </c>
      <c r="G476" t="s">
        <v>37</v>
      </c>
      <c r="H476" t="s">
        <v>21</v>
      </c>
      <c r="I476">
        <v>8</v>
      </c>
      <c r="J476" s="2">
        <v>8593</v>
      </c>
      <c r="K476" t="s">
        <v>22</v>
      </c>
      <c r="L476">
        <v>2</v>
      </c>
      <c r="M476">
        <v>4</v>
      </c>
      <c r="N476">
        <v>11</v>
      </c>
      <c r="O476">
        <v>6</v>
      </c>
      <c r="P476">
        <v>13</v>
      </c>
      <c r="Q476" t="s">
        <v>22</v>
      </c>
      <c r="R476" t="str" cm="1">
        <f t="array" ref="R476">_xlfn.IFS(N476&lt;=1,"0-1 yrs",N476&lt;=4,"2-4 yrs",N476&lt;=9,"5-9 yrs",N476&gt;9,"10+ yrs")</f>
        <v>10+ yrs</v>
      </c>
      <c r="S476" t="str" cm="1">
        <f t="array" ref="S476">_xlfn.IFS(B476&lt;=25,"20-25",B476&lt;=35,"26-35",B476&lt;=45,"36-45",B476&gt;45,"46+")</f>
        <v>36-45</v>
      </c>
      <c r="T476" t="str" cm="1">
        <f t="array" ref="T476">_xlfn.IFS(J476&lt;3500,"&lt;3.5K",J476&lt;5500,"3.5-5.5K",J476&lt;7500,"5.5-7.5K",J476&gt;=7500,"7.5K+")</f>
        <v>7.5K+</v>
      </c>
      <c r="U476">
        <f t="shared" si="7"/>
        <v>0</v>
      </c>
    </row>
    <row r="477" spans="1:21" x14ac:dyDescent="0.25">
      <c r="A477">
        <v>1697</v>
      </c>
      <c r="B477">
        <v>21</v>
      </c>
      <c r="C477" t="s">
        <v>23</v>
      </c>
      <c r="D477" t="s">
        <v>38</v>
      </c>
      <c r="E477" t="s">
        <v>39</v>
      </c>
      <c r="F477" t="s">
        <v>38</v>
      </c>
      <c r="G477" t="s">
        <v>37</v>
      </c>
      <c r="H477" t="s">
        <v>21</v>
      </c>
      <c r="I477">
        <v>5</v>
      </c>
      <c r="J477" s="2">
        <v>3614</v>
      </c>
      <c r="K477" t="s">
        <v>22</v>
      </c>
      <c r="L477">
        <v>4</v>
      </c>
      <c r="M477">
        <v>1</v>
      </c>
      <c r="N477">
        <v>0</v>
      </c>
      <c r="O477">
        <v>0</v>
      </c>
      <c r="P477">
        <v>0</v>
      </c>
      <c r="Q477" t="s">
        <v>22</v>
      </c>
      <c r="R477" t="str" cm="1">
        <f t="array" ref="R477">_xlfn.IFS(N477&lt;=1,"0-1 yrs",N477&lt;=4,"2-4 yrs",N477&lt;=9,"5-9 yrs",N477&gt;9,"10+ yrs")</f>
        <v>0-1 yrs</v>
      </c>
      <c r="S477" t="str" cm="1">
        <f t="array" ref="S477">_xlfn.IFS(B477&lt;=25,"20-25",B477&lt;=35,"26-35",B477&lt;=45,"36-45",B477&gt;45,"46+")</f>
        <v>20-25</v>
      </c>
      <c r="T477" t="str" cm="1">
        <f t="array" ref="T477">_xlfn.IFS(J477&lt;3500,"&lt;3.5K",J477&lt;5500,"3.5-5.5K",J477&lt;7500,"5.5-7.5K",J477&gt;=7500,"7.5K+")</f>
        <v>3.5-5.5K</v>
      </c>
      <c r="U477">
        <f t="shared" si="7"/>
        <v>0</v>
      </c>
    </row>
    <row r="478" spans="1:21" x14ac:dyDescent="0.25">
      <c r="A478">
        <v>1167</v>
      </c>
      <c r="B478">
        <v>28</v>
      </c>
      <c r="C478" t="s">
        <v>16</v>
      </c>
      <c r="D478" t="s">
        <v>27</v>
      </c>
      <c r="E478" t="s">
        <v>31</v>
      </c>
      <c r="F478" t="s">
        <v>29</v>
      </c>
      <c r="G478" t="s">
        <v>20</v>
      </c>
      <c r="H478" t="s">
        <v>21</v>
      </c>
      <c r="I478">
        <v>18</v>
      </c>
      <c r="J478" s="2">
        <v>8315</v>
      </c>
      <c r="K478" t="s">
        <v>42</v>
      </c>
      <c r="L478">
        <v>1</v>
      </c>
      <c r="M478">
        <v>1</v>
      </c>
      <c r="N478">
        <v>8</v>
      </c>
      <c r="O478">
        <v>8</v>
      </c>
      <c r="P478">
        <v>8</v>
      </c>
      <c r="Q478" t="s">
        <v>42</v>
      </c>
      <c r="R478" t="str" cm="1">
        <f t="array" ref="R478">_xlfn.IFS(N478&lt;=1,"0-1 yrs",N478&lt;=4,"2-4 yrs",N478&lt;=9,"5-9 yrs",N478&gt;9,"10+ yrs")</f>
        <v>5-9 yrs</v>
      </c>
      <c r="S478" t="str" cm="1">
        <f t="array" ref="S478">_xlfn.IFS(B478&lt;=25,"20-25",B478&lt;=35,"26-35",B478&lt;=45,"36-45",B478&gt;45,"46+")</f>
        <v>26-35</v>
      </c>
      <c r="T478" t="str" cm="1">
        <f t="array" ref="T478">_xlfn.IFS(J478&lt;3500,"&lt;3.5K",J478&lt;5500,"3.5-5.5K",J478&lt;7500,"5.5-7.5K",J478&gt;=7500,"7.5K+")</f>
        <v>7.5K+</v>
      </c>
      <c r="U478">
        <f t="shared" si="7"/>
        <v>1</v>
      </c>
    </row>
    <row r="479" spans="1:21" x14ac:dyDescent="0.25">
      <c r="A479">
        <v>1005</v>
      </c>
      <c r="B479">
        <v>24</v>
      </c>
      <c r="C479" t="s">
        <v>23</v>
      </c>
      <c r="D479" t="s">
        <v>17</v>
      </c>
      <c r="E479" t="s">
        <v>18</v>
      </c>
      <c r="F479" t="s">
        <v>32</v>
      </c>
      <c r="G479" t="s">
        <v>37</v>
      </c>
      <c r="H479" t="s">
        <v>21</v>
      </c>
      <c r="I479">
        <v>21</v>
      </c>
      <c r="J479" s="2">
        <v>8156</v>
      </c>
      <c r="K479" t="s">
        <v>22</v>
      </c>
      <c r="L479">
        <v>2</v>
      </c>
      <c r="M479">
        <v>4</v>
      </c>
      <c r="N479">
        <v>0</v>
      </c>
      <c r="O479">
        <v>0</v>
      </c>
      <c r="P479">
        <v>0</v>
      </c>
      <c r="Q479" t="s">
        <v>22</v>
      </c>
      <c r="R479" t="str" cm="1">
        <f t="array" ref="R479">_xlfn.IFS(N479&lt;=1,"0-1 yrs",N479&lt;=4,"2-4 yrs",N479&lt;=9,"5-9 yrs",N479&gt;9,"10+ yrs")</f>
        <v>0-1 yrs</v>
      </c>
      <c r="S479" t="str" cm="1">
        <f t="array" ref="S479">_xlfn.IFS(B479&lt;=25,"20-25",B479&lt;=35,"26-35",B479&lt;=45,"36-45",B479&gt;45,"46+")</f>
        <v>20-25</v>
      </c>
      <c r="T479" t="str" cm="1">
        <f t="array" ref="T479">_xlfn.IFS(J479&lt;3500,"&lt;3.5K",J479&lt;5500,"3.5-5.5K",J479&lt;7500,"5.5-7.5K",J479&gt;=7500,"7.5K+")</f>
        <v>7.5K+</v>
      </c>
      <c r="U479">
        <f t="shared" si="7"/>
        <v>0</v>
      </c>
    </row>
    <row r="480" spans="1:21" x14ac:dyDescent="0.25">
      <c r="A480">
        <v>1713</v>
      </c>
      <c r="B480">
        <v>57</v>
      </c>
      <c r="C480" t="s">
        <v>16</v>
      </c>
      <c r="D480" t="s">
        <v>27</v>
      </c>
      <c r="E480" t="s">
        <v>43</v>
      </c>
      <c r="F480" t="s">
        <v>38</v>
      </c>
      <c r="G480" t="s">
        <v>20</v>
      </c>
      <c r="H480" t="s">
        <v>21</v>
      </c>
      <c r="I480">
        <v>8</v>
      </c>
      <c r="J480" s="2">
        <v>11677</v>
      </c>
      <c r="K480" t="s">
        <v>22</v>
      </c>
      <c r="L480">
        <v>4</v>
      </c>
      <c r="M480">
        <v>1</v>
      </c>
      <c r="N480">
        <v>4</v>
      </c>
      <c r="O480">
        <v>4</v>
      </c>
      <c r="P480">
        <v>30</v>
      </c>
      <c r="Q480" t="s">
        <v>22</v>
      </c>
      <c r="R480" t="str" cm="1">
        <f t="array" ref="R480">_xlfn.IFS(N480&lt;=1,"0-1 yrs",N480&lt;=4,"2-4 yrs",N480&lt;=9,"5-9 yrs",N480&gt;9,"10+ yrs")</f>
        <v>2-4 yrs</v>
      </c>
      <c r="S480" t="str" cm="1">
        <f t="array" ref="S480">_xlfn.IFS(B480&lt;=25,"20-25",B480&lt;=35,"26-35",B480&lt;=45,"36-45",B480&gt;45,"46+")</f>
        <v>46+</v>
      </c>
      <c r="T480" t="str" cm="1">
        <f t="array" ref="T480">_xlfn.IFS(J480&lt;3500,"&lt;3.5K",J480&lt;5500,"3.5-5.5K",J480&lt;7500,"5.5-7.5K",J480&gt;=7500,"7.5K+")</f>
        <v>7.5K+</v>
      </c>
      <c r="U480">
        <f t="shared" si="7"/>
        <v>0</v>
      </c>
    </row>
    <row r="481" spans="1:21" x14ac:dyDescent="0.25">
      <c r="A481">
        <v>1685</v>
      </c>
      <c r="B481">
        <v>24</v>
      </c>
      <c r="C481" t="s">
        <v>16</v>
      </c>
      <c r="D481" t="s">
        <v>17</v>
      </c>
      <c r="E481" t="s">
        <v>40</v>
      </c>
      <c r="F481" t="s">
        <v>36</v>
      </c>
      <c r="G481" t="s">
        <v>33</v>
      </c>
      <c r="H481" t="s">
        <v>21</v>
      </c>
      <c r="I481">
        <v>9</v>
      </c>
      <c r="J481" s="2">
        <v>5771</v>
      </c>
      <c r="K481" t="s">
        <v>22</v>
      </c>
      <c r="L481">
        <v>4</v>
      </c>
      <c r="M481">
        <v>2</v>
      </c>
      <c r="N481">
        <v>0</v>
      </c>
      <c r="O481">
        <v>0</v>
      </c>
      <c r="P481">
        <v>0</v>
      </c>
      <c r="Q481" t="s">
        <v>42</v>
      </c>
      <c r="R481" t="str" cm="1">
        <f t="array" ref="R481">_xlfn.IFS(N481&lt;=1,"0-1 yrs",N481&lt;=4,"2-4 yrs",N481&lt;=9,"5-9 yrs",N481&gt;9,"10+ yrs")</f>
        <v>0-1 yrs</v>
      </c>
      <c r="S481" t="str" cm="1">
        <f t="array" ref="S481">_xlfn.IFS(B481&lt;=25,"20-25",B481&lt;=35,"26-35",B481&lt;=45,"36-45",B481&gt;45,"46+")</f>
        <v>20-25</v>
      </c>
      <c r="T481" t="str" cm="1">
        <f t="array" ref="T481">_xlfn.IFS(J481&lt;3500,"&lt;3.5K",J481&lt;5500,"3.5-5.5K",J481&lt;7500,"5.5-7.5K",J481&gt;=7500,"7.5K+")</f>
        <v>5.5-7.5K</v>
      </c>
      <c r="U481">
        <f t="shared" si="7"/>
        <v>1</v>
      </c>
    </row>
    <row r="482" spans="1:21" x14ac:dyDescent="0.25">
      <c r="A482">
        <v>1096</v>
      </c>
      <c r="B482">
        <v>43</v>
      </c>
      <c r="C482" t="s">
        <v>16</v>
      </c>
      <c r="D482" t="s">
        <v>24</v>
      </c>
      <c r="E482" t="s">
        <v>52</v>
      </c>
      <c r="F482" t="s">
        <v>41</v>
      </c>
      <c r="G482" t="s">
        <v>20</v>
      </c>
      <c r="H482" t="s">
        <v>21</v>
      </c>
      <c r="I482">
        <v>4</v>
      </c>
      <c r="J482" s="2">
        <v>9298</v>
      </c>
      <c r="K482" t="s">
        <v>42</v>
      </c>
      <c r="L482">
        <v>1</v>
      </c>
      <c r="M482">
        <v>3</v>
      </c>
      <c r="N482">
        <v>13</v>
      </c>
      <c r="O482">
        <v>12</v>
      </c>
      <c r="P482">
        <v>16</v>
      </c>
      <c r="Q482" t="s">
        <v>22</v>
      </c>
      <c r="R482" t="str" cm="1">
        <f t="array" ref="R482">_xlfn.IFS(N482&lt;=1,"0-1 yrs",N482&lt;=4,"2-4 yrs",N482&lt;=9,"5-9 yrs",N482&gt;9,"10+ yrs")</f>
        <v>10+ yrs</v>
      </c>
      <c r="S482" t="str" cm="1">
        <f t="array" ref="S482">_xlfn.IFS(B482&lt;=25,"20-25",B482&lt;=35,"26-35",B482&lt;=45,"36-45",B482&gt;45,"46+")</f>
        <v>36-45</v>
      </c>
      <c r="T482" t="str" cm="1">
        <f t="array" ref="T482">_xlfn.IFS(J482&lt;3500,"&lt;3.5K",J482&lt;5500,"3.5-5.5K",J482&lt;7500,"5.5-7.5K",J482&gt;=7500,"7.5K+")</f>
        <v>7.5K+</v>
      </c>
      <c r="U482">
        <f t="shared" si="7"/>
        <v>0</v>
      </c>
    </row>
    <row r="483" spans="1:21" x14ac:dyDescent="0.25">
      <c r="A483">
        <v>1478</v>
      </c>
      <c r="B483">
        <v>47</v>
      </c>
      <c r="C483" t="s">
        <v>16</v>
      </c>
      <c r="D483" t="s">
        <v>27</v>
      </c>
      <c r="E483" t="s">
        <v>43</v>
      </c>
      <c r="F483" t="s">
        <v>19</v>
      </c>
      <c r="G483" t="s">
        <v>37</v>
      </c>
      <c r="H483" t="s">
        <v>34</v>
      </c>
      <c r="I483">
        <v>2</v>
      </c>
      <c r="J483" s="2">
        <v>10892</v>
      </c>
      <c r="K483" t="s">
        <v>22</v>
      </c>
      <c r="L483">
        <v>4</v>
      </c>
      <c r="M483">
        <v>3</v>
      </c>
      <c r="N483">
        <v>6</v>
      </c>
      <c r="O483">
        <v>2</v>
      </c>
      <c r="P483">
        <v>23</v>
      </c>
      <c r="Q483" t="s">
        <v>22</v>
      </c>
      <c r="R483" t="str" cm="1">
        <f t="array" ref="R483">_xlfn.IFS(N483&lt;=1,"0-1 yrs",N483&lt;=4,"2-4 yrs",N483&lt;=9,"5-9 yrs",N483&gt;9,"10+ yrs")</f>
        <v>5-9 yrs</v>
      </c>
      <c r="S483" t="str" cm="1">
        <f t="array" ref="S483">_xlfn.IFS(B483&lt;=25,"20-25",B483&lt;=35,"26-35",B483&lt;=45,"36-45",B483&gt;45,"46+")</f>
        <v>46+</v>
      </c>
      <c r="T483" t="str" cm="1">
        <f t="array" ref="T483">_xlfn.IFS(J483&lt;3500,"&lt;3.5K",J483&lt;5500,"3.5-5.5K",J483&lt;7500,"5.5-7.5K",J483&gt;=7500,"7.5K+")</f>
        <v>7.5K+</v>
      </c>
      <c r="U483">
        <f t="shared" si="7"/>
        <v>0</v>
      </c>
    </row>
    <row r="484" spans="1:21" x14ac:dyDescent="0.25">
      <c r="A484">
        <v>1494</v>
      </c>
      <c r="B484">
        <v>49</v>
      </c>
      <c r="C484" t="s">
        <v>16</v>
      </c>
      <c r="D484" t="s">
        <v>24</v>
      </c>
      <c r="E484" t="s">
        <v>45</v>
      </c>
      <c r="F484" t="s">
        <v>38</v>
      </c>
      <c r="G484" t="s">
        <v>37</v>
      </c>
      <c r="H484" t="s">
        <v>21</v>
      </c>
      <c r="I484">
        <v>6</v>
      </c>
      <c r="J484" s="2">
        <v>8419</v>
      </c>
      <c r="K484" t="s">
        <v>22</v>
      </c>
      <c r="L484">
        <v>1</v>
      </c>
      <c r="M484">
        <v>2</v>
      </c>
      <c r="N484">
        <v>4</v>
      </c>
      <c r="O484">
        <v>0</v>
      </c>
      <c r="P484">
        <v>15</v>
      </c>
      <c r="Q484" t="s">
        <v>22</v>
      </c>
      <c r="R484" t="str" cm="1">
        <f t="array" ref="R484">_xlfn.IFS(N484&lt;=1,"0-1 yrs",N484&lt;=4,"2-4 yrs",N484&lt;=9,"5-9 yrs",N484&gt;9,"10+ yrs")</f>
        <v>2-4 yrs</v>
      </c>
      <c r="S484" t="str" cm="1">
        <f t="array" ref="S484">_xlfn.IFS(B484&lt;=25,"20-25",B484&lt;=35,"26-35",B484&lt;=45,"36-45",B484&gt;45,"46+")</f>
        <v>46+</v>
      </c>
      <c r="T484" t="str" cm="1">
        <f t="array" ref="T484">_xlfn.IFS(J484&lt;3500,"&lt;3.5K",J484&lt;5500,"3.5-5.5K",J484&lt;7500,"5.5-7.5K",J484&gt;=7500,"7.5K+")</f>
        <v>7.5K+</v>
      </c>
      <c r="U484">
        <f t="shared" si="7"/>
        <v>0</v>
      </c>
    </row>
    <row r="485" spans="1:21" x14ac:dyDescent="0.25">
      <c r="A485">
        <v>1079</v>
      </c>
      <c r="B485">
        <v>23</v>
      </c>
      <c r="C485" t="s">
        <v>16</v>
      </c>
      <c r="D485" t="s">
        <v>24</v>
      </c>
      <c r="E485" t="s">
        <v>46</v>
      </c>
      <c r="F485" t="s">
        <v>36</v>
      </c>
      <c r="G485" t="s">
        <v>33</v>
      </c>
      <c r="H485" t="s">
        <v>21</v>
      </c>
      <c r="I485">
        <v>11</v>
      </c>
      <c r="J485" s="2">
        <v>6115</v>
      </c>
      <c r="K485" t="s">
        <v>22</v>
      </c>
      <c r="L485">
        <v>4</v>
      </c>
      <c r="M485">
        <v>1</v>
      </c>
      <c r="N485">
        <v>3</v>
      </c>
      <c r="O485">
        <v>0</v>
      </c>
      <c r="P485">
        <v>3</v>
      </c>
      <c r="Q485" t="s">
        <v>22</v>
      </c>
      <c r="R485" t="str" cm="1">
        <f t="array" ref="R485">_xlfn.IFS(N485&lt;=1,"0-1 yrs",N485&lt;=4,"2-4 yrs",N485&lt;=9,"5-9 yrs",N485&gt;9,"10+ yrs")</f>
        <v>2-4 yrs</v>
      </c>
      <c r="S485" t="str" cm="1">
        <f t="array" ref="S485">_xlfn.IFS(B485&lt;=25,"20-25",B485&lt;=35,"26-35",B485&lt;=45,"36-45",B485&gt;45,"46+")</f>
        <v>20-25</v>
      </c>
      <c r="T485" t="str" cm="1">
        <f t="array" ref="T485">_xlfn.IFS(J485&lt;3500,"&lt;3.5K",J485&lt;5500,"3.5-5.5K",J485&lt;7500,"5.5-7.5K",J485&gt;=7500,"7.5K+")</f>
        <v>5.5-7.5K</v>
      </c>
      <c r="U485">
        <f t="shared" si="7"/>
        <v>0</v>
      </c>
    </row>
    <row r="486" spans="1:21" x14ac:dyDescent="0.25">
      <c r="A486">
        <v>1495</v>
      </c>
      <c r="B486">
        <v>57</v>
      </c>
      <c r="C486" t="s">
        <v>23</v>
      </c>
      <c r="D486" t="s">
        <v>24</v>
      </c>
      <c r="E486" t="s">
        <v>52</v>
      </c>
      <c r="F486" t="s">
        <v>19</v>
      </c>
      <c r="G486" t="s">
        <v>33</v>
      </c>
      <c r="H486" t="s">
        <v>21</v>
      </c>
      <c r="I486">
        <v>16</v>
      </c>
      <c r="J486" s="2">
        <v>11538</v>
      </c>
      <c r="K486" t="s">
        <v>42</v>
      </c>
      <c r="L486">
        <v>4</v>
      </c>
      <c r="M486">
        <v>1</v>
      </c>
      <c r="N486">
        <v>24</v>
      </c>
      <c r="O486">
        <v>18</v>
      </c>
      <c r="P486">
        <v>33</v>
      </c>
      <c r="Q486" t="s">
        <v>22</v>
      </c>
      <c r="R486" t="str" cm="1">
        <f t="array" ref="R486">_xlfn.IFS(N486&lt;=1,"0-1 yrs",N486&lt;=4,"2-4 yrs",N486&lt;=9,"5-9 yrs",N486&gt;9,"10+ yrs")</f>
        <v>10+ yrs</v>
      </c>
      <c r="S486" t="str" cm="1">
        <f t="array" ref="S486">_xlfn.IFS(B486&lt;=25,"20-25",B486&lt;=35,"26-35",B486&lt;=45,"36-45",B486&gt;45,"46+")</f>
        <v>46+</v>
      </c>
      <c r="T486" t="str" cm="1">
        <f t="array" ref="T486">_xlfn.IFS(J486&lt;3500,"&lt;3.5K",J486&lt;5500,"3.5-5.5K",J486&lt;7500,"5.5-7.5K",J486&gt;=7500,"7.5K+")</f>
        <v>7.5K+</v>
      </c>
      <c r="U486">
        <f t="shared" si="7"/>
        <v>0</v>
      </c>
    </row>
    <row r="487" spans="1:21" x14ac:dyDescent="0.25">
      <c r="A487">
        <v>1895</v>
      </c>
      <c r="B487">
        <v>39</v>
      </c>
      <c r="C487" t="s">
        <v>16</v>
      </c>
      <c r="D487" t="s">
        <v>17</v>
      </c>
      <c r="E487" t="s">
        <v>18</v>
      </c>
      <c r="F487" t="s">
        <v>26</v>
      </c>
      <c r="G487" t="s">
        <v>33</v>
      </c>
      <c r="H487" t="s">
        <v>21</v>
      </c>
      <c r="I487">
        <v>6</v>
      </c>
      <c r="J487" s="2">
        <v>13960</v>
      </c>
      <c r="K487" t="s">
        <v>22</v>
      </c>
      <c r="L487">
        <v>2</v>
      </c>
      <c r="M487">
        <v>2</v>
      </c>
      <c r="N487">
        <v>2</v>
      </c>
      <c r="O487">
        <v>0</v>
      </c>
      <c r="P487">
        <v>17</v>
      </c>
      <c r="Q487" t="s">
        <v>22</v>
      </c>
      <c r="R487" t="str" cm="1">
        <f t="array" ref="R487">_xlfn.IFS(N487&lt;=1,"0-1 yrs",N487&lt;=4,"2-4 yrs",N487&lt;=9,"5-9 yrs",N487&gt;9,"10+ yrs")</f>
        <v>2-4 yrs</v>
      </c>
      <c r="S487" t="str" cm="1">
        <f t="array" ref="S487">_xlfn.IFS(B487&lt;=25,"20-25",B487&lt;=35,"26-35",B487&lt;=45,"36-45",B487&gt;45,"46+")</f>
        <v>36-45</v>
      </c>
      <c r="T487" t="str" cm="1">
        <f t="array" ref="T487">_xlfn.IFS(J487&lt;3500,"&lt;3.5K",J487&lt;5500,"3.5-5.5K",J487&lt;7500,"5.5-7.5K",J487&gt;=7500,"7.5K+")</f>
        <v>7.5K+</v>
      </c>
      <c r="U487">
        <f t="shared" si="7"/>
        <v>0</v>
      </c>
    </row>
    <row r="488" spans="1:21" x14ac:dyDescent="0.25">
      <c r="A488">
        <v>1189</v>
      </c>
      <c r="B488">
        <v>38</v>
      </c>
      <c r="C488" t="s">
        <v>16</v>
      </c>
      <c r="D488" t="s">
        <v>24</v>
      </c>
      <c r="E488" t="s">
        <v>25</v>
      </c>
      <c r="F488" t="s">
        <v>36</v>
      </c>
      <c r="G488" t="s">
        <v>33</v>
      </c>
      <c r="H488" t="s">
        <v>34</v>
      </c>
      <c r="I488">
        <v>26</v>
      </c>
      <c r="J488" s="2">
        <v>12466</v>
      </c>
      <c r="K488" t="s">
        <v>42</v>
      </c>
      <c r="L488">
        <v>1</v>
      </c>
      <c r="M488">
        <v>1</v>
      </c>
      <c r="N488">
        <v>9</v>
      </c>
      <c r="O488">
        <v>7</v>
      </c>
      <c r="P488">
        <v>10</v>
      </c>
      <c r="Q488" t="s">
        <v>22</v>
      </c>
      <c r="R488" t="str" cm="1">
        <f t="array" ref="R488">_xlfn.IFS(N488&lt;=1,"0-1 yrs",N488&lt;=4,"2-4 yrs",N488&lt;=9,"5-9 yrs",N488&gt;9,"10+ yrs")</f>
        <v>5-9 yrs</v>
      </c>
      <c r="S488" t="str" cm="1">
        <f t="array" ref="S488">_xlfn.IFS(B488&lt;=25,"20-25",B488&lt;=35,"26-35",B488&lt;=45,"36-45",B488&gt;45,"46+")</f>
        <v>36-45</v>
      </c>
      <c r="T488" t="str" cm="1">
        <f t="array" ref="T488">_xlfn.IFS(J488&lt;3500,"&lt;3.5K",J488&lt;5500,"3.5-5.5K",J488&lt;7500,"5.5-7.5K",J488&gt;=7500,"7.5K+")</f>
        <v>7.5K+</v>
      </c>
      <c r="U488">
        <f t="shared" si="7"/>
        <v>0</v>
      </c>
    </row>
    <row r="489" spans="1:21" x14ac:dyDescent="0.25">
      <c r="A489">
        <v>1603</v>
      </c>
      <c r="B489">
        <v>57</v>
      </c>
      <c r="C489" t="s">
        <v>23</v>
      </c>
      <c r="D489" t="s">
        <v>17</v>
      </c>
      <c r="E489" t="s">
        <v>40</v>
      </c>
      <c r="F489" t="s">
        <v>29</v>
      </c>
      <c r="G489" t="s">
        <v>20</v>
      </c>
      <c r="H489" t="s">
        <v>21</v>
      </c>
      <c r="I489">
        <v>16</v>
      </c>
      <c r="J489" s="2">
        <v>10742</v>
      </c>
      <c r="K489" t="s">
        <v>22</v>
      </c>
      <c r="L489">
        <v>4</v>
      </c>
      <c r="M489">
        <v>3</v>
      </c>
      <c r="N489">
        <v>6</v>
      </c>
      <c r="O489">
        <v>4</v>
      </c>
      <c r="P489">
        <v>33</v>
      </c>
      <c r="Q489" t="s">
        <v>22</v>
      </c>
      <c r="R489" t="str" cm="1">
        <f t="array" ref="R489">_xlfn.IFS(N489&lt;=1,"0-1 yrs",N489&lt;=4,"2-4 yrs",N489&lt;=9,"5-9 yrs",N489&gt;9,"10+ yrs")</f>
        <v>5-9 yrs</v>
      </c>
      <c r="S489" t="str" cm="1">
        <f t="array" ref="S489">_xlfn.IFS(B489&lt;=25,"20-25",B489&lt;=35,"26-35",B489&lt;=45,"36-45",B489&gt;45,"46+")</f>
        <v>46+</v>
      </c>
      <c r="T489" t="str" cm="1">
        <f t="array" ref="T489">_xlfn.IFS(J489&lt;3500,"&lt;3.5K",J489&lt;5500,"3.5-5.5K",J489&lt;7500,"5.5-7.5K",J489&gt;=7500,"7.5K+")</f>
        <v>7.5K+</v>
      </c>
      <c r="U489">
        <f t="shared" si="7"/>
        <v>0</v>
      </c>
    </row>
    <row r="490" spans="1:21" x14ac:dyDescent="0.25">
      <c r="A490">
        <v>1732</v>
      </c>
      <c r="B490">
        <v>55</v>
      </c>
      <c r="C490" t="s">
        <v>16</v>
      </c>
      <c r="D490" t="s">
        <v>17</v>
      </c>
      <c r="E490" t="s">
        <v>35</v>
      </c>
      <c r="F490" t="s">
        <v>68</v>
      </c>
      <c r="G490" t="s">
        <v>37</v>
      </c>
      <c r="H490" t="s">
        <v>21</v>
      </c>
      <c r="I490">
        <v>27</v>
      </c>
      <c r="J490" s="2">
        <v>12094</v>
      </c>
      <c r="K490" t="s">
        <v>22</v>
      </c>
      <c r="L490">
        <v>2</v>
      </c>
      <c r="M490">
        <v>4</v>
      </c>
      <c r="N490">
        <v>9</v>
      </c>
      <c r="O490">
        <v>9</v>
      </c>
      <c r="P490">
        <v>32</v>
      </c>
      <c r="Q490" t="s">
        <v>22</v>
      </c>
      <c r="R490" t="str" cm="1">
        <f t="array" ref="R490">_xlfn.IFS(N490&lt;=1,"0-1 yrs",N490&lt;=4,"2-4 yrs",N490&lt;=9,"5-9 yrs",N490&gt;9,"10+ yrs")</f>
        <v>5-9 yrs</v>
      </c>
      <c r="S490" t="str" cm="1">
        <f t="array" ref="S490">_xlfn.IFS(B490&lt;=25,"20-25",B490&lt;=35,"26-35",B490&lt;=45,"36-45",B490&gt;45,"46+")</f>
        <v>46+</v>
      </c>
      <c r="T490" t="str" cm="1">
        <f t="array" ref="T490">_xlfn.IFS(J490&lt;3500,"&lt;3.5K",J490&lt;5500,"3.5-5.5K",J490&lt;7500,"5.5-7.5K",J490&gt;=7500,"7.5K+")</f>
        <v>7.5K+</v>
      </c>
      <c r="U490">
        <f t="shared" si="7"/>
        <v>0</v>
      </c>
    </row>
    <row r="491" spans="1:21" x14ac:dyDescent="0.25">
      <c r="A491">
        <v>1573</v>
      </c>
      <c r="B491">
        <v>53</v>
      </c>
      <c r="C491" t="s">
        <v>23</v>
      </c>
      <c r="D491" t="s">
        <v>17</v>
      </c>
      <c r="E491" t="s">
        <v>18</v>
      </c>
      <c r="F491" t="s">
        <v>41</v>
      </c>
      <c r="G491" t="s">
        <v>20</v>
      </c>
      <c r="H491" t="s">
        <v>30</v>
      </c>
      <c r="I491">
        <v>4</v>
      </c>
      <c r="J491" s="2">
        <v>14305</v>
      </c>
      <c r="K491" t="s">
        <v>22</v>
      </c>
      <c r="L491">
        <v>3</v>
      </c>
      <c r="M491">
        <v>4</v>
      </c>
      <c r="N491">
        <v>16</v>
      </c>
      <c r="O491">
        <v>0</v>
      </c>
      <c r="P491">
        <v>30</v>
      </c>
      <c r="Q491" t="s">
        <v>22</v>
      </c>
      <c r="R491" t="str" cm="1">
        <f t="array" ref="R491">_xlfn.IFS(N491&lt;=1,"0-1 yrs",N491&lt;=4,"2-4 yrs",N491&lt;=9,"5-9 yrs",N491&gt;9,"10+ yrs")</f>
        <v>10+ yrs</v>
      </c>
      <c r="S491" t="str" cm="1">
        <f t="array" ref="S491">_xlfn.IFS(B491&lt;=25,"20-25",B491&lt;=35,"26-35",B491&lt;=45,"36-45",B491&gt;45,"46+")</f>
        <v>46+</v>
      </c>
      <c r="T491" t="str" cm="1">
        <f t="array" ref="T491">_xlfn.IFS(J491&lt;3500,"&lt;3.5K",J491&lt;5500,"3.5-5.5K",J491&lt;7500,"5.5-7.5K",J491&gt;=7500,"7.5K+")</f>
        <v>7.5K+</v>
      </c>
      <c r="U491">
        <f t="shared" si="7"/>
        <v>0</v>
      </c>
    </row>
    <row r="492" spans="1:21" x14ac:dyDescent="0.25">
      <c r="A492">
        <v>1565</v>
      </c>
      <c r="B492">
        <v>43</v>
      </c>
      <c r="C492" t="s">
        <v>23</v>
      </c>
      <c r="D492" t="s">
        <v>24</v>
      </c>
      <c r="E492" t="s">
        <v>45</v>
      </c>
      <c r="F492" t="s">
        <v>36</v>
      </c>
      <c r="G492" t="s">
        <v>20</v>
      </c>
      <c r="H492" t="s">
        <v>30</v>
      </c>
      <c r="I492">
        <v>3</v>
      </c>
      <c r="J492" s="2">
        <v>8048</v>
      </c>
      <c r="K492" t="s">
        <v>42</v>
      </c>
      <c r="L492">
        <v>4</v>
      </c>
      <c r="M492">
        <v>2</v>
      </c>
      <c r="N492">
        <v>12</v>
      </c>
      <c r="O492">
        <v>0</v>
      </c>
      <c r="P492">
        <v>20</v>
      </c>
      <c r="Q492" t="s">
        <v>22</v>
      </c>
      <c r="R492" t="str" cm="1">
        <f t="array" ref="R492">_xlfn.IFS(N492&lt;=1,"0-1 yrs",N492&lt;=4,"2-4 yrs",N492&lt;=9,"5-9 yrs",N492&gt;9,"10+ yrs")</f>
        <v>10+ yrs</v>
      </c>
      <c r="S492" t="str" cm="1">
        <f t="array" ref="S492">_xlfn.IFS(B492&lt;=25,"20-25",B492&lt;=35,"26-35",B492&lt;=45,"36-45",B492&gt;45,"46+")</f>
        <v>36-45</v>
      </c>
      <c r="T492" t="str" cm="1">
        <f t="array" ref="T492">_xlfn.IFS(J492&lt;3500,"&lt;3.5K",J492&lt;5500,"3.5-5.5K",J492&lt;7500,"5.5-7.5K",J492&gt;=7500,"7.5K+")</f>
        <v>7.5K+</v>
      </c>
      <c r="U492">
        <f t="shared" si="7"/>
        <v>0</v>
      </c>
    </row>
    <row r="493" spans="1:21" x14ac:dyDescent="0.25">
      <c r="A493">
        <v>1064</v>
      </c>
      <c r="B493">
        <v>60</v>
      </c>
      <c r="C493" t="s">
        <v>16</v>
      </c>
      <c r="D493" t="s">
        <v>24</v>
      </c>
      <c r="E493" t="s">
        <v>46</v>
      </c>
      <c r="F493" t="s">
        <v>19</v>
      </c>
      <c r="G493" t="s">
        <v>20</v>
      </c>
      <c r="H493" t="s">
        <v>34</v>
      </c>
      <c r="I493">
        <v>2</v>
      </c>
      <c r="J493" s="2">
        <v>11282</v>
      </c>
      <c r="K493" t="s">
        <v>22</v>
      </c>
      <c r="L493">
        <v>1</v>
      </c>
      <c r="M493">
        <v>1</v>
      </c>
      <c r="N493">
        <v>5</v>
      </c>
      <c r="O493">
        <v>5</v>
      </c>
      <c r="P493">
        <v>35</v>
      </c>
      <c r="Q493" t="s">
        <v>22</v>
      </c>
      <c r="R493" t="str" cm="1">
        <f t="array" ref="R493">_xlfn.IFS(N493&lt;=1,"0-1 yrs",N493&lt;=4,"2-4 yrs",N493&lt;=9,"5-9 yrs",N493&gt;9,"10+ yrs")</f>
        <v>5-9 yrs</v>
      </c>
      <c r="S493" t="str" cm="1">
        <f t="array" ref="S493">_xlfn.IFS(B493&lt;=25,"20-25",B493&lt;=35,"26-35",B493&lt;=45,"36-45",B493&gt;45,"46+")</f>
        <v>46+</v>
      </c>
      <c r="T493" t="str" cm="1">
        <f t="array" ref="T493">_xlfn.IFS(J493&lt;3500,"&lt;3.5K",J493&lt;5500,"3.5-5.5K",J493&lt;7500,"5.5-7.5K",J493&gt;=7500,"7.5K+")</f>
        <v>7.5K+</v>
      </c>
      <c r="U493">
        <f t="shared" si="7"/>
        <v>0</v>
      </c>
    </row>
    <row r="494" spans="1:21" x14ac:dyDescent="0.25">
      <c r="A494">
        <v>1655</v>
      </c>
      <c r="B494">
        <v>57</v>
      </c>
      <c r="C494" t="s">
        <v>16</v>
      </c>
      <c r="D494" t="s">
        <v>47</v>
      </c>
      <c r="E494" t="s">
        <v>53</v>
      </c>
      <c r="F494" t="s">
        <v>38</v>
      </c>
      <c r="G494" t="s">
        <v>20</v>
      </c>
      <c r="H494" t="s">
        <v>34</v>
      </c>
      <c r="I494">
        <v>9</v>
      </c>
      <c r="J494" s="2">
        <v>17496</v>
      </c>
      <c r="K494" t="s">
        <v>42</v>
      </c>
      <c r="L494">
        <v>2</v>
      </c>
      <c r="M494">
        <v>4</v>
      </c>
      <c r="N494">
        <v>12</v>
      </c>
      <c r="O494">
        <v>10</v>
      </c>
      <c r="P494">
        <v>37</v>
      </c>
      <c r="Q494" t="s">
        <v>42</v>
      </c>
      <c r="R494" t="str" cm="1">
        <f t="array" ref="R494">_xlfn.IFS(N494&lt;=1,"0-1 yrs",N494&lt;=4,"2-4 yrs",N494&lt;=9,"5-9 yrs",N494&gt;9,"10+ yrs")</f>
        <v>10+ yrs</v>
      </c>
      <c r="S494" t="str" cm="1">
        <f t="array" ref="S494">_xlfn.IFS(B494&lt;=25,"20-25",B494&lt;=35,"26-35",B494&lt;=45,"36-45",B494&gt;45,"46+")</f>
        <v>46+</v>
      </c>
      <c r="T494" t="str" cm="1">
        <f t="array" ref="T494">_xlfn.IFS(J494&lt;3500,"&lt;3.5K",J494&lt;5500,"3.5-5.5K",J494&lt;7500,"5.5-7.5K",J494&gt;=7500,"7.5K+")</f>
        <v>7.5K+</v>
      </c>
      <c r="U494">
        <f t="shared" si="7"/>
        <v>1</v>
      </c>
    </row>
    <row r="495" spans="1:21" x14ac:dyDescent="0.25">
      <c r="A495">
        <v>1750</v>
      </c>
      <c r="B495">
        <v>21</v>
      </c>
      <c r="C495" t="s">
        <v>16</v>
      </c>
      <c r="D495" t="s">
        <v>47</v>
      </c>
      <c r="E495" t="s">
        <v>50</v>
      </c>
      <c r="F495" t="s">
        <v>26</v>
      </c>
      <c r="G495" t="s">
        <v>37</v>
      </c>
      <c r="H495" t="s">
        <v>34</v>
      </c>
      <c r="I495">
        <v>27</v>
      </c>
      <c r="J495" s="2">
        <v>6374</v>
      </c>
      <c r="K495" t="s">
        <v>42</v>
      </c>
      <c r="L495">
        <v>1</v>
      </c>
      <c r="M495">
        <v>2</v>
      </c>
      <c r="N495">
        <v>0</v>
      </c>
      <c r="O495">
        <v>0</v>
      </c>
      <c r="P495">
        <v>1</v>
      </c>
      <c r="Q495" t="s">
        <v>22</v>
      </c>
      <c r="R495" t="str" cm="1">
        <f t="array" ref="R495">_xlfn.IFS(N495&lt;=1,"0-1 yrs",N495&lt;=4,"2-4 yrs",N495&lt;=9,"5-9 yrs",N495&gt;9,"10+ yrs")</f>
        <v>0-1 yrs</v>
      </c>
      <c r="S495" t="str" cm="1">
        <f t="array" ref="S495">_xlfn.IFS(B495&lt;=25,"20-25",B495&lt;=35,"26-35",B495&lt;=45,"36-45",B495&gt;45,"46+")</f>
        <v>20-25</v>
      </c>
      <c r="T495" t="str" cm="1">
        <f t="array" ref="T495">_xlfn.IFS(J495&lt;3500,"&lt;3.5K",J495&lt;5500,"3.5-5.5K",J495&lt;7500,"5.5-7.5K",J495&gt;=7500,"7.5K+")</f>
        <v>5.5-7.5K</v>
      </c>
      <c r="U495">
        <f t="shared" si="7"/>
        <v>0</v>
      </c>
    </row>
    <row r="496" spans="1:21" x14ac:dyDescent="0.25">
      <c r="A496">
        <v>1859</v>
      </c>
      <c r="B496">
        <v>50</v>
      </c>
      <c r="C496" t="s">
        <v>23</v>
      </c>
      <c r="D496" t="s">
        <v>17</v>
      </c>
      <c r="E496" t="s">
        <v>18</v>
      </c>
      <c r="F496" t="s">
        <v>36</v>
      </c>
      <c r="G496" t="s">
        <v>37</v>
      </c>
      <c r="H496" t="s">
        <v>30</v>
      </c>
      <c r="I496">
        <v>3</v>
      </c>
      <c r="J496" s="2">
        <v>12506</v>
      </c>
      <c r="K496" t="s">
        <v>42</v>
      </c>
      <c r="L496">
        <v>2</v>
      </c>
      <c r="M496">
        <v>4</v>
      </c>
      <c r="N496">
        <v>1</v>
      </c>
      <c r="O496">
        <v>1</v>
      </c>
      <c r="P496">
        <v>19</v>
      </c>
      <c r="Q496" t="s">
        <v>22</v>
      </c>
      <c r="R496" t="str" cm="1">
        <f t="array" ref="R496">_xlfn.IFS(N496&lt;=1,"0-1 yrs",N496&lt;=4,"2-4 yrs",N496&lt;=9,"5-9 yrs",N496&gt;9,"10+ yrs")</f>
        <v>0-1 yrs</v>
      </c>
      <c r="S496" t="str" cm="1">
        <f t="array" ref="S496">_xlfn.IFS(B496&lt;=25,"20-25",B496&lt;=35,"26-35",B496&lt;=45,"36-45",B496&gt;45,"46+")</f>
        <v>46+</v>
      </c>
      <c r="T496" t="str" cm="1">
        <f t="array" ref="T496">_xlfn.IFS(J496&lt;3500,"&lt;3.5K",J496&lt;5500,"3.5-5.5K",J496&lt;7500,"5.5-7.5K",J496&gt;=7500,"7.5K+")</f>
        <v>7.5K+</v>
      </c>
      <c r="U496">
        <f t="shared" si="7"/>
        <v>0</v>
      </c>
    </row>
    <row r="497" spans="1:21" x14ac:dyDescent="0.25">
      <c r="A497">
        <v>1608</v>
      </c>
      <c r="B497">
        <v>25</v>
      </c>
      <c r="C497" t="s">
        <v>16</v>
      </c>
      <c r="D497" t="s">
        <v>17</v>
      </c>
      <c r="E497" t="s">
        <v>35</v>
      </c>
      <c r="F497" t="s">
        <v>32</v>
      </c>
      <c r="G497" t="s">
        <v>33</v>
      </c>
      <c r="H497" t="s">
        <v>34</v>
      </c>
      <c r="I497">
        <v>16</v>
      </c>
      <c r="J497" s="2">
        <v>7185</v>
      </c>
      <c r="K497" t="s">
        <v>22</v>
      </c>
      <c r="L497">
        <v>2</v>
      </c>
      <c r="M497">
        <v>4</v>
      </c>
      <c r="N497">
        <v>0</v>
      </c>
      <c r="O497">
        <v>0</v>
      </c>
      <c r="P497">
        <v>0</v>
      </c>
      <c r="Q497" t="s">
        <v>22</v>
      </c>
      <c r="R497" t="str" cm="1">
        <f t="array" ref="R497">_xlfn.IFS(N497&lt;=1,"0-1 yrs",N497&lt;=4,"2-4 yrs",N497&lt;=9,"5-9 yrs",N497&gt;9,"10+ yrs")</f>
        <v>0-1 yrs</v>
      </c>
      <c r="S497" t="str" cm="1">
        <f t="array" ref="S497">_xlfn.IFS(B497&lt;=25,"20-25",B497&lt;=35,"26-35",B497&lt;=45,"36-45",B497&gt;45,"46+")</f>
        <v>20-25</v>
      </c>
      <c r="T497" t="str" cm="1">
        <f t="array" ref="T497">_xlfn.IFS(J497&lt;3500,"&lt;3.5K",J497&lt;5500,"3.5-5.5K",J497&lt;7500,"5.5-7.5K",J497&gt;=7500,"7.5K+")</f>
        <v>5.5-7.5K</v>
      </c>
      <c r="U497">
        <f t="shared" si="7"/>
        <v>0</v>
      </c>
    </row>
    <row r="498" spans="1:21" x14ac:dyDescent="0.25">
      <c r="A498">
        <v>1138</v>
      </c>
      <c r="B498">
        <v>39</v>
      </c>
      <c r="C498" t="s">
        <v>16</v>
      </c>
      <c r="D498" t="s">
        <v>47</v>
      </c>
      <c r="E498" t="s">
        <v>48</v>
      </c>
      <c r="F498" t="s">
        <v>26</v>
      </c>
      <c r="G498" t="s">
        <v>33</v>
      </c>
      <c r="H498" t="s">
        <v>21</v>
      </c>
      <c r="I498">
        <v>15</v>
      </c>
      <c r="J498" s="2">
        <v>7783</v>
      </c>
      <c r="K498" t="s">
        <v>22</v>
      </c>
      <c r="L498">
        <v>4</v>
      </c>
      <c r="M498">
        <v>2</v>
      </c>
      <c r="N498">
        <v>5</v>
      </c>
      <c r="O498">
        <v>2</v>
      </c>
      <c r="P498">
        <v>12</v>
      </c>
      <c r="Q498" t="s">
        <v>22</v>
      </c>
      <c r="R498" t="str" cm="1">
        <f t="array" ref="R498">_xlfn.IFS(N498&lt;=1,"0-1 yrs",N498&lt;=4,"2-4 yrs",N498&lt;=9,"5-9 yrs",N498&gt;9,"10+ yrs")</f>
        <v>5-9 yrs</v>
      </c>
      <c r="S498" t="str" cm="1">
        <f t="array" ref="S498">_xlfn.IFS(B498&lt;=25,"20-25",B498&lt;=35,"26-35",B498&lt;=45,"36-45",B498&gt;45,"46+")</f>
        <v>36-45</v>
      </c>
      <c r="T498" t="str" cm="1">
        <f t="array" ref="T498">_xlfn.IFS(J498&lt;3500,"&lt;3.5K",J498&lt;5500,"3.5-5.5K",J498&lt;7500,"5.5-7.5K",J498&gt;=7500,"7.5K+")</f>
        <v>7.5K+</v>
      </c>
      <c r="U498">
        <f t="shared" si="7"/>
        <v>0</v>
      </c>
    </row>
    <row r="499" spans="1:21" x14ac:dyDescent="0.25">
      <c r="A499">
        <v>1842</v>
      </c>
      <c r="B499">
        <v>26</v>
      </c>
      <c r="C499" t="s">
        <v>23</v>
      </c>
      <c r="D499" t="s">
        <v>24</v>
      </c>
      <c r="E499" t="s">
        <v>46</v>
      </c>
      <c r="F499" t="s">
        <v>38</v>
      </c>
      <c r="G499" t="s">
        <v>20</v>
      </c>
      <c r="H499" t="s">
        <v>30</v>
      </c>
      <c r="I499">
        <v>25</v>
      </c>
      <c r="J499" s="2">
        <v>6187</v>
      </c>
      <c r="K499" t="s">
        <v>22</v>
      </c>
      <c r="L499">
        <v>3</v>
      </c>
      <c r="M499">
        <v>2</v>
      </c>
      <c r="N499">
        <v>0</v>
      </c>
      <c r="O499">
        <v>0</v>
      </c>
      <c r="P499">
        <v>0</v>
      </c>
      <c r="Q499" t="s">
        <v>22</v>
      </c>
      <c r="R499" t="str" cm="1">
        <f t="array" ref="R499">_xlfn.IFS(N499&lt;=1,"0-1 yrs",N499&lt;=4,"2-4 yrs",N499&lt;=9,"5-9 yrs",N499&gt;9,"10+ yrs")</f>
        <v>0-1 yrs</v>
      </c>
      <c r="S499" t="str" cm="1">
        <f t="array" ref="S499">_xlfn.IFS(B499&lt;=25,"20-25",B499&lt;=35,"26-35",B499&lt;=45,"36-45",B499&gt;45,"46+")</f>
        <v>26-35</v>
      </c>
      <c r="T499" t="str" cm="1">
        <f t="array" ref="T499">_xlfn.IFS(J499&lt;3500,"&lt;3.5K",J499&lt;5500,"3.5-5.5K",J499&lt;7500,"5.5-7.5K",J499&gt;=7500,"7.5K+")</f>
        <v>5.5-7.5K</v>
      </c>
      <c r="U499">
        <f t="shared" si="7"/>
        <v>0</v>
      </c>
    </row>
    <row r="500" spans="1:21" x14ac:dyDescent="0.25">
      <c r="A500">
        <v>1801</v>
      </c>
      <c r="B500">
        <v>38</v>
      </c>
      <c r="C500" t="s">
        <v>16</v>
      </c>
      <c r="D500" t="s">
        <v>24</v>
      </c>
      <c r="E500" t="s">
        <v>46</v>
      </c>
      <c r="F500" t="s">
        <v>26</v>
      </c>
      <c r="G500" t="s">
        <v>37</v>
      </c>
      <c r="H500" t="s">
        <v>30</v>
      </c>
      <c r="I500">
        <v>17</v>
      </c>
      <c r="J500" s="2">
        <v>11955</v>
      </c>
      <c r="K500" t="s">
        <v>42</v>
      </c>
      <c r="L500">
        <v>3</v>
      </c>
      <c r="M500">
        <v>2</v>
      </c>
      <c r="N500">
        <v>8</v>
      </c>
      <c r="O500">
        <v>8</v>
      </c>
      <c r="P500">
        <v>18</v>
      </c>
      <c r="Q500" t="s">
        <v>22</v>
      </c>
      <c r="R500" t="str" cm="1">
        <f t="array" ref="R500">_xlfn.IFS(N500&lt;=1,"0-1 yrs",N500&lt;=4,"2-4 yrs",N500&lt;=9,"5-9 yrs",N500&gt;9,"10+ yrs")</f>
        <v>5-9 yrs</v>
      </c>
      <c r="S500" t="str" cm="1">
        <f t="array" ref="S500">_xlfn.IFS(B500&lt;=25,"20-25",B500&lt;=35,"26-35",B500&lt;=45,"36-45",B500&gt;45,"46+")</f>
        <v>36-45</v>
      </c>
      <c r="T500" t="str" cm="1">
        <f t="array" ref="T500">_xlfn.IFS(J500&lt;3500,"&lt;3.5K",J500&lt;5500,"3.5-5.5K",J500&lt;7500,"5.5-7.5K",J500&gt;=7500,"7.5K+")</f>
        <v>7.5K+</v>
      </c>
      <c r="U500">
        <f t="shared" si="7"/>
        <v>0</v>
      </c>
    </row>
    <row r="501" spans="1:21" x14ac:dyDescent="0.25">
      <c r="A501">
        <v>1990</v>
      </c>
      <c r="B501">
        <v>41</v>
      </c>
      <c r="C501" t="s">
        <v>16</v>
      </c>
      <c r="D501" t="s">
        <v>17</v>
      </c>
      <c r="E501" t="s">
        <v>40</v>
      </c>
      <c r="F501" t="s">
        <v>38</v>
      </c>
      <c r="G501" t="s">
        <v>20</v>
      </c>
      <c r="H501" t="s">
        <v>34</v>
      </c>
      <c r="I501">
        <v>26</v>
      </c>
      <c r="J501" s="2">
        <v>6349</v>
      </c>
      <c r="K501" t="s">
        <v>22</v>
      </c>
      <c r="L501">
        <v>2</v>
      </c>
      <c r="M501">
        <v>2</v>
      </c>
      <c r="N501">
        <v>2</v>
      </c>
      <c r="O501">
        <v>2</v>
      </c>
      <c r="P501">
        <v>7</v>
      </c>
      <c r="Q501" t="s">
        <v>22</v>
      </c>
      <c r="R501" t="str" cm="1">
        <f t="array" ref="R501">_xlfn.IFS(N501&lt;=1,"0-1 yrs",N501&lt;=4,"2-4 yrs",N501&lt;=9,"5-9 yrs",N501&gt;9,"10+ yrs")</f>
        <v>2-4 yrs</v>
      </c>
      <c r="S501" t="str" cm="1">
        <f t="array" ref="S501">_xlfn.IFS(B501&lt;=25,"20-25",B501&lt;=35,"26-35",B501&lt;=45,"36-45",B501&gt;45,"46+")</f>
        <v>36-45</v>
      </c>
      <c r="T501" t="str" cm="1">
        <f t="array" ref="T501">_xlfn.IFS(J501&lt;3500,"&lt;3.5K",J501&lt;5500,"3.5-5.5K",J501&lt;7500,"5.5-7.5K",J501&gt;=7500,"7.5K+")</f>
        <v>5.5-7.5K</v>
      </c>
      <c r="U501">
        <f t="shared" si="7"/>
        <v>0</v>
      </c>
    </row>
    <row r="502" spans="1:21" x14ac:dyDescent="0.25">
      <c r="A502">
        <v>1040</v>
      </c>
      <c r="B502">
        <v>32</v>
      </c>
      <c r="C502" t="s">
        <v>16</v>
      </c>
      <c r="D502" t="s">
        <v>27</v>
      </c>
      <c r="E502" t="s">
        <v>43</v>
      </c>
      <c r="F502" t="s">
        <v>32</v>
      </c>
      <c r="G502" t="s">
        <v>37</v>
      </c>
      <c r="H502" t="s">
        <v>30</v>
      </c>
      <c r="I502">
        <v>9</v>
      </c>
      <c r="J502" s="2">
        <v>6427</v>
      </c>
      <c r="K502" t="s">
        <v>22</v>
      </c>
      <c r="L502">
        <v>1</v>
      </c>
      <c r="M502">
        <v>2</v>
      </c>
      <c r="N502">
        <v>3</v>
      </c>
      <c r="O502">
        <v>1</v>
      </c>
      <c r="P502">
        <v>11</v>
      </c>
      <c r="Q502" t="s">
        <v>22</v>
      </c>
      <c r="R502" t="str" cm="1">
        <f t="array" ref="R502">_xlfn.IFS(N502&lt;=1,"0-1 yrs",N502&lt;=4,"2-4 yrs",N502&lt;=9,"5-9 yrs",N502&gt;9,"10+ yrs")</f>
        <v>2-4 yrs</v>
      </c>
      <c r="S502" t="str" cm="1">
        <f t="array" ref="S502">_xlfn.IFS(B502&lt;=25,"20-25",B502&lt;=35,"26-35",B502&lt;=45,"36-45",B502&gt;45,"46+")</f>
        <v>26-35</v>
      </c>
      <c r="T502" t="str" cm="1">
        <f t="array" ref="T502">_xlfn.IFS(J502&lt;3500,"&lt;3.5K",J502&lt;5500,"3.5-5.5K",J502&lt;7500,"5.5-7.5K",J502&gt;=7500,"7.5K+")</f>
        <v>5.5-7.5K</v>
      </c>
      <c r="U502">
        <f t="shared" si="7"/>
        <v>0</v>
      </c>
    </row>
    <row r="503" spans="1:21" x14ac:dyDescent="0.25">
      <c r="A503">
        <v>1365</v>
      </c>
      <c r="B503">
        <v>46</v>
      </c>
      <c r="C503" t="s">
        <v>23</v>
      </c>
      <c r="D503" t="s">
        <v>24</v>
      </c>
      <c r="E503" t="s">
        <v>45</v>
      </c>
      <c r="F503" t="s">
        <v>38</v>
      </c>
      <c r="G503" t="s">
        <v>33</v>
      </c>
      <c r="H503" t="s">
        <v>30</v>
      </c>
      <c r="I503">
        <v>23</v>
      </c>
      <c r="J503" s="2">
        <v>9661</v>
      </c>
      <c r="K503" t="s">
        <v>42</v>
      </c>
      <c r="L503">
        <v>4</v>
      </c>
      <c r="M503">
        <v>1</v>
      </c>
      <c r="N503">
        <v>14</v>
      </c>
      <c r="O503">
        <v>9</v>
      </c>
      <c r="P503">
        <v>21</v>
      </c>
      <c r="Q503" t="s">
        <v>22</v>
      </c>
      <c r="R503" t="str" cm="1">
        <f t="array" ref="R503">_xlfn.IFS(N503&lt;=1,"0-1 yrs",N503&lt;=4,"2-4 yrs",N503&lt;=9,"5-9 yrs",N503&gt;9,"10+ yrs")</f>
        <v>10+ yrs</v>
      </c>
      <c r="S503" t="str" cm="1">
        <f t="array" ref="S503">_xlfn.IFS(B503&lt;=25,"20-25",B503&lt;=35,"26-35",B503&lt;=45,"36-45",B503&gt;45,"46+")</f>
        <v>46+</v>
      </c>
      <c r="T503" t="str" cm="1">
        <f t="array" ref="T503">_xlfn.IFS(J503&lt;3500,"&lt;3.5K",J503&lt;5500,"3.5-5.5K",J503&lt;7500,"5.5-7.5K",J503&gt;=7500,"7.5K+")</f>
        <v>7.5K+</v>
      </c>
      <c r="U503">
        <f t="shared" si="7"/>
        <v>0</v>
      </c>
    </row>
    <row r="504" spans="1:21" x14ac:dyDescent="0.25">
      <c r="A504">
        <v>1309</v>
      </c>
      <c r="B504">
        <v>44</v>
      </c>
      <c r="C504" t="s">
        <v>16</v>
      </c>
      <c r="D504" t="s">
        <v>17</v>
      </c>
      <c r="E504" t="s">
        <v>35</v>
      </c>
      <c r="F504" t="s">
        <v>38</v>
      </c>
      <c r="G504" t="s">
        <v>33</v>
      </c>
      <c r="H504" t="s">
        <v>30</v>
      </c>
      <c r="I504">
        <v>9</v>
      </c>
      <c r="J504" s="2">
        <v>6432</v>
      </c>
      <c r="K504" t="s">
        <v>22</v>
      </c>
      <c r="L504">
        <v>4</v>
      </c>
      <c r="M504">
        <v>1</v>
      </c>
      <c r="N504">
        <v>12</v>
      </c>
      <c r="O504">
        <v>5</v>
      </c>
      <c r="P504">
        <v>12</v>
      </c>
      <c r="Q504" t="s">
        <v>42</v>
      </c>
      <c r="R504" t="str" cm="1">
        <f t="array" ref="R504">_xlfn.IFS(N504&lt;=1,"0-1 yrs",N504&lt;=4,"2-4 yrs",N504&lt;=9,"5-9 yrs",N504&gt;9,"10+ yrs")</f>
        <v>10+ yrs</v>
      </c>
      <c r="S504" t="str" cm="1">
        <f t="array" ref="S504">_xlfn.IFS(B504&lt;=25,"20-25",B504&lt;=35,"26-35",B504&lt;=45,"36-45",B504&gt;45,"46+")</f>
        <v>36-45</v>
      </c>
      <c r="T504" t="str" cm="1">
        <f t="array" ref="T504">_xlfn.IFS(J504&lt;3500,"&lt;3.5K",J504&lt;5500,"3.5-5.5K",J504&lt;7500,"5.5-7.5K",J504&gt;=7500,"7.5K+")</f>
        <v>5.5-7.5K</v>
      </c>
      <c r="U504">
        <f t="shared" si="7"/>
        <v>1</v>
      </c>
    </row>
    <row r="505" spans="1:21" x14ac:dyDescent="0.25">
      <c r="A505">
        <v>1101</v>
      </c>
      <c r="B505">
        <v>52</v>
      </c>
      <c r="C505" t="s">
        <v>23</v>
      </c>
      <c r="D505" t="s">
        <v>27</v>
      </c>
      <c r="E505" t="s">
        <v>28</v>
      </c>
      <c r="F505" t="s">
        <v>36</v>
      </c>
      <c r="G505" t="s">
        <v>37</v>
      </c>
      <c r="H505" t="s">
        <v>30</v>
      </c>
      <c r="I505">
        <v>28</v>
      </c>
      <c r="J505" s="2">
        <v>11674</v>
      </c>
      <c r="K505" t="s">
        <v>22</v>
      </c>
      <c r="L505">
        <v>3</v>
      </c>
      <c r="M505">
        <v>1</v>
      </c>
      <c r="N505">
        <v>6</v>
      </c>
      <c r="O505">
        <v>6</v>
      </c>
      <c r="P505">
        <v>15</v>
      </c>
      <c r="Q505" t="s">
        <v>22</v>
      </c>
      <c r="R505" t="str" cm="1">
        <f t="array" ref="R505">_xlfn.IFS(N505&lt;=1,"0-1 yrs",N505&lt;=4,"2-4 yrs",N505&lt;=9,"5-9 yrs",N505&gt;9,"10+ yrs")</f>
        <v>5-9 yrs</v>
      </c>
      <c r="S505" t="str" cm="1">
        <f t="array" ref="S505">_xlfn.IFS(B505&lt;=25,"20-25",B505&lt;=35,"26-35",B505&lt;=45,"36-45",B505&gt;45,"46+")</f>
        <v>46+</v>
      </c>
      <c r="T505" t="str" cm="1">
        <f t="array" ref="T505">_xlfn.IFS(J505&lt;3500,"&lt;3.5K",J505&lt;5500,"3.5-5.5K",J505&lt;7500,"5.5-7.5K",J505&gt;=7500,"7.5K+")</f>
        <v>7.5K+</v>
      </c>
      <c r="U505">
        <f t="shared" si="7"/>
        <v>0</v>
      </c>
    </row>
    <row r="506" spans="1:21" x14ac:dyDescent="0.25">
      <c r="A506">
        <v>1493</v>
      </c>
      <c r="B506">
        <v>23</v>
      </c>
      <c r="C506" t="s">
        <v>23</v>
      </c>
      <c r="D506" t="s">
        <v>38</v>
      </c>
      <c r="E506" t="s">
        <v>49</v>
      </c>
      <c r="F506" t="s">
        <v>36</v>
      </c>
      <c r="G506" t="s">
        <v>20</v>
      </c>
      <c r="H506" t="s">
        <v>34</v>
      </c>
      <c r="I506">
        <v>23</v>
      </c>
      <c r="J506" s="2">
        <v>8734</v>
      </c>
      <c r="K506" t="s">
        <v>42</v>
      </c>
      <c r="L506">
        <v>1</v>
      </c>
      <c r="M506">
        <v>4</v>
      </c>
      <c r="N506">
        <v>0</v>
      </c>
      <c r="O506">
        <v>0</v>
      </c>
      <c r="P506">
        <v>0</v>
      </c>
      <c r="Q506" t="s">
        <v>42</v>
      </c>
      <c r="R506" t="str" cm="1">
        <f t="array" ref="R506">_xlfn.IFS(N506&lt;=1,"0-1 yrs",N506&lt;=4,"2-4 yrs",N506&lt;=9,"5-9 yrs",N506&gt;9,"10+ yrs")</f>
        <v>0-1 yrs</v>
      </c>
      <c r="S506" t="str" cm="1">
        <f t="array" ref="S506">_xlfn.IFS(B506&lt;=25,"20-25",B506&lt;=35,"26-35",B506&lt;=45,"36-45",B506&gt;45,"46+")</f>
        <v>20-25</v>
      </c>
      <c r="T506" t="str" cm="1">
        <f t="array" ref="T506">_xlfn.IFS(J506&lt;3500,"&lt;3.5K",J506&lt;5500,"3.5-5.5K",J506&lt;7500,"5.5-7.5K",J506&gt;=7500,"7.5K+")</f>
        <v>7.5K+</v>
      </c>
      <c r="U506">
        <f t="shared" si="7"/>
        <v>1</v>
      </c>
    </row>
    <row r="507" spans="1:21" x14ac:dyDescent="0.25">
      <c r="A507">
        <v>1702</v>
      </c>
      <c r="B507">
        <v>27</v>
      </c>
      <c r="C507" t="s">
        <v>23</v>
      </c>
      <c r="D507" t="s">
        <v>17</v>
      </c>
      <c r="E507" t="s">
        <v>35</v>
      </c>
      <c r="F507" t="s">
        <v>19</v>
      </c>
      <c r="G507" t="s">
        <v>37</v>
      </c>
      <c r="H507" t="s">
        <v>30</v>
      </c>
      <c r="I507">
        <v>7</v>
      </c>
      <c r="J507" s="2">
        <v>5536</v>
      </c>
      <c r="K507" t="s">
        <v>42</v>
      </c>
      <c r="L507">
        <v>2</v>
      </c>
      <c r="M507">
        <v>3</v>
      </c>
      <c r="N507">
        <v>1</v>
      </c>
      <c r="O507">
        <v>0</v>
      </c>
      <c r="P507">
        <v>3</v>
      </c>
      <c r="Q507" t="s">
        <v>22</v>
      </c>
      <c r="R507" t="str" cm="1">
        <f t="array" ref="R507">_xlfn.IFS(N507&lt;=1,"0-1 yrs",N507&lt;=4,"2-4 yrs",N507&lt;=9,"5-9 yrs",N507&gt;9,"10+ yrs")</f>
        <v>0-1 yrs</v>
      </c>
      <c r="S507" t="str" cm="1">
        <f t="array" ref="S507">_xlfn.IFS(B507&lt;=25,"20-25",B507&lt;=35,"26-35",B507&lt;=45,"36-45",B507&gt;45,"46+")</f>
        <v>26-35</v>
      </c>
      <c r="T507" t="str" cm="1">
        <f t="array" ref="T507">_xlfn.IFS(J507&lt;3500,"&lt;3.5K",J507&lt;5500,"3.5-5.5K",J507&lt;7500,"5.5-7.5K",J507&gt;=7500,"7.5K+")</f>
        <v>5.5-7.5K</v>
      </c>
      <c r="U507">
        <f t="shared" si="7"/>
        <v>0</v>
      </c>
    </row>
    <row r="508" spans="1:21" x14ac:dyDescent="0.25">
      <c r="A508">
        <v>1009</v>
      </c>
      <c r="B508">
        <v>30</v>
      </c>
      <c r="C508" t="s">
        <v>16</v>
      </c>
      <c r="D508" t="s">
        <v>17</v>
      </c>
      <c r="E508" t="s">
        <v>35</v>
      </c>
      <c r="F508" t="s">
        <v>29</v>
      </c>
      <c r="G508" t="s">
        <v>37</v>
      </c>
      <c r="H508" t="s">
        <v>34</v>
      </c>
      <c r="I508">
        <v>10</v>
      </c>
      <c r="J508" s="2">
        <v>6195</v>
      </c>
      <c r="K508" t="s">
        <v>22</v>
      </c>
      <c r="L508">
        <v>2</v>
      </c>
      <c r="M508">
        <v>1</v>
      </c>
      <c r="N508">
        <v>0</v>
      </c>
      <c r="O508">
        <v>0</v>
      </c>
      <c r="P508">
        <v>0</v>
      </c>
      <c r="Q508" t="s">
        <v>22</v>
      </c>
      <c r="R508" t="str" cm="1">
        <f t="array" ref="R508">_xlfn.IFS(N508&lt;=1,"0-1 yrs",N508&lt;=4,"2-4 yrs",N508&lt;=9,"5-9 yrs",N508&gt;9,"10+ yrs")</f>
        <v>0-1 yrs</v>
      </c>
      <c r="S508" t="str" cm="1">
        <f t="array" ref="S508">_xlfn.IFS(B508&lt;=25,"20-25",B508&lt;=35,"26-35",B508&lt;=45,"36-45",B508&gt;45,"46+")</f>
        <v>26-35</v>
      </c>
      <c r="T508" t="str" cm="1">
        <f t="array" ref="T508">_xlfn.IFS(J508&lt;3500,"&lt;3.5K",J508&lt;5500,"3.5-5.5K",J508&lt;7500,"5.5-7.5K",J508&gt;=7500,"7.5K+")</f>
        <v>5.5-7.5K</v>
      </c>
      <c r="U508">
        <f t="shared" si="7"/>
        <v>0</v>
      </c>
    </row>
    <row r="509" spans="1:21" x14ac:dyDescent="0.25">
      <c r="A509">
        <v>1742</v>
      </c>
      <c r="B509">
        <v>37</v>
      </c>
      <c r="C509" t="s">
        <v>23</v>
      </c>
      <c r="D509" t="s">
        <v>27</v>
      </c>
      <c r="E509" t="s">
        <v>43</v>
      </c>
      <c r="F509" t="s">
        <v>29</v>
      </c>
      <c r="G509" t="s">
        <v>37</v>
      </c>
      <c r="H509" t="s">
        <v>30</v>
      </c>
      <c r="I509">
        <v>20</v>
      </c>
      <c r="J509" s="2">
        <v>6617</v>
      </c>
      <c r="K509" t="s">
        <v>22</v>
      </c>
      <c r="L509">
        <v>4</v>
      </c>
      <c r="M509">
        <v>4</v>
      </c>
      <c r="N509">
        <v>14</v>
      </c>
      <c r="O509">
        <v>6</v>
      </c>
      <c r="P509">
        <v>14</v>
      </c>
      <c r="Q509" t="s">
        <v>22</v>
      </c>
      <c r="R509" t="str" cm="1">
        <f t="array" ref="R509">_xlfn.IFS(N509&lt;=1,"0-1 yrs",N509&lt;=4,"2-4 yrs",N509&lt;=9,"5-9 yrs",N509&gt;9,"10+ yrs")</f>
        <v>10+ yrs</v>
      </c>
      <c r="S509" t="str" cm="1">
        <f t="array" ref="S509">_xlfn.IFS(B509&lt;=25,"20-25",B509&lt;=35,"26-35",B509&lt;=45,"36-45",B509&gt;45,"46+")</f>
        <v>36-45</v>
      </c>
      <c r="T509" t="str" cm="1">
        <f t="array" ref="T509">_xlfn.IFS(J509&lt;3500,"&lt;3.5K",J509&lt;5500,"3.5-5.5K",J509&lt;7500,"5.5-7.5K",J509&gt;=7500,"7.5K+")</f>
        <v>5.5-7.5K</v>
      </c>
      <c r="U509">
        <f t="shared" si="7"/>
        <v>0</v>
      </c>
    </row>
    <row r="510" spans="1:21" x14ac:dyDescent="0.25">
      <c r="A510">
        <v>1086</v>
      </c>
      <c r="B510">
        <v>23</v>
      </c>
      <c r="C510" t="s">
        <v>23</v>
      </c>
      <c r="D510" t="s">
        <v>24</v>
      </c>
      <c r="E510" t="s">
        <v>46</v>
      </c>
      <c r="F510" t="s">
        <v>41</v>
      </c>
      <c r="G510" t="s">
        <v>20</v>
      </c>
      <c r="H510" t="s">
        <v>34</v>
      </c>
      <c r="I510">
        <v>16</v>
      </c>
      <c r="J510" s="2">
        <v>8085</v>
      </c>
      <c r="K510" t="s">
        <v>22</v>
      </c>
      <c r="L510">
        <v>3</v>
      </c>
      <c r="M510">
        <v>4</v>
      </c>
      <c r="N510">
        <v>0</v>
      </c>
      <c r="O510">
        <v>0</v>
      </c>
      <c r="P510">
        <v>3</v>
      </c>
      <c r="Q510" t="s">
        <v>22</v>
      </c>
      <c r="R510" t="str" cm="1">
        <f t="array" ref="R510">_xlfn.IFS(N510&lt;=1,"0-1 yrs",N510&lt;=4,"2-4 yrs",N510&lt;=9,"5-9 yrs",N510&gt;9,"10+ yrs")</f>
        <v>0-1 yrs</v>
      </c>
      <c r="S510" t="str" cm="1">
        <f t="array" ref="S510">_xlfn.IFS(B510&lt;=25,"20-25",B510&lt;=35,"26-35",B510&lt;=45,"36-45",B510&gt;45,"46+")</f>
        <v>20-25</v>
      </c>
      <c r="T510" t="str" cm="1">
        <f t="array" ref="T510">_xlfn.IFS(J510&lt;3500,"&lt;3.5K",J510&lt;5500,"3.5-5.5K",J510&lt;7500,"5.5-7.5K",J510&gt;=7500,"7.5K+")</f>
        <v>7.5K+</v>
      </c>
      <c r="U510">
        <f t="shared" si="7"/>
        <v>0</v>
      </c>
    </row>
    <row r="511" spans="1:21" x14ac:dyDescent="0.25">
      <c r="A511">
        <v>1459</v>
      </c>
      <c r="B511">
        <v>51</v>
      </c>
      <c r="C511" t="s">
        <v>23</v>
      </c>
      <c r="D511" t="s">
        <v>24</v>
      </c>
      <c r="E511" t="s">
        <v>46</v>
      </c>
      <c r="F511" t="s">
        <v>38</v>
      </c>
      <c r="G511" t="s">
        <v>33</v>
      </c>
      <c r="H511" t="s">
        <v>34</v>
      </c>
      <c r="I511">
        <v>19</v>
      </c>
      <c r="J511" s="2">
        <v>8678</v>
      </c>
      <c r="K511" t="s">
        <v>22</v>
      </c>
      <c r="L511">
        <v>2</v>
      </c>
      <c r="M511">
        <v>4</v>
      </c>
      <c r="N511">
        <v>16</v>
      </c>
      <c r="O511">
        <v>2</v>
      </c>
      <c r="P511">
        <v>24</v>
      </c>
      <c r="Q511" t="s">
        <v>22</v>
      </c>
      <c r="R511" t="str" cm="1">
        <f t="array" ref="R511">_xlfn.IFS(N511&lt;=1,"0-1 yrs",N511&lt;=4,"2-4 yrs",N511&lt;=9,"5-9 yrs",N511&gt;9,"10+ yrs")</f>
        <v>10+ yrs</v>
      </c>
      <c r="S511" t="str" cm="1">
        <f t="array" ref="S511">_xlfn.IFS(B511&lt;=25,"20-25",B511&lt;=35,"26-35",B511&lt;=45,"36-45",B511&gt;45,"46+")</f>
        <v>46+</v>
      </c>
      <c r="T511" t="str" cm="1">
        <f t="array" ref="T511">_xlfn.IFS(J511&lt;3500,"&lt;3.5K",J511&lt;5500,"3.5-5.5K",J511&lt;7500,"5.5-7.5K",J511&gt;=7500,"7.5K+")</f>
        <v>7.5K+</v>
      </c>
      <c r="U511">
        <f t="shared" si="7"/>
        <v>0</v>
      </c>
    </row>
    <row r="512" spans="1:21" x14ac:dyDescent="0.25">
      <c r="A512">
        <v>1950</v>
      </c>
      <c r="B512">
        <v>35</v>
      </c>
      <c r="C512" t="s">
        <v>23</v>
      </c>
      <c r="D512" t="s">
        <v>47</v>
      </c>
      <c r="E512" t="s">
        <v>48</v>
      </c>
      <c r="F512" t="s">
        <v>32</v>
      </c>
      <c r="G512" t="s">
        <v>37</v>
      </c>
      <c r="H512" t="s">
        <v>34</v>
      </c>
      <c r="I512">
        <v>11</v>
      </c>
      <c r="J512" s="2">
        <v>6478</v>
      </c>
      <c r="K512" t="s">
        <v>22</v>
      </c>
      <c r="L512">
        <v>3</v>
      </c>
      <c r="M512">
        <v>4</v>
      </c>
      <c r="N512">
        <v>6</v>
      </c>
      <c r="O512">
        <v>2</v>
      </c>
      <c r="P512">
        <v>9</v>
      </c>
      <c r="Q512" t="s">
        <v>22</v>
      </c>
      <c r="R512" t="str" cm="1">
        <f t="array" ref="R512">_xlfn.IFS(N512&lt;=1,"0-1 yrs",N512&lt;=4,"2-4 yrs",N512&lt;=9,"5-9 yrs",N512&gt;9,"10+ yrs")</f>
        <v>5-9 yrs</v>
      </c>
      <c r="S512" t="str" cm="1">
        <f t="array" ref="S512">_xlfn.IFS(B512&lt;=25,"20-25",B512&lt;=35,"26-35",B512&lt;=45,"36-45",B512&gt;45,"46+")</f>
        <v>26-35</v>
      </c>
      <c r="T512" t="str" cm="1">
        <f t="array" ref="T512">_xlfn.IFS(J512&lt;3500,"&lt;3.5K",J512&lt;5500,"3.5-5.5K",J512&lt;7500,"5.5-7.5K",J512&gt;=7500,"7.5K+")</f>
        <v>5.5-7.5K</v>
      </c>
      <c r="U512">
        <f t="shared" si="7"/>
        <v>0</v>
      </c>
    </row>
    <row r="513" spans="1:21" x14ac:dyDescent="0.25">
      <c r="A513">
        <v>1812</v>
      </c>
      <c r="B513">
        <v>31</v>
      </c>
      <c r="C513" t="s">
        <v>23</v>
      </c>
      <c r="D513" t="s">
        <v>24</v>
      </c>
      <c r="E513" t="s">
        <v>52</v>
      </c>
      <c r="F513" t="s">
        <v>26</v>
      </c>
      <c r="G513" t="s">
        <v>37</v>
      </c>
      <c r="H513" t="s">
        <v>21</v>
      </c>
      <c r="I513">
        <v>2</v>
      </c>
      <c r="J513" s="2">
        <v>6500</v>
      </c>
      <c r="K513" t="s">
        <v>22</v>
      </c>
      <c r="L513">
        <v>1</v>
      </c>
      <c r="M513">
        <v>4</v>
      </c>
      <c r="N513">
        <v>6</v>
      </c>
      <c r="O513">
        <v>6</v>
      </c>
      <c r="P513">
        <v>8</v>
      </c>
      <c r="Q513" t="s">
        <v>22</v>
      </c>
      <c r="R513" t="str" cm="1">
        <f t="array" ref="R513">_xlfn.IFS(N513&lt;=1,"0-1 yrs",N513&lt;=4,"2-4 yrs",N513&lt;=9,"5-9 yrs",N513&gt;9,"10+ yrs")</f>
        <v>5-9 yrs</v>
      </c>
      <c r="S513" t="str" cm="1">
        <f t="array" ref="S513">_xlfn.IFS(B513&lt;=25,"20-25",B513&lt;=35,"26-35",B513&lt;=45,"36-45",B513&gt;45,"46+")</f>
        <v>26-35</v>
      </c>
      <c r="T513" t="str" cm="1">
        <f t="array" ref="T513">_xlfn.IFS(J513&lt;3500,"&lt;3.5K",J513&lt;5500,"3.5-5.5K",J513&lt;7500,"5.5-7.5K",J513&gt;=7500,"7.5K+")</f>
        <v>5.5-7.5K</v>
      </c>
      <c r="U513">
        <f t="shared" si="7"/>
        <v>0</v>
      </c>
    </row>
    <row r="514" spans="1:21" x14ac:dyDescent="0.25">
      <c r="A514">
        <v>1782</v>
      </c>
      <c r="B514">
        <v>25</v>
      </c>
      <c r="C514" t="s">
        <v>23</v>
      </c>
      <c r="D514" t="s">
        <v>17</v>
      </c>
      <c r="E514" t="s">
        <v>35</v>
      </c>
      <c r="F514" t="s">
        <v>38</v>
      </c>
      <c r="G514" t="s">
        <v>37</v>
      </c>
      <c r="H514" t="s">
        <v>30</v>
      </c>
      <c r="I514">
        <v>9</v>
      </c>
      <c r="J514" s="2">
        <v>4207</v>
      </c>
      <c r="K514" t="s">
        <v>22</v>
      </c>
      <c r="L514">
        <v>3</v>
      </c>
      <c r="M514">
        <v>2</v>
      </c>
      <c r="N514">
        <v>0</v>
      </c>
      <c r="O514">
        <v>0</v>
      </c>
      <c r="P514">
        <v>0</v>
      </c>
      <c r="Q514" t="s">
        <v>22</v>
      </c>
      <c r="R514" t="str" cm="1">
        <f t="array" ref="R514">_xlfn.IFS(N514&lt;=1,"0-1 yrs",N514&lt;=4,"2-4 yrs",N514&lt;=9,"5-9 yrs",N514&gt;9,"10+ yrs")</f>
        <v>0-1 yrs</v>
      </c>
      <c r="S514" t="str" cm="1">
        <f t="array" ref="S514">_xlfn.IFS(B514&lt;=25,"20-25",B514&lt;=35,"26-35",B514&lt;=45,"36-45",B514&gt;45,"46+")</f>
        <v>20-25</v>
      </c>
      <c r="T514" t="str" cm="1">
        <f t="array" ref="T514">_xlfn.IFS(J514&lt;3500,"&lt;3.5K",J514&lt;5500,"3.5-5.5K",J514&lt;7500,"5.5-7.5K",J514&gt;=7500,"7.5K+")</f>
        <v>3.5-5.5K</v>
      </c>
      <c r="U514">
        <f t="shared" si="7"/>
        <v>0</v>
      </c>
    </row>
    <row r="515" spans="1:21" x14ac:dyDescent="0.25">
      <c r="A515">
        <v>1181</v>
      </c>
      <c r="B515">
        <v>47</v>
      </c>
      <c r="C515" t="s">
        <v>23</v>
      </c>
      <c r="D515" t="s">
        <v>38</v>
      </c>
      <c r="E515" t="s">
        <v>49</v>
      </c>
      <c r="F515" t="s">
        <v>41</v>
      </c>
      <c r="G515" t="s">
        <v>37</v>
      </c>
      <c r="H515" t="s">
        <v>34</v>
      </c>
      <c r="I515">
        <v>6</v>
      </c>
      <c r="J515" s="2">
        <v>14629</v>
      </c>
      <c r="K515" t="s">
        <v>22</v>
      </c>
      <c r="L515">
        <v>2</v>
      </c>
      <c r="M515">
        <v>4</v>
      </c>
      <c r="N515">
        <v>22</v>
      </c>
      <c r="O515">
        <v>20</v>
      </c>
      <c r="P515">
        <v>25</v>
      </c>
      <c r="Q515" t="s">
        <v>22</v>
      </c>
      <c r="R515" t="str" cm="1">
        <f t="array" ref="R515">_xlfn.IFS(N515&lt;=1,"0-1 yrs",N515&lt;=4,"2-4 yrs",N515&lt;=9,"5-9 yrs",N515&gt;9,"10+ yrs")</f>
        <v>10+ yrs</v>
      </c>
      <c r="S515" t="str" cm="1">
        <f t="array" ref="S515">_xlfn.IFS(B515&lt;=25,"20-25",B515&lt;=35,"26-35",B515&lt;=45,"36-45",B515&gt;45,"46+")</f>
        <v>46+</v>
      </c>
      <c r="T515" t="str" cm="1">
        <f t="array" ref="T515">_xlfn.IFS(J515&lt;3500,"&lt;3.5K",J515&lt;5500,"3.5-5.5K",J515&lt;7500,"5.5-7.5K",J515&gt;=7500,"7.5K+")</f>
        <v>7.5K+</v>
      </c>
      <c r="U515">
        <f t="shared" ref="U515:U578" si="8">IF(Q515="Yes",1,0)</f>
        <v>0</v>
      </c>
    </row>
    <row r="516" spans="1:21" x14ac:dyDescent="0.25">
      <c r="A516">
        <v>1054</v>
      </c>
      <c r="B516">
        <v>40</v>
      </c>
      <c r="C516" t="s">
        <v>16</v>
      </c>
      <c r="D516" t="s">
        <v>38</v>
      </c>
      <c r="E516" t="s">
        <v>49</v>
      </c>
      <c r="F516" t="s">
        <v>19</v>
      </c>
      <c r="G516" t="s">
        <v>33</v>
      </c>
      <c r="H516" t="s">
        <v>30</v>
      </c>
      <c r="I516">
        <v>21</v>
      </c>
      <c r="J516" s="2">
        <v>10805</v>
      </c>
      <c r="K516" t="s">
        <v>22</v>
      </c>
      <c r="L516">
        <v>1</v>
      </c>
      <c r="M516">
        <v>2</v>
      </c>
      <c r="N516">
        <v>7</v>
      </c>
      <c r="O516">
        <v>0</v>
      </c>
      <c r="P516">
        <v>15</v>
      </c>
      <c r="Q516" t="s">
        <v>22</v>
      </c>
      <c r="R516" t="str" cm="1">
        <f t="array" ref="R516">_xlfn.IFS(N516&lt;=1,"0-1 yrs",N516&lt;=4,"2-4 yrs",N516&lt;=9,"5-9 yrs",N516&gt;9,"10+ yrs")</f>
        <v>5-9 yrs</v>
      </c>
      <c r="S516" t="str" cm="1">
        <f t="array" ref="S516">_xlfn.IFS(B516&lt;=25,"20-25",B516&lt;=35,"26-35",B516&lt;=45,"36-45",B516&gt;45,"46+")</f>
        <v>36-45</v>
      </c>
      <c r="T516" t="str" cm="1">
        <f t="array" ref="T516">_xlfn.IFS(J516&lt;3500,"&lt;3.5K",J516&lt;5500,"3.5-5.5K",J516&lt;7500,"5.5-7.5K",J516&gt;=7500,"7.5K+")</f>
        <v>7.5K+</v>
      </c>
      <c r="U516">
        <f t="shared" si="8"/>
        <v>0</v>
      </c>
    </row>
    <row r="517" spans="1:21" x14ac:dyDescent="0.25">
      <c r="A517">
        <v>1535</v>
      </c>
      <c r="B517">
        <v>44</v>
      </c>
      <c r="C517" t="s">
        <v>16</v>
      </c>
      <c r="D517" t="s">
        <v>27</v>
      </c>
      <c r="E517" t="s">
        <v>44</v>
      </c>
      <c r="F517" t="s">
        <v>32</v>
      </c>
      <c r="G517" t="s">
        <v>20</v>
      </c>
      <c r="H517" t="s">
        <v>30</v>
      </c>
      <c r="I517">
        <v>25</v>
      </c>
      <c r="J517" s="2">
        <v>10511</v>
      </c>
      <c r="K517" t="s">
        <v>42</v>
      </c>
      <c r="L517">
        <v>1</v>
      </c>
      <c r="M517">
        <v>1</v>
      </c>
      <c r="N517">
        <v>10</v>
      </c>
      <c r="O517">
        <v>4</v>
      </c>
      <c r="P517">
        <v>22</v>
      </c>
      <c r="Q517" t="s">
        <v>22</v>
      </c>
      <c r="R517" t="str" cm="1">
        <f t="array" ref="R517">_xlfn.IFS(N517&lt;=1,"0-1 yrs",N517&lt;=4,"2-4 yrs",N517&lt;=9,"5-9 yrs",N517&gt;9,"10+ yrs")</f>
        <v>10+ yrs</v>
      </c>
      <c r="S517" t="str" cm="1">
        <f t="array" ref="S517">_xlfn.IFS(B517&lt;=25,"20-25",B517&lt;=35,"26-35",B517&lt;=45,"36-45",B517&gt;45,"46+")</f>
        <v>36-45</v>
      </c>
      <c r="T517" t="str" cm="1">
        <f t="array" ref="T517">_xlfn.IFS(J517&lt;3500,"&lt;3.5K",J517&lt;5500,"3.5-5.5K",J517&lt;7500,"5.5-7.5K",J517&gt;=7500,"7.5K+")</f>
        <v>7.5K+</v>
      </c>
      <c r="U517">
        <f t="shared" si="8"/>
        <v>0</v>
      </c>
    </row>
    <row r="518" spans="1:21" x14ac:dyDescent="0.25">
      <c r="A518">
        <v>1611</v>
      </c>
      <c r="B518">
        <v>34</v>
      </c>
      <c r="C518" t="s">
        <v>23</v>
      </c>
      <c r="D518" t="s">
        <v>24</v>
      </c>
      <c r="E518" t="s">
        <v>45</v>
      </c>
      <c r="F518" t="s">
        <v>32</v>
      </c>
      <c r="G518" t="s">
        <v>20</v>
      </c>
      <c r="H518" t="s">
        <v>21</v>
      </c>
      <c r="I518">
        <v>4</v>
      </c>
      <c r="J518" s="2">
        <v>8084</v>
      </c>
      <c r="K518" t="s">
        <v>22</v>
      </c>
      <c r="L518">
        <v>3</v>
      </c>
      <c r="M518">
        <v>2</v>
      </c>
      <c r="N518">
        <v>1</v>
      </c>
      <c r="O518">
        <v>0</v>
      </c>
      <c r="P518">
        <v>10</v>
      </c>
      <c r="Q518" t="s">
        <v>22</v>
      </c>
      <c r="R518" t="str" cm="1">
        <f t="array" ref="R518">_xlfn.IFS(N518&lt;=1,"0-1 yrs",N518&lt;=4,"2-4 yrs",N518&lt;=9,"5-9 yrs",N518&gt;9,"10+ yrs")</f>
        <v>0-1 yrs</v>
      </c>
      <c r="S518" t="str" cm="1">
        <f t="array" ref="S518">_xlfn.IFS(B518&lt;=25,"20-25",B518&lt;=35,"26-35",B518&lt;=45,"36-45",B518&gt;45,"46+")</f>
        <v>26-35</v>
      </c>
      <c r="T518" t="str" cm="1">
        <f t="array" ref="T518">_xlfn.IFS(J518&lt;3500,"&lt;3.5K",J518&lt;5500,"3.5-5.5K",J518&lt;7500,"5.5-7.5K",J518&gt;=7500,"7.5K+")</f>
        <v>7.5K+</v>
      </c>
      <c r="U518">
        <f t="shared" si="8"/>
        <v>0</v>
      </c>
    </row>
    <row r="519" spans="1:21" x14ac:dyDescent="0.25">
      <c r="A519">
        <v>1997</v>
      </c>
      <c r="B519">
        <v>35</v>
      </c>
      <c r="C519" t="s">
        <v>16</v>
      </c>
      <c r="D519" t="s">
        <v>24</v>
      </c>
      <c r="E519" t="s">
        <v>46</v>
      </c>
      <c r="F519" t="s">
        <v>19</v>
      </c>
      <c r="G519" t="s">
        <v>37</v>
      </c>
      <c r="H519" t="s">
        <v>30</v>
      </c>
      <c r="I519">
        <v>16</v>
      </c>
      <c r="J519" s="2">
        <v>5028</v>
      </c>
      <c r="K519" t="s">
        <v>22</v>
      </c>
      <c r="L519">
        <v>3</v>
      </c>
      <c r="M519">
        <v>2</v>
      </c>
      <c r="N519">
        <v>1</v>
      </c>
      <c r="O519">
        <v>1</v>
      </c>
      <c r="P519">
        <v>9</v>
      </c>
      <c r="Q519" t="s">
        <v>42</v>
      </c>
      <c r="R519" t="str" cm="1">
        <f t="array" ref="R519">_xlfn.IFS(N519&lt;=1,"0-1 yrs",N519&lt;=4,"2-4 yrs",N519&lt;=9,"5-9 yrs",N519&gt;9,"10+ yrs")</f>
        <v>0-1 yrs</v>
      </c>
      <c r="S519" t="str" cm="1">
        <f t="array" ref="S519">_xlfn.IFS(B519&lt;=25,"20-25",B519&lt;=35,"26-35",B519&lt;=45,"36-45",B519&gt;45,"46+")</f>
        <v>26-35</v>
      </c>
      <c r="T519" t="str" cm="1">
        <f t="array" ref="T519">_xlfn.IFS(J519&lt;3500,"&lt;3.5K",J519&lt;5500,"3.5-5.5K",J519&lt;7500,"5.5-7.5K",J519&gt;=7500,"7.5K+")</f>
        <v>3.5-5.5K</v>
      </c>
      <c r="U519">
        <f t="shared" si="8"/>
        <v>1</v>
      </c>
    </row>
    <row r="520" spans="1:21" x14ac:dyDescent="0.25">
      <c r="A520">
        <v>1171</v>
      </c>
      <c r="B520">
        <v>56</v>
      </c>
      <c r="C520" t="s">
        <v>16</v>
      </c>
      <c r="D520" t="s">
        <v>27</v>
      </c>
      <c r="E520" t="s">
        <v>28</v>
      </c>
      <c r="F520" t="s">
        <v>26</v>
      </c>
      <c r="G520" t="s">
        <v>37</v>
      </c>
      <c r="H520" t="s">
        <v>34</v>
      </c>
      <c r="I520">
        <v>18</v>
      </c>
      <c r="J520" s="2">
        <v>14141</v>
      </c>
      <c r="K520" t="s">
        <v>22</v>
      </c>
      <c r="L520">
        <v>1</v>
      </c>
      <c r="M520">
        <v>2</v>
      </c>
      <c r="N520">
        <v>8</v>
      </c>
      <c r="O520">
        <v>6</v>
      </c>
      <c r="P520">
        <v>32</v>
      </c>
      <c r="Q520" t="s">
        <v>42</v>
      </c>
      <c r="R520" t="str" cm="1">
        <f t="array" ref="R520">_xlfn.IFS(N520&lt;=1,"0-1 yrs",N520&lt;=4,"2-4 yrs",N520&lt;=9,"5-9 yrs",N520&gt;9,"10+ yrs")</f>
        <v>5-9 yrs</v>
      </c>
      <c r="S520" t="str" cm="1">
        <f t="array" ref="S520">_xlfn.IFS(B520&lt;=25,"20-25",B520&lt;=35,"26-35",B520&lt;=45,"36-45",B520&gt;45,"46+")</f>
        <v>46+</v>
      </c>
      <c r="T520" t="str" cm="1">
        <f t="array" ref="T520">_xlfn.IFS(J520&lt;3500,"&lt;3.5K",J520&lt;5500,"3.5-5.5K",J520&lt;7500,"5.5-7.5K",J520&gt;=7500,"7.5K+")</f>
        <v>7.5K+</v>
      </c>
      <c r="U520">
        <f t="shared" si="8"/>
        <v>1</v>
      </c>
    </row>
    <row r="521" spans="1:21" x14ac:dyDescent="0.25">
      <c r="A521">
        <v>1320</v>
      </c>
      <c r="B521">
        <v>24</v>
      </c>
      <c r="C521" t="s">
        <v>16</v>
      </c>
      <c r="D521" t="s">
        <v>38</v>
      </c>
      <c r="E521" t="s">
        <v>49</v>
      </c>
      <c r="F521" t="s">
        <v>19</v>
      </c>
      <c r="G521" t="s">
        <v>37</v>
      </c>
      <c r="H521" t="s">
        <v>30</v>
      </c>
      <c r="I521">
        <v>15</v>
      </c>
      <c r="J521" s="2">
        <v>9632</v>
      </c>
      <c r="K521" t="s">
        <v>42</v>
      </c>
      <c r="L521">
        <v>3</v>
      </c>
      <c r="M521">
        <v>4</v>
      </c>
      <c r="N521">
        <v>2</v>
      </c>
      <c r="O521">
        <v>1</v>
      </c>
      <c r="P521">
        <v>4</v>
      </c>
      <c r="Q521" t="s">
        <v>22</v>
      </c>
      <c r="R521" t="str" cm="1">
        <f t="array" ref="R521">_xlfn.IFS(N521&lt;=1,"0-1 yrs",N521&lt;=4,"2-4 yrs",N521&lt;=9,"5-9 yrs",N521&gt;9,"10+ yrs")</f>
        <v>2-4 yrs</v>
      </c>
      <c r="S521" t="str" cm="1">
        <f t="array" ref="S521">_xlfn.IFS(B521&lt;=25,"20-25",B521&lt;=35,"26-35",B521&lt;=45,"36-45",B521&gt;45,"46+")</f>
        <v>20-25</v>
      </c>
      <c r="T521" t="str" cm="1">
        <f t="array" ref="T521">_xlfn.IFS(J521&lt;3500,"&lt;3.5K",J521&lt;5500,"3.5-5.5K",J521&lt;7500,"5.5-7.5K",J521&gt;=7500,"7.5K+")</f>
        <v>7.5K+</v>
      </c>
      <c r="U521">
        <f t="shared" si="8"/>
        <v>0</v>
      </c>
    </row>
    <row r="522" spans="1:21" x14ac:dyDescent="0.25">
      <c r="A522">
        <v>1420</v>
      </c>
      <c r="B522">
        <v>32</v>
      </c>
      <c r="C522" t="s">
        <v>23</v>
      </c>
      <c r="D522" t="s">
        <v>24</v>
      </c>
      <c r="E522" t="s">
        <v>52</v>
      </c>
      <c r="F522" t="s">
        <v>32</v>
      </c>
      <c r="G522" t="s">
        <v>37</v>
      </c>
      <c r="H522" t="s">
        <v>21</v>
      </c>
      <c r="I522">
        <v>7</v>
      </c>
      <c r="J522" s="2">
        <v>8918</v>
      </c>
      <c r="K522" t="s">
        <v>42</v>
      </c>
      <c r="L522">
        <v>4</v>
      </c>
      <c r="M522">
        <v>2</v>
      </c>
      <c r="N522">
        <v>1</v>
      </c>
      <c r="O522">
        <v>1</v>
      </c>
      <c r="P522">
        <v>12</v>
      </c>
      <c r="Q522" t="s">
        <v>42</v>
      </c>
      <c r="R522" t="str" cm="1">
        <f t="array" ref="R522">_xlfn.IFS(N522&lt;=1,"0-1 yrs",N522&lt;=4,"2-4 yrs",N522&lt;=9,"5-9 yrs",N522&gt;9,"10+ yrs")</f>
        <v>0-1 yrs</v>
      </c>
      <c r="S522" t="str" cm="1">
        <f t="array" ref="S522">_xlfn.IFS(B522&lt;=25,"20-25",B522&lt;=35,"26-35",B522&lt;=45,"36-45",B522&gt;45,"46+")</f>
        <v>26-35</v>
      </c>
      <c r="T522" t="str" cm="1">
        <f t="array" ref="T522">_xlfn.IFS(J522&lt;3500,"&lt;3.5K",J522&lt;5500,"3.5-5.5K",J522&lt;7500,"5.5-7.5K",J522&gt;=7500,"7.5K+")</f>
        <v>7.5K+</v>
      </c>
      <c r="U522">
        <f t="shared" si="8"/>
        <v>1</v>
      </c>
    </row>
    <row r="523" spans="1:21" x14ac:dyDescent="0.25">
      <c r="A523">
        <v>1928</v>
      </c>
      <c r="B523">
        <v>22</v>
      </c>
      <c r="C523" t="s">
        <v>23</v>
      </c>
      <c r="D523" t="s">
        <v>38</v>
      </c>
      <c r="E523" t="s">
        <v>39</v>
      </c>
      <c r="F523" t="s">
        <v>26</v>
      </c>
      <c r="G523" t="s">
        <v>20</v>
      </c>
      <c r="H523" t="s">
        <v>34</v>
      </c>
      <c r="I523">
        <v>22</v>
      </c>
      <c r="J523" s="2">
        <v>4352</v>
      </c>
      <c r="K523" t="s">
        <v>22</v>
      </c>
      <c r="L523">
        <v>3</v>
      </c>
      <c r="M523">
        <v>1</v>
      </c>
      <c r="N523">
        <v>0</v>
      </c>
      <c r="O523">
        <v>0</v>
      </c>
      <c r="P523">
        <v>0</v>
      </c>
      <c r="Q523" t="s">
        <v>22</v>
      </c>
      <c r="R523" t="str" cm="1">
        <f t="array" ref="R523">_xlfn.IFS(N523&lt;=1,"0-1 yrs",N523&lt;=4,"2-4 yrs",N523&lt;=9,"5-9 yrs",N523&gt;9,"10+ yrs")</f>
        <v>0-1 yrs</v>
      </c>
      <c r="S523" t="str" cm="1">
        <f t="array" ref="S523">_xlfn.IFS(B523&lt;=25,"20-25",B523&lt;=35,"26-35",B523&lt;=45,"36-45",B523&gt;45,"46+")</f>
        <v>20-25</v>
      </c>
      <c r="T523" t="str" cm="1">
        <f t="array" ref="T523">_xlfn.IFS(J523&lt;3500,"&lt;3.5K",J523&lt;5500,"3.5-5.5K",J523&lt;7500,"5.5-7.5K",J523&gt;=7500,"7.5K+")</f>
        <v>3.5-5.5K</v>
      </c>
      <c r="U523">
        <f t="shared" si="8"/>
        <v>0</v>
      </c>
    </row>
    <row r="524" spans="1:21" x14ac:dyDescent="0.25">
      <c r="A524">
        <v>1191</v>
      </c>
      <c r="B524">
        <v>39</v>
      </c>
      <c r="C524" t="s">
        <v>23</v>
      </c>
      <c r="D524" t="s">
        <v>17</v>
      </c>
      <c r="E524" t="s">
        <v>18</v>
      </c>
      <c r="F524" t="s">
        <v>32</v>
      </c>
      <c r="G524" t="s">
        <v>37</v>
      </c>
      <c r="H524" t="s">
        <v>30</v>
      </c>
      <c r="I524">
        <v>3</v>
      </c>
      <c r="J524" s="2">
        <v>8717</v>
      </c>
      <c r="K524" t="s">
        <v>42</v>
      </c>
      <c r="L524">
        <v>1</v>
      </c>
      <c r="M524">
        <v>1</v>
      </c>
      <c r="N524">
        <v>6</v>
      </c>
      <c r="O524">
        <v>5</v>
      </c>
      <c r="P524">
        <v>13</v>
      </c>
      <c r="Q524" t="s">
        <v>42</v>
      </c>
      <c r="R524" t="str" cm="1">
        <f t="array" ref="R524">_xlfn.IFS(N524&lt;=1,"0-1 yrs",N524&lt;=4,"2-4 yrs",N524&lt;=9,"5-9 yrs",N524&gt;9,"10+ yrs")</f>
        <v>5-9 yrs</v>
      </c>
      <c r="S524" t="str" cm="1">
        <f t="array" ref="S524">_xlfn.IFS(B524&lt;=25,"20-25",B524&lt;=35,"26-35",B524&lt;=45,"36-45",B524&gt;45,"46+")</f>
        <v>36-45</v>
      </c>
      <c r="T524" t="str" cm="1">
        <f t="array" ref="T524">_xlfn.IFS(J524&lt;3500,"&lt;3.5K",J524&lt;5500,"3.5-5.5K",J524&lt;7500,"5.5-7.5K",J524&gt;=7500,"7.5K+")</f>
        <v>7.5K+</v>
      </c>
      <c r="U524">
        <f t="shared" si="8"/>
        <v>1</v>
      </c>
    </row>
    <row r="525" spans="1:21" x14ac:dyDescent="0.25">
      <c r="A525">
        <v>1766</v>
      </c>
      <c r="B525">
        <v>23</v>
      </c>
      <c r="C525" t="s">
        <v>16</v>
      </c>
      <c r="D525" t="s">
        <v>24</v>
      </c>
      <c r="E525" t="s">
        <v>52</v>
      </c>
      <c r="F525" t="s">
        <v>36</v>
      </c>
      <c r="G525" t="s">
        <v>37</v>
      </c>
      <c r="H525" t="s">
        <v>34</v>
      </c>
      <c r="I525">
        <v>3</v>
      </c>
      <c r="J525" s="2">
        <v>4840</v>
      </c>
      <c r="K525" t="s">
        <v>22</v>
      </c>
      <c r="L525">
        <v>1</v>
      </c>
      <c r="M525">
        <v>2</v>
      </c>
      <c r="N525">
        <v>2</v>
      </c>
      <c r="O525">
        <v>0</v>
      </c>
      <c r="P525">
        <v>3</v>
      </c>
      <c r="Q525" t="s">
        <v>22</v>
      </c>
      <c r="R525" t="str" cm="1">
        <f t="array" ref="R525">_xlfn.IFS(N525&lt;=1,"0-1 yrs",N525&lt;=4,"2-4 yrs",N525&lt;=9,"5-9 yrs",N525&gt;9,"10+ yrs")</f>
        <v>2-4 yrs</v>
      </c>
      <c r="S525" t="str" cm="1">
        <f t="array" ref="S525">_xlfn.IFS(B525&lt;=25,"20-25",B525&lt;=35,"26-35",B525&lt;=45,"36-45",B525&gt;45,"46+")</f>
        <v>20-25</v>
      </c>
      <c r="T525" t="str" cm="1">
        <f t="array" ref="T525">_xlfn.IFS(J525&lt;3500,"&lt;3.5K",J525&lt;5500,"3.5-5.5K",J525&lt;7500,"5.5-7.5K",J525&gt;=7500,"7.5K+")</f>
        <v>3.5-5.5K</v>
      </c>
      <c r="U525">
        <f t="shared" si="8"/>
        <v>0</v>
      </c>
    </row>
    <row r="526" spans="1:21" x14ac:dyDescent="0.25">
      <c r="A526">
        <v>1559</v>
      </c>
      <c r="B526">
        <v>21</v>
      </c>
      <c r="C526" t="s">
        <v>23</v>
      </c>
      <c r="D526" t="s">
        <v>27</v>
      </c>
      <c r="E526" t="s">
        <v>31</v>
      </c>
      <c r="F526" t="s">
        <v>19</v>
      </c>
      <c r="G526" t="s">
        <v>37</v>
      </c>
      <c r="H526" t="s">
        <v>34</v>
      </c>
      <c r="I526">
        <v>8</v>
      </c>
      <c r="J526" s="2">
        <v>5436</v>
      </c>
      <c r="K526" t="s">
        <v>22</v>
      </c>
      <c r="L526">
        <v>3</v>
      </c>
      <c r="M526">
        <v>2</v>
      </c>
      <c r="N526">
        <v>0</v>
      </c>
      <c r="O526">
        <v>0</v>
      </c>
      <c r="P526">
        <v>0</v>
      </c>
      <c r="Q526" t="s">
        <v>22</v>
      </c>
      <c r="R526" t="str" cm="1">
        <f t="array" ref="R526">_xlfn.IFS(N526&lt;=1,"0-1 yrs",N526&lt;=4,"2-4 yrs",N526&lt;=9,"5-9 yrs",N526&gt;9,"10+ yrs")</f>
        <v>0-1 yrs</v>
      </c>
      <c r="S526" t="str" cm="1">
        <f t="array" ref="S526">_xlfn.IFS(B526&lt;=25,"20-25",B526&lt;=35,"26-35",B526&lt;=45,"36-45",B526&gt;45,"46+")</f>
        <v>20-25</v>
      </c>
      <c r="T526" t="str" cm="1">
        <f t="array" ref="T526">_xlfn.IFS(J526&lt;3500,"&lt;3.5K",J526&lt;5500,"3.5-5.5K",J526&lt;7500,"5.5-7.5K",J526&gt;=7500,"7.5K+")</f>
        <v>3.5-5.5K</v>
      </c>
      <c r="U526">
        <f t="shared" si="8"/>
        <v>0</v>
      </c>
    </row>
    <row r="527" spans="1:21" x14ac:dyDescent="0.25">
      <c r="A527">
        <v>1146</v>
      </c>
      <c r="B527">
        <v>43</v>
      </c>
      <c r="C527" t="s">
        <v>23</v>
      </c>
      <c r="D527" t="s">
        <v>27</v>
      </c>
      <c r="E527" t="s">
        <v>28</v>
      </c>
      <c r="F527" t="s">
        <v>32</v>
      </c>
      <c r="G527" t="s">
        <v>37</v>
      </c>
      <c r="H527" t="s">
        <v>34</v>
      </c>
      <c r="I527">
        <v>18</v>
      </c>
      <c r="J527" s="2">
        <v>13678</v>
      </c>
      <c r="K527" t="s">
        <v>42</v>
      </c>
      <c r="L527">
        <v>2</v>
      </c>
      <c r="M527">
        <v>3</v>
      </c>
      <c r="N527">
        <v>12</v>
      </c>
      <c r="O527">
        <v>6</v>
      </c>
      <c r="P527">
        <v>23</v>
      </c>
      <c r="Q527" t="s">
        <v>22</v>
      </c>
      <c r="R527" t="str" cm="1">
        <f t="array" ref="R527">_xlfn.IFS(N527&lt;=1,"0-1 yrs",N527&lt;=4,"2-4 yrs",N527&lt;=9,"5-9 yrs",N527&gt;9,"10+ yrs")</f>
        <v>10+ yrs</v>
      </c>
      <c r="S527" t="str" cm="1">
        <f t="array" ref="S527">_xlfn.IFS(B527&lt;=25,"20-25",B527&lt;=35,"26-35",B527&lt;=45,"36-45",B527&gt;45,"46+")</f>
        <v>36-45</v>
      </c>
      <c r="T527" t="str" cm="1">
        <f t="array" ref="T527">_xlfn.IFS(J527&lt;3500,"&lt;3.5K",J527&lt;5500,"3.5-5.5K",J527&lt;7500,"5.5-7.5K",J527&gt;=7500,"7.5K+")</f>
        <v>7.5K+</v>
      </c>
      <c r="U527">
        <f t="shared" si="8"/>
        <v>0</v>
      </c>
    </row>
    <row r="528" spans="1:21" x14ac:dyDescent="0.25">
      <c r="A528">
        <v>1301</v>
      </c>
      <c r="B528">
        <v>33</v>
      </c>
      <c r="C528" t="s">
        <v>23</v>
      </c>
      <c r="D528" t="s">
        <v>24</v>
      </c>
      <c r="E528" t="s">
        <v>45</v>
      </c>
      <c r="F528" t="s">
        <v>19</v>
      </c>
      <c r="G528" t="s">
        <v>37</v>
      </c>
      <c r="H528" t="s">
        <v>21</v>
      </c>
      <c r="I528">
        <v>18</v>
      </c>
      <c r="J528" s="2">
        <v>5732</v>
      </c>
      <c r="K528" t="s">
        <v>42</v>
      </c>
      <c r="L528">
        <v>4</v>
      </c>
      <c r="M528">
        <v>3</v>
      </c>
      <c r="N528">
        <v>5</v>
      </c>
      <c r="O528">
        <v>0</v>
      </c>
      <c r="P528">
        <v>7</v>
      </c>
      <c r="Q528" t="s">
        <v>22</v>
      </c>
      <c r="R528" t="str" cm="1">
        <f t="array" ref="R528">_xlfn.IFS(N528&lt;=1,"0-1 yrs",N528&lt;=4,"2-4 yrs",N528&lt;=9,"5-9 yrs",N528&gt;9,"10+ yrs")</f>
        <v>5-9 yrs</v>
      </c>
      <c r="S528" t="str" cm="1">
        <f t="array" ref="S528">_xlfn.IFS(B528&lt;=25,"20-25",B528&lt;=35,"26-35",B528&lt;=45,"36-45",B528&gt;45,"46+")</f>
        <v>26-35</v>
      </c>
      <c r="T528" t="str" cm="1">
        <f t="array" ref="T528">_xlfn.IFS(J528&lt;3500,"&lt;3.5K",J528&lt;5500,"3.5-5.5K",J528&lt;7500,"5.5-7.5K",J528&gt;=7500,"7.5K+")</f>
        <v>5.5-7.5K</v>
      </c>
      <c r="U528">
        <f t="shared" si="8"/>
        <v>0</v>
      </c>
    </row>
    <row r="529" spans="1:21" x14ac:dyDescent="0.25">
      <c r="A529">
        <v>1153</v>
      </c>
      <c r="B529">
        <v>24</v>
      </c>
      <c r="C529" t="s">
        <v>23</v>
      </c>
      <c r="D529" t="s">
        <v>27</v>
      </c>
      <c r="E529" t="s">
        <v>31</v>
      </c>
      <c r="F529" t="s">
        <v>32</v>
      </c>
      <c r="G529" t="s">
        <v>37</v>
      </c>
      <c r="H529" t="s">
        <v>34</v>
      </c>
      <c r="I529">
        <v>1</v>
      </c>
      <c r="J529" s="2">
        <v>8834</v>
      </c>
      <c r="K529" t="s">
        <v>22</v>
      </c>
      <c r="L529">
        <v>3</v>
      </c>
      <c r="M529">
        <v>3</v>
      </c>
      <c r="N529">
        <v>1</v>
      </c>
      <c r="O529">
        <v>1</v>
      </c>
      <c r="P529">
        <v>3</v>
      </c>
      <c r="Q529" t="s">
        <v>42</v>
      </c>
      <c r="R529" t="str" cm="1">
        <f t="array" ref="R529">_xlfn.IFS(N529&lt;=1,"0-1 yrs",N529&lt;=4,"2-4 yrs",N529&lt;=9,"5-9 yrs",N529&gt;9,"10+ yrs")</f>
        <v>0-1 yrs</v>
      </c>
      <c r="S529" t="str" cm="1">
        <f t="array" ref="S529">_xlfn.IFS(B529&lt;=25,"20-25",B529&lt;=35,"26-35",B529&lt;=45,"36-45",B529&gt;45,"46+")</f>
        <v>20-25</v>
      </c>
      <c r="T529" t="str" cm="1">
        <f t="array" ref="T529">_xlfn.IFS(J529&lt;3500,"&lt;3.5K",J529&lt;5500,"3.5-5.5K",J529&lt;7500,"5.5-7.5K",J529&gt;=7500,"7.5K+")</f>
        <v>7.5K+</v>
      </c>
      <c r="U529">
        <f t="shared" si="8"/>
        <v>1</v>
      </c>
    </row>
    <row r="530" spans="1:21" x14ac:dyDescent="0.25">
      <c r="A530">
        <v>1735</v>
      </c>
      <c r="B530">
        <v>23</v>
      </c>
      <c r="C530" t="s">
        <v>23</v>
      </c>
      <c r="D530" t="s">
        <v>27</v>
      </c>
      <c r="E530" t="s">
        <v>31</v>
      </c>
      <c r="F530" t="s">
        <v>19</v>
      </c>
      <c r="G530" t="s">
        <v>33</v>
      </c>
      <c r="H530" t="s">
        <v>34</v>
      </c>
      <c r="I530">
        <v>19</v>
      </c>
      <c r="J530" s="2">
        <v>10163</v>
      </c>
      <c r="K530" t="s">
        <v>22</v>
      </c>
      <c r="L530">
        <v>3</v>
      </c>
      <c r="M530">
        <v>1</v>
      </c>
      <c r="N530">
        <v>0</v>
      </c>
      <c r="O530">
        <v>0</v>
      </c>
      <c r="P530">
        <v>0</v>
      </c>
      <c r="Q530" t="s">
        <v>22</v>
      </c>
      <c r="R530" t="str" cm="1">
        <f t="array" ref="R530">_xlfn.IFS(N530&lt;=1,"0-1 yrs",N530&lt;=4,"2-4 yrs",N530&lt;=9,"5-9 yrs",N530&gt;9,"10+ yrs")</f>
        <v>0-1 yrs</v>
      </c>
      <c r="S530" t="str" cm="1">
        <f t="array" ref="S530">_xlfn.IFS(B530&lt;=25,"20-25",B530&lt;=35,"26-35",B530&lt;=45,"36-45",B530&gt;45,"46+")</f>
        <v>20-25</v>
      </c>
      <c r="T530" t="str" cm="1">
        <f t="array" ref="T530">_xlfn.IFS(J530&lt;3500,"&lt;3.5K",J530&lt;5500,"3.5-5.5K",J530&lt;7500,"5.5-7.5K",J530&gt;=7500,"7.5K+")</f>
        <v>7.5K+</v>
      </c>
      <c r="U530">
        <f t="shared" si="8"/>
        <v>0</v>
      </c>
    </row>
    <row r="531" spans="1:21" x14ac:dyDescent="0.25">
      <c r="A531">
        <v>1554</v>
      </c>
      <c r="B531">
        <v>50</v>
      </c>
      <c r="C531" t="s">
        <v>23</v>
      </c>
      <c r="D531" t="s">
        <v>27</v>
      </c>
      <c r="E531" t="s">
        <v>43</v>
      </c>
      <c r="F531" t="s">
        <v>36</v>
      </c>
      <c r="G531" t="s">
        <v>20</v>
      </c>
      <c r="H531" t="s">
        <v>21</v>
      </c>
      <c r="I531">
        <v>27</v>
      </c>
      <c r="J531" s="2">
        <v>11616</v>
      </c>
      <c r="K531" t="s">
        <v>22</v>
      </c>
      <c r="L531">
        <v>1</v>
      </c>
      <c r="M531">
        <v>2</v>
      </c>
      <c r="N531">
        <v>11</v>
      </c>
      <c r="O531">
        <v>0</v>
      </c>
      <c r="P531">
        <v>24</v>
      </c>
      <c r="Q531" t="s">
        <v>22</v>
      </c>
      <c r="R531" t="str" cm="1">
        <f t="array" ref="R531">_xlfn.IFS(N531&lt;=1,"0-1 yrs",N531&lt;=4,"2-4 yrs",N531&lt;=9,"5-9 yrs",N531&gt;9,"10+ yrs")</f>
        <v>10+ yrs</v>
      </c>
      <c r="S531" t="str" cm="1">
        <f t="array" ref="S531">_xlfn.IFS(B531&lt;=25,"20-25",B531&lt;=35,"26-35",B531&lt;=45,"36-45",B531&gt;45,"46+")</f>
        <v>46+</v>
      </c>
      <c r="T531" t="str" cm="1">
        <f t="array" ref="T531">_xlfn.IFS(J531&lt;3500,"&lt;3.5K",J531&lt;5500,"3.5-5.5K",J531&lt;7500,"5.5-7.5K",J531&gt;=7500,"7.5K+")</f>
        <v>7.5K+</v>
      </c>
      <c r="U531">
        <f t="shared" si="8"/>
        <v>0</v>
      </c>
    </row>
    <row r="532" spans="1:21" x14ac:dyDescent="0.25">
      <c r="A532">
        <v>1082</v>
      </c>
      <c r="B532">
        <v>25</v>
      </c>
      <c r="C532" t="s">
        <v>16</v>
      </c>
      <c r="D532" t="s">
        <v>17</v>
      </c>
      <c r="E532" t="s">
        <v>40</v>
      </c>
      <c r="F532" t="s">
        <v>38</v>
      </c>
      <c r="G532" t="s">
        <v>33</v>
      </c>
      <c r="H532" t="s">
        <v>21</v>
      </c>
      <c r="I532">
        <v>18</v>
      </c>
      <c r="J532" s="2">
        <v>6160</v>
      </c>
      <c r="K532" t="s">
        <v>22</v>
      </c>
      <c r="L532">
        <v>2</v>
      </c>
      <c r="M532">
        <v>1</v>
      </c>
      <c r="N532">
        <v>0</v>
      </c>
      <c r="O532">
        <v>0</v>
      </c>
      <c r="P532">
        <v>0</v>
      </c>
      <c r="Q532" t="s">
        <v>22</v>
      </c>
      <c r="R532" t="str" cm="1">
        <f t="array" ref="R532">_xlfn.IFS(N532&lt;=1,"0-1 yrs",N532&lt;=4,"2-4 yrs",N532&lt;=9,"5-9 yrs",N532&gt;9,"10+ yrs")</f>
        <v>0-1 yrs</v>
      </c>
      <c r="S532" t="str" cm="1">
        <f t="array" ref="S532">_xlfn.IFS(B532&lt;=25,"20-25",B532&lt;=35,"26-35",B532&lt;=45,"36-45",B532&gt;45,"46+")</f>
        <v>20-25</v>
      </c>
      <c r="T532" t="str" cm="1">
        <f t="array" ref="T532">_xlfn.IFS(J532&lt;3500,"&lt;3.5K",J532&lt;5500,"3.5-5.5K",J532&lt;7500,"5.5-7.5K",J532&gt;=7500,"7.5K+")</f>
        <v>5.5-7.5K</v>
      </c>
      <c r="U532">
        <f t="shared" si="8"/>
        <v>0</v>
      </c>
    </row>
    <row r="533" spans="1:21" x14ac:dyDescent="0.25">
      <c r="A533">
        <v>1257</v>
      </c>
      <c r="B533">
        <v>41</v>
      </c>
      <c r="C533" t="s">
        <v>23</v>
      </c>
      <c r="D533" t="s">
        <v>27</v>
      </c>
      <c r="E533" t="s">
        <v>43</v>
      </c>
      <c r="F533" t="s">
        <v>41</v>
      </c>
      <c r="G533" t="s">
        <v>20</v>
      </c>
      <c r="H533" t="s">
        <v>21</v>
      </c>
      <c r="I533">
        <v>13</v>
      </c>
      <c r="J533" s="2">
        <v>9612</v>
      </c>
      <c r="K533" t="s">
        <v>42</v>
      </c>
      <c r="L533">
        <v>3</v>
      </c>
      <c r="M533">
        <v>3</v>
      </c>
      <c r="N533">
        <v>9</v>
      </c>
      <c r="O533">
        <v>4</v>
      </c>
      <c r="P533">
        <v>13</v>
      </c>
      <c r="Q533" t="s">
        <v>22</v>
      </c>
      <c r="R533" t="str" cm="1">
        <f t="array" ref="R533">_xlfn.IFS(N533&lt;=1,"0-1 yrs",N533&lt;=4,"2-4 yrs",N533&lt;=9,"5-9 yrs",N533&gt;9,"10+ yrs")</f>
        <v>5-9 yrs</v>
      </c>
      <c r="S533" t="str" cm="1">
        <f t="array" ref="S533">_xlfn.IFS(B533&lt;=25,"20-25",B533&lt;=35,"26-35",B533&lt;=45,"36-45",B533&gt;45,"46+")</f>
        <v>36-45</v>
      </c>
      <c r="T533" t="str" cm="1">
        <f t="array" ref="T533">_xlfn.IFS(J533&lt;3500,"&lt;3.5K",J533&lt;5500,"3.5-5.5K",J533&lt;7500,"5.5-7.5K",J533&gt;=7500,"7.5K+")</f>
        <v>7.5K+</v>
      </c>
      <c r="U533">
        <f t="shared" si="8"/>
        <v>0</v>
      </c>
    </row>
    <row r="534" spans="1:21" x14ac:dyDescent="0.25">
      <c r="A534">
        <v>1052</v>
      </c>
      <c r="B534">
        <v>24</v>
      </c>
      <c r="C534" t="s">
        <v>23</v>
      </c>
      <c r="D534" t="s">
        <v>27</v>
      </c>
      <c r="E534" t="s">
        <v>28</v>
      </c>
      <c r="F534" t="s">
        <v>19</v>
      </c>
      <c r="G534" t="s">
        <v>33</v>
      </c>
      <c r="H534" t="s">
        <v>34</v>
      </c>
      <c r="I534">
        <v>21</v>
      </c>
      <c r="J534" s="2">
        <v>6665</v>
      </c>
      <c r="K534" t="s">
        <v>22</v>
      </c>
      <c r="L534">
        <v>4</v>
      </c>
      <c r="M534">
        <v>1</v>
      </c>
      <c r="N534">
        <v>0</v>
      </c>
      <c r="O534">
        <v>0</v>
      </c>
      <c r="P534">
        <v>0</v>
      </c>
      <c r="Q534" t="s">
        <v>42</v>
      </c>
      <c r="R534" t="str" cm="1">
        <f t="array" ref="R534">_xlfn.IFS(N534&lt;=1,"0-1 yrs",N534&lt;=4,"2-4 yrs",N534&lt;=9,"5-9 yrs",N534&gt;9,"10+ yrs")</f>
        <v>0-1 yrs</v>
      </c>
      <c r="S534" t="str" cm="1">
        <f t="array" ref="S534">_xlfn.IFS(B534&lt;=25,"20-25",B534&lt;=35,"26-35",B534&lt;=45,"36-45",B534&gt;45,"46+")</f>
        <v>20-25</v>
      </c>
      <c r="T534" t="str" cm="1">
        <f t="array" ref="T534">_xlfn.IFS(J534&lt;3500,"&lt;3.5K",J534&lt;5500,"3.5-5.5K",J534&lt;7500,"5.5-7.5K",J534&gt;=7500,"7.5K+")</f>
        <v>5.5-7.5K</v>
      </c>
      <c r="U534">
        <f t="shared" si="8"/>
        <v>1</v>
      </c>
    </row>
    <row r="535" spans="1:21" x14ac:dyDescent="0.25">
      <c r="A535">
        <v>1095</v>
      </c>
      <c r="B535">
        <v>58</v>
      </c>
      <c r="C535" t="s">
        <v>23</v>
      </c>
      <c r="D535" t="s">
        <v>38</v>
      </c>
      <c r="E535" t="s">
        <v>49</v>
      </c>
      <c r="F535" t="s">
        <v>38</v>
      </c>
      <c r="G535" t="s">
        <v>20</v>
      </c>
      <c r="H535" t="s">
        <v>21</v>
      </c>
      <c r="I535">
        <v>6</v>
      </c>
      <c r="J535" s="2">
        <v>14002</v>
      </c>
      <c r="K535" t="s">
        <v>22</v>
      </c>
      <c r="L535">
        <v>3</v>
      </c>
      <c r="M535">
        <v>1</v>
      </c>
      <c r="N535">
        <v>1</v>
      </c>
      <c r="O535">
        <v>1</v>
      </c>
      <c r="P535">
        <v>31</v>
      </c>
      <c r="Q535" t="s">
        <v>42</v>
      </c>
      <c r="R535" t="str" cm="1">
        <f t="array" ref="R535">_xlfn.IFS(N535&lt;=1,"0-1 yrs",N535&lt;=4,"2-4 yrs",N535&lt;=9,"5-9 yrs",N535&gt;9,"10+ yrs")</f>
        <v>0-1 yrs</v>
      </c>
      <c r="S535" t="str" cm="1">
        <f t="array" ref="S535">_xlfn.IFS(B535&lt;=25,"20-25",B535&lt;=35,"26-35",B535&lt;=45,"36-45",B535&gt;45,"46+")</f>
        <v>46+</v>
      </c>
      <c r="T535" t="str" cm="1">
        <f t="array" ref="T535">_xlfn.IFS(J535&lt;3500,"&lt;3.5K",J535&lt;5500,"3.5-5.5K",J535&lt;7500,"5.5-7.5K",J535&gt;=7500,"7.5K+")</f>
        <v>7.5K+</v>
      </c>
      <c r="U535">
        <f t="shared" si="8"/>
        <v>1</v>
      </c>
    </row>
    <row r="536" spans="1:21" x14ac:dyDescent="0.25">
      <c r="A536">
        <v>1163</v>
      </c>
      <c r="B536">
        <v>21</v>
      </c>
      <c r="C536" t="s">
        <v>16</v>
      </c>
      <c r="D536" t="s">
        <v>17</v>
      </c>
      <c r="E536" t="s">
        <v>35</v>
      </c>
      <c r="F536" t="s">
        <v>29</v>
      </c>
      <c r="G536" t="s">
        <v>20</v>
      </c>
      <c r="H536" t="s">
        <v>21</v>
      </c>
      <c r="I536">
        <v>28</v>
      </c>
      <c r="J536" s="2">
        <v>4933</v>
      </c>
      <c r="K536" t="s">
        <v>22</v>
      </c>
      <c r="L536">
        <v>2</v>
      </c>
      <c r="M536">
        <v>2</v>
      </c>
      <c r="N536">
        <v>1</v>
      </c>
      <c r="O536">
        <v>0</v>
      </c>
      <c r="P536">
        <v>1</v>
      </c>
      <c r="Q536" t="s">
        <v>22</v>
      </c>
      <c r="R536" t="str" cm="1">
        <f t="array" ref="R536">_xlfn.IFS(N536&lt;=1,"0-1 yrs",N536&lt;=4,"2-4 yrs",N536&lt;=9,"5-9 yrs",N536&gt;9,"10+ yrs")</f>
        <v>0-1 yrs</v>
      </c>
      <c r="S536" t="str" cm="1">
        <f t="array" ref="S536">_xlfn.IFS(B536&lt;=25,"20-25",B536&lt;=35,"26-35",B536&lt;=45,"36-45",B536&gt;45,"46+")</f>
        <v>20-25</v>
      </c>
      <c r="T536" t="str" cm="1">
        <f t="array" ref="T536">_xlfn.IFS(J536&lt;3500,"&lt;3.5K",J536&lt;5500,"3.5-5.5K",J536&lt;7500,"5.5-7.5K",J536&gt;=7500,"7.5K+")</f>
        <v>3.5-5.5K</v>
      </c>
      <c r="U536">
        <f t="shared" si="8"/>
        <v>0</v>
      </c>
    </row>
    <row r="537" spans="1:21" x14ac:dyDescent="0.25">
      <c r="A537">
        <v>1093</v>
      </c>
      <c r="B537">
        <v>60</v>
      </c>
      <c r="C537" t="s">
        <v>16</v>
      </c>
      <c r="D537" t="s">
        <v>38</v>
      </c>
      <c r="E537" t="s">
        <v>49</v>
      </c>
      <c r="F537" t="s">
        <v>41</v>
      </c>
      <c r="G537" t="s">
        <v>33</v>
      </c>
      <c r="H537" t="s">
        <v>34</v>
      </c>
      <c r="I537">
        <v>3</v>
      </c>
      <c r="J537" s="2">
        <v>15618</v>
      </c>
      <c r="K537" t="s">
        <v>22</v>
      </c>
      <c r="L537">
        <v>3</v>
      </c>
      <c r="M537">
        <v>1</v>
      </c>
      <c r="N537">
        <v>15</v>
      </c>
      <c r="O537">
        <v>14</v>
      </c>
      <c r="P537">
        <v>33</v>
      </c>
      <c r="Q537" t="s">
        <v>22</v>
      </c>
      <c r="R537" t="str" cm="1">
        <f t="array" ref="R537">_xlfn.IFS(N537&lt;=1,"0-1 yrs",N537&lt;=4,"2-4 yrs",N537&lt;=9,"5-9 yrs",N537&gt;9,"10+ yrs")</f>
        <v>10+ yrs</v>
      </c>
      <c r="S537" t="str" cm="1">
        <f t="array" ref="S537">_xlfn.IFS(B537&lt;=25,"20-25",B537&lt;=35,"26-35",B537&lt;=45,"36-45",B537&gt;45,"46+")</f>
        <v>46+</v>
      </c>
      <c r="T537" t="str" cm="1">
        <f t="array" ref="T537">_xlfn.IFS(J537&lt;3500,"&lt;3.5K",J537&lt;5500,"3.5-5.5K",J537&lt;7500,"5.5-7.5K",J537&gt;=7500,"7.5K+")</f>
        <v>7.5K+</v>
      </c>
      <c r="U537">
        <f t="shared" si="8"/>
        <v>0</v>
      </c>
    </row>
    <row r="538" spans="1:21" x14ac:dyDescent="0.25">
      <c r="A538">
        <v>1552</v>
      </c>
      <c r="B538">
        <v>49</v>
      </c>
      <c r="C538" t="s">
        <v>23</v>
      </c>
      <c r="D538" t="s">
        <v>38</v>
      </c>
      <c r="E538" t="s">
        <v>39</v>
      </c>
      <c r="F538" t="s">
        <v>19</v>
      </c>
      <c r="G538" t="s">
        <v>20</v>
      </c>
      <c r="H538" t="s">
        <v>21</v>
      </c>
      <c r="I538">
        <v>5</v>
      </c>
      <c r="J538" s="2">
        <v>7838</v>
      </c>
      <c r="K538" t="s">
        <v>22</v>
      </c>
      <c r="L538">
        <v>1</v>
      </c>
      <c r="M538">
        <v>2</v>
      </c>
      <c r="N538">
        <v>3</v>
      </c>
      <c r="O538">
        <v>0</v>
      </c>
      <c r="P538">
        <v>18</v>
      </c>
      <c r="Q538" t="s">
        <v>22</v>
      </c>
      <c r="R538" t="str" cm="1">
        <f t="array" ref="R538">_xlfn.IFS(N538&lt;=1,"0-1 yrs",N538&lt;=4,"2-4 yrs",N538&lt;=9,"5-9 yrs",N538&gt;9,"10+ yrs")</f>
        <v>2-4 yrs</v>
      </c>
      <c r="S538" t="str" cm="1">
        <f t="array" ref="S538">_xlfn.IFS(B538&lt;=25,"20-25",B538&lt;=35,"26-35",B538&lt;=45,"36-45",B538&gt;45,"46+")</f>
        <v>46+</v>
      </c>
      <c r="T538" t="str" cm="1">
        <f t="array" ref="T538">_xlfn.IFS(J538&lt;3500,"&lt;3.5K",J538&lt;5500,"3.5-5.5K",J538&lt;7500,"5.5-7.5K",J538&gt;=7500,"7.5K+")</f>
        <v>7.5K+</v>
      </c>
      <c r="U538">
        <f t="shared" si="8"/>
        <v>0</v>
      </c>
    </row>
    <row r="539" spans="1:21" x14ac:dyDescent="0.25">
      <c r="A539">
        <v>1050</v>
      </c>
      <c r="B539">
        <v>53</v>
      </c>
      <c r="C539" t="s">
        <v>16</v>
      </c>
      <c r="D539" t="s">
        <v>27</v>
      </c>
      <c r="E539" t="s">
        <v>43</v>
      </c>
      <c r="F539" t="s">
        <v>26</v>
      </c>
      <c r="G539" t="s">
        <v>33</v>
      </c>
      <c r="H539" t="s">
        <v>30</v>
      </c>
      <c r="I539">
        <v>24</v>
      </c>
      <c r="J539" s="2">
        <v>11970</v>
      </c>
      <c r="K539" t="s">
        <v>22</v>
      </c>
      <c r="L539">
        <v>3</v>
      </c>
      <c r="M539">
        <v>1</v>
      </c>
      <c r="N539">
        <v>9</v>
      </c>
      <c r="O539">
        <v>9</v>
      </c>
      <c r="P539">
        <v>21</v>
      </c>
      <c r="Q539" t="s">
        <v>42</v>
      </c>
      <c r="R539" t="str" cm="1">
        <f t="array" ref="R539">_xlfn.IFS(N539&lt;=1,"0-1 yrs",N539&lt;=4,"2-4 yrs",N539&lt;=9,"5-9 yrs",N539&gt;9,"10+ yrs")</f>
        <v>5-9 yrs</v>
      </c>
      <c r="S539" t="str" cm="1">
        <f t="array" ref="S539">_xlfn.IFS(B539&lt;=25,"20-25",B539&lt;=35,"26-35",B539&lt;=45,"36-45",B539&gt;45,"46+")</f>
        <v>46+</v>
      </c>
      <c r="T539" t="str" cm="1">
        <f t="array" ref="T539">_xlfn.IFS(J539&lt;3500,"&lt;3.5K",J539&lt;5500,"3.5-5.5K",J539&lt;7500,"5.5-7.5K",J539&gt;=7500,"7.5K+")</f>
        <v>7.5K+</v>
      </c>
      <c r="U539">
        <f t="shared" si="8"/>
        <v>1</v>
      </c>
    </row>
    <row r="540" spans="1:21" x14ac:dyDescent="0.25">
      <c r="A540">
        <v>1374</v>
      </c>
      <c r="B540">
        <v>59</v>
      </c>
      <c r="C540" t="s">
        <v>23</v>
      </c>
      <c r="D540" t="s">
        <v>27</v>
      </c>
      <c r="E540" t="s">
        <v>43</v>
      </c>
      <c r="F540" t="s">
        <v>19</v>
      </c>
      <c r="G540" t="s">
        <v>20</v>
      </c>
      <c r="H540" t="s">
        <v>30</v>
      </c>
      <c r="I540">
        <v>9</v>
      </c>
      <c r="J540" s="2">
        <v>13110</v>
      </c>
      <c r="K540" t="s">
        <v>22</v>
      </c>
      <c r="L540">
        <v>1</v>
      </c>
      <c r="M540">
        <v>2</v>
      </c>
      <c r="N540">
        <v>10</v>
      </c>
      <c r="O540">
        <v>5</v>
      </c>
      <c r="P540">
        <v>39</v>
      </c>
      <c r="Q540" t="s">
        <v>22</v>
      </c>
      <c r="R540" t="str" cm="1">
        <f t="array" ref="R540">_xlfn.IFS(N540&lt;=1,"0-1 yrs",N540&lt;=4,"2-4 yrs",N540&lt;=9,"5-9 yrs",N540&gt;9,"10+ yrs")</f>
        <v>10+ yrs</v>
      </c>
      <c r="S540" t="str" cm="1">
        <f t="array" ref="S540">_xlfn.IFS(B540&lt;=25,"20-25",B540&lt;=35,"26-35",B540&lt;=45,"36-45",B540&gt;45,"46+")</f>
        <v>46+</v>
      </c>
      <c r="T540" t="str" cm="1">
        <f t="array" ref="T540">_xlfn.IFS(J540&lt;3500,"&lt;3.5K",J540&lt;5500,"3.5-5.5K",J540&lt;7500,"5.5-7.5K",J540&gt;=7500,"7.5K+")</f>
        <v>7.5K+</v>
      </c>
      <c r="U540">
        <f t="shared" si="8"/>
        <v>0</v>
      </c>
    </row>
    <row r="541" spans="1:21" x14ac:dyDescent="0.25">
      <c r="A541">
        <v>1678</v>
      </c>
      <c r="B541">
        <v>20</v>
      </c>
      <c r="C541" t="s">
        <v>23</v>
      </c>
      <c r="D541" t="s">
        <v>47</v>
      </c>
      <c r="E541" t="s">
        <v>48</v>
      </c>
      <c r="F541" t="s">
        <v>32</v>
      </c>
      <c r="G541" t="s">
        <v>33</v>
      </c>
      <c r="H541" t="s">
        <v>21</v>
      </c>
      <c r="I541">
        <v>6</v>
      </c>
      <c r="J541" s="2">
        <v>8110</v>
      </c>
      <c r="K541" t="s">
        <v>22</v>
      </c>
      <c r="L541">
        <v>4</v>
      </c>
      <c r="M541">
        <v>1</v>
      </c>
      <c r="N541">
        <v>0</v>
      </c>
      <c r="O541">
        <v>0</v>
      </c>
      <c r="P541">
        <v>0</v>
      </c>
      <c r="Q541" t="s">
        <v>22</v>
      </c>
      <c r="R541" t="str" cm="1">
        <f t="array" ref="R541">_xlfn.IFS(N541&lt;=1,"0-1 yrs",N541&lt;=4,"2-4 yrs",N541&lt;=9,"5-9 yrs",N541&gt;9,"10+ yrs")</f>
        <v>0-1 yrs</v>
      </c>
      <c r="S541" t="str" cm="1">
        <f t="array" ref="S541">_xlfn.IFS(B541&lt;=25,"20-25",B541&lt;=35,"26-35",B541&lt;=45,"36-45",B541&gt;45,"46+")</f>
        <v>20-25</v>
      </c>
      <c r="T541" t="str" cm="1">
        <f t="array" ref="T541">_xlfn.IFS(J541&lt;3500,"&lt;3.5K",J541&lt;5500,"3.5-5.5K",J541&lt;7500,"5.5-7.5K",J541&gt;=7500,"7.5K+")</f>
        <v>7.5K+</v>
      </c>
      <c r="U541">
        <f t="shared" si="8"/>
        <v>0</v>
      </c>
    </row>
    <row r="542" spans="1:21" x14ac:dyDescent="0.25">
      <c r="A542">
        <v>1038</v>
      </c>
      <c r="B542">
        <v>57</v>
      </c>
      <c r="C542" t="s">
        <v>23</v>
      </c>
      <c r="D542" t="s">
        <v>17</v>
      </c>
      <c r="E542" t="s">
        <v>35</v>
      </c>
      <c r="F542" t="s">
        <v>41</v>
      </c>
      <c r="G542" t="s">
        <v>20</v>
      </c>
      <c r="H542" t="s">
        <v>21</v>
      </c>
      <c r="I542">
        <v>13</v>
      </c>
      <c r="J542" s="2">
        <v>10650</v>
      </c>
      <c r="K542" t="s">
        <v>42</v>
      </c>
      <c r="L542">
        <v>4</v>
      </c>
      <c r="M542">
        <v>2</v>
      </c>
      <c r="N542">
        <v>20</v>
      </c>
      <c r="O542">
        <v>13</v>
      </c>
      <c r="P542">
        <v>31</v>
      </c>
      <c r="Q542" t="s">
        <v>22</v>
      </c>
      <c r="R542" t="str" cm="1">
        <f t="array" ref="R542">_xlfn.IFS(N542&lt;=1,"0-1 yrs",N542&lt;=4,"2-4 yrs",N542&lt;=9,"5-9 yrs",N542&gt;9,"10+ yrs")</f>
        <v>10+ yrs</v>
      </c>
      <c r="S542" t="str" cm="1">
        <f t="array" ref="S542">_xlfn.IFS(B542&lt;=25,"20-25",B542&lt;=35,"26-35",B542&lt;=45,"36-45",B542&gt;45,"46+")</f>
        <v>46+</v>
      </c>
      <c r="T542" t="str" cm="1">
        <f t="array" ref="T542">_xlfn.IFS(J542&lt;3500,"&lt;3.5K",J542&lt;5500,"3.5-5.5K",J542&lt;7500,"5.5-7.5K",J542&gt;=7500,"7.5K+")</f>
        <v>7.5K+</v>
      </c>
      <c r="U542">
        <f t="shared" si="8"/>
        <v>0</v>
      </c>
    </row>
    <row r="543" spans="1:21" x14ac:dyDescent="0.25">
      <c r="A543">
        <v>1201</v>
      </c>
      <c r="B543">
        <v>27</v>
      </c>
      <c r="C543" t="s">
        <v>23</v>
      </c>
      <c r="D543" t="s">
        <v>17</v>
      </c>
      <c r="E543" t="s">
        <v>35</v>
      </c>
      <c r="F543" t="s">
        <v>41</v>
      </c>
      <c r="G543" t="s">
        <v>37</v>
      </c>
      <c r="H543" t="s">
        <v>34</v>
      </c>
      <c r="I543">
        <v>17</v>
      </c>
      <c r="J543" s="2">
        <v>5401</v>
      </c>
      <c r="K543" t="s">
        <v>22</v>
      </c>
      <c r="L543">
        <v>3</v>
      </c>
      <c r="M543">
        <v>1</v>
      </c>
      <c r="N543">
        <v>3</v>
      </c>
      <c r="O543">
        <v>2</v>
      </c>
      <c r="P543">
        <v>3</v>
      </c>
      <c r="Q543" t="s">
        <v>22</v>
      </c>
      <c r="R543" t="str" cm="1">
        <f t="array" ref="R543">_xlfn.IFS(N543&lt;=1,"0-1 yrs",N543&lt;=4,"2-4 yrs",N543&lt;=9,"5-9 yrs",N543&gt;9,"10+ yrs")</f>
        <v>2-4 yrs</v>
      </c>
      <c r="S543" t="str" cm="1">
        <f t="array" ref="S543">_xlfn.IFS(B543&lt;=25,"20-25",B543&lt;=35,"26-35",B543&lt;=45,"36-45",B543&gt;45,"46+")</f>
        <v>26-35</v>
      </c>
      <c r="T543" t="str" cm="1">
        <f t="array" ref="T543">_xlfn.IFS(J543&lt;3500,"&lt;3.5K",J543&lt;5500,"3.5-5.5K",J543&lt;7500,"5.5-7.5K",J543&gt;=7500,"7.5K+")</f>
        <v>3.5-5.5K</v>
      </c>
      <c r="U543">
        <f t="shared" si="8"/>
        <v>0</v>
      </c>
    </row>
    <row r="544" spans="1:21" x14ac:dyDescent="0.25">
      <c r="A544">
        <v>1790</v>
      </c>
      <c r="B544">
        <v>59</v>
      </c>
      <c r="C544" t="s">
        <v>23</v>
      </c>
      <c r="D544" t="s">
        <v>47</v>
      </c>
      <c r="E544" t="s">
        <v>53</v>
      </c>
      <c r="F544" t="s">
        <v>26</v>
      </c>
      <c r="G544" t="s">
        <v>37</v>
      </c>
      <c r="H544" t="s">
        <v>34</v>
      </c>
      <c r="I544">
        <v>11</v>
      </c>
      <c r="J544" s="2">
        <v>16653</v>
      </c>
      <c r="K544" t="s">
        <v>22</v>
      </c>
      <c r="L544">
        <v>4</v>
      </c>
      <c r="M544">
        <v>1</v>
      </c>
      <c r="N544">
        <v>0</v>
      </c>
      <c r="O544">
        <v>0</v>
      </c>
      <c r="P544">
        <v>31</v>
      </c>
      <c r="Q544" t="s">
        <v>22</v>
      </c>
      <c r="R544" t="str" cm="1">
        <f t="array" ref="R544">_xlfn.IFS(N544&lt;=1,"0-1 yrs",N544&lt;=4,"2-4 yrs",N544&lt;=9,"5-9 yrs",N544&gt;9,"10+ yrs")</f>
        <v>0-1 yrs</v>
      </c>
      <c r="S544" t="str" cm="1">
        <f t="array" ref="S544">_xlfn.IFS(B544&lt;=25,"20-25",B544&lt;=35,"26-35",B544&lt;=45,"36-45",B544&gt;45,"46+")</f>
        <v>46+</v>
      </c>
      <c r="T544" t="str" cm="1">
        <f t="array" ref="T544">_xlfn.IFS(J544&lt;3500,"&lt;3.5K",J544&lt;5500,"3.5-5.5K",J544&lt;7500,"5.5-7.5K",J544&gt;=7500,"7.5K+")</f>
        <v>7.5K+</v>
      </c>
      <c r="U544">
        <f t="shared" si="8"/>
        <v>0</v>
      </c>
    </row>
    <row r="545" spans="1:21" x14ac:dyDescent="0.25">
      <c r="A545">
        <v>1225</v>
      </c>
      <c r="B545">
        <v>30</v>
      </c>
      <c r="C545" t="s">
        <v>23</v>
      </c>
      <c r="D545" t="s">
        <v>27</v>
      </c>
      <c r="E545" t="s">
        <v>43</v>
      </c>
      <c r="F545" t="s">
        <v>32</v>
      </c>
      <c r="G545" t="s">
        <v>20</v>
      </c>
      <c r="H545" t="s">
        <v>34</v>
      </c>
      <c r="I545">
        <v>4</v>
      </c>
      <c r="J545" s="2">
        <v>6855</v>
      </c>
      <c r="K545" t="s">
        <v>22</v>
      </c>
      <c r="L545">
        <v>3</v>
      </c>
      <c r="M545">
        <v>1</v>
      </c>
      <c r="N545">
        <v>0</v>
      </c>
      <c r="O545">
        <v>0</v>
      </c>
      <c r="P545">
        <v>0</v>
      </c>
      <c r="Q545" t="s">
        <v>42</v>
      </c>
      <c r="R545" t="str" cm="1">
        <f t="array" ref="R545">_xlfn.IFS(N545&lt;=1,"0-1 yrs",N545&lt;=4,"2-4 yrs",N545&lt;=9,"5-9 yrs",N545&gt;9,"10+ yrs")</f>
        <v>0-1 yrs</v>
      </c>
      <c r="S545" t="str" cm="1">
        <f t="array" ref="S545">_xlfn.IFS(B545&lt;=25,"20-25",B545&lt;=35,"26-35",B545&lt;=45,"36-45",B545&gt;45,"46+")</f>
        <v>26-35</v>
      </c>
      <c r="T545" t="str" cm="1">
        <f t="array" ref="T545">_xlfn.IFS(J545&lt;3500,"&lt;3.5K",J545&lt;5500,"3.5-5.5K",J545&lt;7500,"5.5-7.5K",J545&gt;=7500,"7.5K+")</f>
        <v>5.5-7.5K</v>
      </c>
      <c r="U545">
        <f t="shared" si="8"/>
        <v>1</v>
      </c>
    </row>
    <row r="546" spans="1:21" x14ac:dyDescent="0.25">
      <c r="A546">
        <v>1583</v>
      </c>
      <c r="B546">
        <v>32</v>
      </c>
      <c r="C546" t="s">
        <v>23</v>
      </c>
      <c r="D546" t="s">
        <v>47</v>
      </c>
      <c r="E546" t="s">
        <v>50</v>
      </c>
      <c r="F546" t="s">
        <v>29</v>
      </c>
      <c r="G546" t="s">
        <v>37</v>
      </c>
      <c r="H546" t="s">
        <v>34</v>
      </c>
      <c r="I546">
        <v>27</v>
      </c>
      <c r="J546" s="2">
        <v>6702</v>
      </c>
      <c r="K546" t="s">
        <v>22</v>
      </c>
      <c r="L546">
        <v>1</v>
      </c>
      <c r="M546">
        <v>4</v>
      </c>
      <c r="N546">
        <v>1</v>
      </c>
      <c r="O546">
        <v>0</v>
      </c>
      <c r="P546">
        <v>7</v>
      </c>
      <c r="Q546" t="s">
        <v>42</v>
      </c>
      <c r="R546" t="str" cm="1">
        <f t="array" ref="R546">_xlfn.IFS(N546&lt;=1,"0-1 yrs",N546&lt;=4,"2-4 yrs",N546&lt;=9,"5-9 yrs",N546&gt;9,"10+ yrs")</f>
        <v>0-1 yrs</v>
      </c>
      <c r="S546" t="str" cm="1">
        <f t="array" ref="S546">_xlfn.IFS(B546&lt;=25,"20-25",B546&lt;=35,"26-35",B546&lt;=45,"36-45",B546&gt;45,"46+")</f>
        <v>26-35</v>
      </c>
      <c r="T546" t="str" cm="1">
        <f t="array" ref="T546">_xlfn.IFS(J546&lt;3500,"&lt;3.5K",J546&lt;5500,"3.5-5.5K",J546&lt;7500,"5.5-7.5K",J546&gt;=7500,"7.5K+")</f>
        <v>5.5-7.5K</v>
      </c>
      <c r="U546">
        <f t="shared" si="8"/>
        <v>1</v>
      </c>
    </row>
    <row r="547" spans="1:21" x14ac:dyDescent="0.25">
      <c r="A547">
        <v>1845</v>
      </c>
      <c r="B547">
        <v>28</v>
      </c>
      <c r="C547" t="s">
        <v>23</v>
      </c>
      <c r="D547" t="s">
        <v>17</v>
      </c>
      <c r="E547" t="s">
        <v>40</v>
      </c>
      <c r="F547" t="s">
        <v>38</v>
      </c>
      <c r="G547" t="s">
        <v>20</v>
      </c>
      <c r="H547" t="s">
        <v>30</v>
      </c>
      <c r="I547">
        <v>8</v>
      </c>
      <c r="J547" s="2">
        <v>4146</v>
      </c>
      <c r="K547" t="s">
        <v>22</v>
      </c>
      <c r="L547">
        <v>4</v>
      </c>
      <c r="M547">
        <v>1</v>
      </c>
      <c r="N547">
        <v>0</v>
      </c>
      <c r="O547">
        <v>0</v>
      </c>
      <c r="P547">
        <v>0</v>
      </c>
      <c r="Q547" t="s">
        <v>42</v>
      </c>
      <c r="R547" t="str" cm="1">
        <f t="array" ref="R547">_xlfn.IFS(N547&lt;=1,"0-1 yrs",N547&lt;=4,"2-4 yrs",N547&lt;=9,"5-9 yrs",N547&gt;9,"10+ yrs")</f>
        <v>0-1 yrs</v>
      </c>
      <c r="S547" t="str" cm="1">
        <f t="array" ref="S547">_xlfn.IFS(B547&lt;=25,"20-25",B547&lt;=35,"26-35",B547&lt;=45,"36-45",B547&gt;45,"46+")</f>
        <v>26-35</v>
      </c>
      <c r="T547" t="str" cm="1">
        <f t="array" ref="T547">_xlfn.IFS(J547&lt;3500,"&lt;3.5K",J547&lt;5500,"3.5-5.5K",J547&lt;7500,"5.5-7.5K",J547&gt;=7500,"7.5K+")</f>
        <v>3.5-5.5K</v>
      </c>
      <c r="U547">
        <f t="shared" si="8"/>
        <v>1</v>
      </c>
    </row>
    <row r="548" spans="1:21" x14ac:dyDescent="0.25">
      <c r="A548">
        <v>1853</v>
      </c>
      <c r="B548">
        <v>29</v>
      </c>
      <c r="C548" t="s">
        <v>16</v>
      </c>
      <c r="D548" t="s">
        <v>24</v>
      </c>
      <c r="E548" t="s">
        <v>25</v>
      </c>
      <c r="F548" t="s">
        <v>32</v>
      </c>
      <c r="G548" t="s">
        <v>37</v>
      </c>
      <c r="H548" t="s">
        <v>34</v>
      </c>
      <c r="I548">
        <v>7</v>
      </c>
      <c r="J548" s="2">
        <v>7663</v>
      </c>
      <c r="K548" t="s">
        <v>42</v>
      </c>
      <c r="L548">
        <v>3</v>
      </c>
      <c r="M548">
        <v>2</v>
      </c>
      <c r="N548">
        <v>1</v>
      </c>
      <c r="O548">
        <v>1</v>
      </c>
      <c r="P548">
        <v>4</v>
      </c>
      <c r="Q548" t="s">
        <v>22</v>
      </c>
      <c r="R548" t="str" cm="1">
        <f t="array" ref="R548">_xlfn.IFS(N548&lt;=1,"0-1 yrs",N548&lt;=4,"2-4 yrs",N548&lt;=9,"5-9 yrs",N548&gt;9,"10+ yrs")</f>
        <v>0-1 yrs</v>
      </c>
      <c r="S548" t="str" cm="1">
        <f t="array" ref="S548">_xlfn.IFS(B548&lt;=25,"20-25",B548&lt;=35,"26-35",B548&lt;=45,"36-45",B548&gt;45,"46+")</f>
        <v>26-35</v>
      </c>
      <c r="T548" t="str" cm="1">
        <f t="array" ref="T548">_xlfn.IFS(J548&lt;3500,"&lt;3.5K",J548&lt;5500,"3.5-5.5K",J548&lt;7500,"5.5-7.5K",J548&gt;=7500,"7.5K+")</f>
        <v>7.5K+</v>
      </c>
      <c r="U548">
        <f t="shared" si="8"/>
        <v>0</v>
      </c>
    </row>
    <row r="549" spans="1:21" x14ac:dyDescent="0.25">
      <c r="A549">
        <v>1267</v>
      </c>
      <c r="B549">
        <v>57</v>
      </c>
      <c r="C549" t="s">
        <v>23</v>
      </c>
      <c r="D549" t="s">
        <v>27</v>
      </c>
      <c r="E549" t="s">
        <v>28</v>
      </c>
      <c r="F549" t="s">
        <v>19</v>
      </c>
      <c r="G549" t="s">
        <v>37</v>
      </c>
      <c r="H549" t="s">
        <v>21</v>
      </c>
      <c r="I549">
        <v>20</v>
      </c>
      <c r="J549" s="2">
        <v>14638</v>
      </c>
      <c r="K549" t="s">
        <v>22</v>
      </c>
      <c r="L549">
        <v>2</v>
      </c>
      <c r="M549">
        <v>1</v>
      </c>
      <c r="N549">
        <v>5</v>
      </c>
      <c r="O549">
        <v>5</v>
      </c>
      <c r="P549">
        <v>27</v>
      </c>
      <c r="Q549" t="s">
        <v>22</v>
      </c>
      <c r="R549" t="str" cm="1">
        <f t="array" ref="R549">_xlfn.IFS(N549&lt;=1,"0-1 yrs",N549&lt;=4,"2-4 yrs",N549&lt;=9,"5-9 yrs",N549&gt;9,"10+ yrs")</f>
        <v>5-9 yrs</v>
      </c>
      <c r="S549" t="str" cm="1">
        <f t="array" ref="S549">_xlfn.IFS(B549&lt;=25,"20-25",B549&lt;=35,"26-35",B549&lt;=45,"36-45",B549&gt;45,"46+")</f>
        <v>46+</v>
      </c>
      <c r="T549" t="str" cm="1">
        <f t="array" ref="T549">_xlfn.IFS(J549&lt;3500,"&lt;3.5K",J549&lt;5500,"3.5-5.5K",J549&lt;7500,"5.5-7.5K",J549&gt;=7500,"7.5K+")</f>
        <v>7.5K+</v>
      </c>
      <c r="U549">
        <f t="shared" si="8"/>
        <v>0</v>
      </c>
    </row>
    <row r="550" spans="1:21" x14ac:dyDescent="0.25">
      <c r="A550">
        <v>1276</v>
      </c>
      <c r="B550">
        <v>34</v>
      </c>
      <c r="C550" t="s">
        <v>16</v>
      </c>
      <c r="D550" t="s">
        <v>24</v>
      </c>
      <c r="E550" t="s">
        <v>25</v>
      </c>
      <c r="F550" t="s">
        <v>38</v>
      </c>
      <c r="G550" t="s">
        <v>33</v>
      </c>
      <c r="H550" t="s">
        <v>34</v>
      </c>
      <c r="I550">
        <v>27</v>
      </c>
      <c r="J550" s="2">
        <v>10238</v>
      </c>
      <c r="K550" t="s">
        <v>22</v>
      </c>
      <c r="L550">
        <v>2</v>
      </c>
      <c r="M550">
        <v>4</v>
      </c>
      <c r="N550">
        <v>5</v>
      </c>
      <c r="O550">
        <v>2</v>
      </c>
      <c r="P550">
        <v>14</v>
      </c>
      <c r="Q550" t="s">
        <v>22</v>
      </c>
      <c r="R550" t="str" cm="1">
        <f t="array" ref="R550">_xlfn.IFS(N550&lt;=1,"0-1 yrs",N550&lt;=4,"2-4 yrs",N550&lt;=9,"5-9 yrs",N550&gt;9,"10+ yrs")</f>
        <v>5-9 yrs</v>
      </c>
      <c r="S550" t="str" cm="1">
        <f t="array" ref="S550">_xlfn.IFS(B550&lt;=25,"20-25",B550&lt;=35,"26-35",B550&lt;=45,"36-45",B550&gt;45,"46+")</f>
        <v>26-35</v>
      </c>
      <c r="T550" t="str" cm="1">
        <f t="array" ref="T550">_xlfn.IFS(J550&lt;3500,"&lt;3.5K",J550&lt;5500,"3.5-5.5K",J550&lt;7500,"5.5-7.5K",J550&gt;=7500,"7.5K+")</f>
        <v>7.5K+</v>
      </c>
      <c r="U550">
        <f t="shared" si="8"/>
        <v>0</v>
      </c>
    </row>
    <row r="551" spans="1:21" x14ac:dyDescent="0.25">
      <c r="A551">
        <v>1235</v>
      </c>
      <c r="B551">
        <v>35</v>
      </c>
      <c r="C551" t="s">
        <v>23</v>
      </c>
      <c r="D551" t="s">
        <v>47</v>
      </c>
      <c r="E551" t="s">
        <v>50</v>
      </c>
      <c r="F551" t="s">
        <v>38</v>
      </c>
      <c r="G551" t="s">
        <v>37</v>
      </c>
      <c r="H551" t="s">
        <v>34</v>
      </c>
      <c r="I551">
        <v>27</v>
      </c>
      <c r="J551" s="2">
        <v>9084</v>
      </c>
      <c r="K551" t="s">
        <v>22</v>
      </c>
      <c r="L551">
        <v>3</v>
      </c>
      <c r="M551">
        <v>3</v>
      </c>
      <c r="N551">
        <v>8</v>
      </c>
      <c r="O551">
        <v>5</v>
      </c>
      <c r="P551">
        <v>15</v>
      </c>
      <c r="Q551" t="s">
        <v>22</v>
      </c>
      <c r="R551" t="str" cm="1">
        <f t="array" ref="R551">_xlfn.IFS(N551&lt;=1,"0-1 yrs",N551&lt;=4,"2-4 yrs",N551&lt;=9,"5-9 yrs",N551&gt;9,"10+ yrs")</f>
        <v>5-9 yrs</v>
      </c>
      <c r="S551" t="str" cm="1">
        <f t="array" ref="S551">_xlfn.IFS(B551&lt;=25,"20-25",B551&lt;=35,"26-35",B551&lt;=45,"36-45",B551&gt;45,"46+")</f>
        <v>26-35</v>
      </c>
      <c r="T551" t="str" cm="1">
        <f t="array" ref="T551">_xlfn.IFS(J551&lt;3500,"&lt;3.5K",J551&lt;5500,"3.5-5.5K",J551&lt;7500,"5.5-7.5K",J551&gt;=7500,"7.5K+")</f>
        <v>7.5K+</v>
      </c>
      <c r="U551">
        <f t="shared" si="8"/>
        <v>0</v>
      </c>
    </row>
    <row r="552" spans="1:21" x14ac:dyDescent="0.25">
      <c r="A552">
        <v>1773</v>
      </c>
      <c r="B552">
        <v>56</v>
      </c>
      <c r="C552" t="s">
        <v>16</v>
      </c>
      <c r="D552" t="s">
        <v>24</v>
      </c>
      <c r="E552" t="s">
        <v>52</v>
      </c>
      <c r="F552" t="s">
        <v>38</v>
      </c>
      <c r="G552" t="s">
        <v>20</v>
      </c>
      <c r="H552" t="s">
        <v>30</v>
      </c>
      <c r="I552">
        <v>9</v>
      </c>
      <c r="J552" s="2">
        <v>9485</v>
      </c>
      <c r="K552" t="s">
        <v>42</v>
      </c>
      <c r="L552">
        <v>1</v>
      </c>
      <c r="M552">
        <v>2</v>
      </c>
      <c r="N552">
        <v>6</v>
      </c>
      <c r="O552">
        <v>1</v>
      </c>
      <c r="P552">
        <v>21</v>
      </c>
      <c r="Q552" t="s">
        <v>22</v>
      </c>
      <c r="R552" t="str" cm="1">
        <f t="array" ref="R552">_xlfn.IFS(N552&lt;=1,"0-1 yrs",N552&lt;=4,"2-4 yrs",N552&lt;=9,"5-9 yrs",N552&gt;9,"10+ yrs")</f>
        <v>5-9 yrs</v>
      </c>
      <c r="S552" t="str" cm="1">
        <f t="array" ref="S552">_xlfn.IFS(B552&lt;=25,"20-25",B552&lt;=35,"26-35",B552&lt;=45,"36-45",B552&gt;45,"46+")</f>
        <v>46+</v>
      </c>
      <c r="T552" t="str" cm="1">
        <f t="array" ref="T552">_xlfn.IFS(J552&lt;3500,"&lt;3.5K",J552&lt;5500,"3.5-5.5K",J552&lt;7500,"5.5-7.5K",J552&gt;=7500,"7.5K+")</f>
        <v>7.5K+</v>
      </c>
      <c r="U552">
        <f t="shared" si="8"/>
        <v>0</v>
      </c>
    </row>
    <row r="553" spans="1:21" x14ac:dyDescent="0.25">
      <c r="A553">
        <v>1262</v>
      </c>
      <c r="B553">
        <v>45</v>
      </c>
      <c r="C553" t="s">
        <v>16</v>
      </c>
      <c r="D553" t="s">
        <v>24</v>
      </c>
      <c r="E553" t="s">
        <v>45</v>
      </c>
      <c r="F553" t="s">
        <v>38</v>
      </c>
      <c r="G553" t="s">
        <v>37</v>
      </c>
      <c r="H553" t="s">
        <v>34</v>
      </c>
      <c r="I553">
        <v>4</v>
      </c>
      <c r="J553" s="2">
        <v>8862</v>
      </c>
      <c r="K553" t="s">
        <v>22</v>
      </c>
      <c r="L553">
        <v>1</v>
      </c>
      <c r="M553">
        <v>4</v>
      </c>
      <c r="N553">
        <v>14</v>
      </c>
      <c r="O553">
        <v>12</v>
      </c>
      <c r="P553">
        <v>21</v>
      </c>
      <c r="Q553" t="s">
        <v>22</v>
      </c>
      <c r="R553" t="str" cm="1">
        <f t="array" ref="R553">_xlfn.IFS(N553&lt;=1,"0-1 yrs",N553&lt;=4,"2-4 yrs",N553&lt;=9,"5-9 yrs",N553&gt;9,"10+ yrs")</f>
        <v>10+ yrs</v>
      </c>
      <c r="S553" t="str" cm="1">
        <f t="array" ref="S553">_xlfn.IFS(B553&lt;=25,"20-25",B553&lt;=35,"26-35",B553&lt;=45,"36-45",B553&gt;45,"46+")</f>
        <v>36-45</v>
      </c>
      <c r="T553" t="str" cm="1">
        <f t="array" ref="T553">_xlfn.IFS(J553&lt;3500,"&lt;3.5K",J553&lt;5500,"3.5-5.5K",J553&lt;7500,"5.5-7.5K",J553&gt;=7500,"7.5K+")</f>
        <v>7.5K+</v>
      </c>
      <c r="U553">
        <f t="shared" si="8"/>
        <v>0</v>
      </c>
    </row>
    <row r="554" spans="1:21" x14ac:dyDescent="0.25">
      <c r="A554">
        <v>1948</v>
      </c>
      <c r="B554">
        <v>43</v>
      </c>
      <c r="C554" t="s">
        <v>23</v>
      </c>
      <c r="D554" t="s">
        <v>47</v>
      </c>
      <c r="E554" t="s">
        <v>48</v>
      </c>
      <c r="F554" t="s">
        <v>26</v>
      </c>
      <c r="G554" t="s">
        <v>33</v>
      </c>
      <c r="H554" t="s">
        <v>21</v>
      </c>
      <c r="I554">
        <v>11</v>
      </c>
      <c r="J554" s="2">
        <v>9996</v>
      </c>
      <c r="K554" t="s">
        <v>22</v>
      </c>
      <c r="L554">
        <v>1</v>
      </c>
      <c r="M554">
        <v>2</v>
      </c>
      <c r="N554">
        <v>9</v>
      </c>
      <c r="O554">
        <v>6</v>
      </c>
      <c r="P554">
        <v>21</v>
      </c>
      <c r="Q554" t="s">
        <v>22</v>
      </c>
      <c r="R554" t="str" cm="1">
        <f t="array" ref="R554">_xlfn.IFS(N554&lt;=1,"0-1 yrs",N554&lt;=4,"2-4 yrs",N554&lt;=9,"5-9 yrs",N554&gt;9,"10+ yrs")</f>
        <v>5-9 yrs</v>
      </c>
      <c r="S554" t="str" cm="1">
        <f t="array" ref="S554">_xlfn.IFS(B554&lt;=25,"20-25",B554&lt;=35,"26-35",B554&lt;=45,"36-45",B554&gt;45,"46+")</f>
        <v>36-45</v>
      </c>
      <c r="T554" t="str" cm="1">
        <f t="array" ref="T554">_xlfn.IFS(J554&lt;3500,"&lt;3.5K",J554&lt;5500,"3.5-5.5K",J554&lt;7500,"5.5-7.5K",J554&gt;=7500,"7.5K+")</f>
        <v>7.5K+</v>
      </c>
      <c r="U554">
        <f t="shared" si="8"/>
        <v>0</v>
      </c>
    </row>
    <row r="555" spans="1:21" x14ac:dyDescent="0.25">
      <c r="A555">
        <v>1092</v>
      </c>
      <c r="B555">
        <v>31</v>
      </c>
      <c r="C555" t="s">
        <v>23</v>
      </c>
      <c r="D555" t="s">
        <v>17</v>
      </c>
      <c r="E555" t="s">
        <v>40</v>
      </c>
      <c r="F555" t="s">
        <v>41</v>
      </c>
      <c r="G555" t="s">
        <v>37</v>
      </c>
      <c r="H555" t="s">
        <v>30</v>
      </c>
      <c r="I555">
        <v>19</v>
      </c>
      <c r="J555" s="2">
        <v>3780</v>
      </c>
      <c r="K555" t="s">
        <v>22</v>
      </c>
      <c r="L555">
        <v>2</v>
      </c>
      <c r="M555">
        <v>4</v>
      </c>
      <c r="N555">
        <v>0</v>
      </c>
      <c r="O555">
        <v>0</v>
      </c>
      <c r="P555">
        <v>0</v>
      </c>
      <c r="Q555" t="s">
        <v>22</v>
      </c>
      <c r="R555" t="str" cm="1">
        <f t="array" ref="R555">_xlfn.IFS(N555&lt;=1,"0-1 yrs",N555&lt;=4,"2-4 yrs",N555&lt;=9,"5-9 yrs",N555&gt;9,"10+ yrs")</f>
        <v>0-1 yrs</v>
      </c>
      <c r="S555" t="str" cm="1">
        <f t="array" ref="S555">_xlfn.IFS(B555&lt;=25,"20-25",B555&lt;=35,"26-35",B555&lt;=45,"36-45",B555&gt;45,"46+")</f>
        <v>26-35</v>
      </c>
      <c r="T555" t="str" cm="1">
        <f t="array" ref="T555">_xlfn.IFS(J555&lt;3500,"&lt;3.5K",J555&lt;5500,"3.5-5.5K",J555&lt;7500,"5.5-7.5K",J555&gt;=7500,"7.5K+")</f>
        <v>3.5-5.5K</v>
      </c>
      <c r="U555">
        <f t="shared" si="8"/>
        <v>0</v>
      </c>
    </row>
    <row r="556" spans="1:21" x14ac:dyDescent="0.25">
      <c r="A556">
        <v>1763</v>
      </c>
      <c r="B556">
        <v>43</v>
      </c>
      <c r="C556" t="s">
        <v>23</v>
      </c>
      <c r="D556" t="s">
        <v>24</v>
      </c>
      <c r="E556" t="s">
        <v>25</v>
      </c>
      <c r="F556" t="s">
        <v>41</v>
      </c>
      <c r="G556" t="s">
        <v>33</v>
      </c>
      <c r="H556" t="s">
        <v>21</v>
      </c>
      <c r="I556">
        <v>28</v>
      </c>
      <c r="J556" s="2">
        <v>13395</v>
      </c>
      <c r="K556" t="s">
        <v>22</v>
      </c>
      <c r="L556">
        <v>3</v>
      </c>
      <c r="M556">
        <v>3</v>
      </c>
      <c r="N556">
        <v>0</v>
      </c>
      <c r="O556">
        <v>0</v>
      </c>
      <c r="P556">
        <v>18</v>
      </c>
      <c r="Q556" t="s">
        <v>42</v>
      </c>
      <c r="R556" t="str" cm="1">
        <f t="array" ref="R556">_xlfn.IFS(N556&lt;=1,"0-1 yrs",N556&lt;=4,"2-4 yrs",N556&lt;=9,"5-9 yrs",N556&gt;9,"10+ yrs")</f>
        <v>0-1 yrs</v>
      </c>
      <c r="S556" t="str" cm="1">
        <f t="array" ref="S556">_xlfn.IFS(B556&lt;=25,"20-25",B556&lt;=35,"26-35",B556&lt;=45,"36-45",B556&gt;45,"46+")</f>
        <v>36-45</v>
      </c>
      <c r="T556" t="str" cm="1">
        <f t="array" ref="T556">_xlfn.IFS(J556&lt;3500,"&lt;3.5K",J556&lt;5500,"3.5-5.5K",J556&lt;7500,"5.5-7.5K",J556&gt;=7500,"7.5K+")</f>
        <v>7.5K+</v>
      </c>
      <c r="U556">
        <f t="shared" si="8"/>
        <v>1</v>
      </c>
    </row>
    <row r="557" spans="1:21" x14ac:dyDescent="0.25">
      <c r="A557">
        <v>1736</v>
      </c>
      <c r="B557">
        <v>33</v>
      </c>
      <c r="C557" t="s">
        <v>23</v>
      </c>
      <c r="D557" t="s">
        <v>27</v>
      </c>
      <c r="E557" t="s">
        <v>31</v>
      </c>
      <c r="F557" t="s">
        <v>36</v>
      </c>
      <c r="G557" t="s">
        <v>20</v>
      </c>
      <c r="H557" t="s">
        <v>30</v>
      </c>
      <c r="I557">
        <v>24</v>
      </c>
      <c r="J557" s="2">
        <v>6276</v>
      </c>
      <c r="K557" t="s">
        <v>22</v>
      </c>
      <c r="L557">
        <v>2</v>
      </c>
      <c r="M557">
        <v>3</v>
      </c>
      <c r="N557">
        <v>1</v>
      </c>
      <c r="O557">
        <v>0</v>
      </c>
      <c r="P557">
        <v>2</v>
      </c>
      <c r="Q557" t="s">
        <v>22</v>
      </c>
      <c r="R557" t="str" cm="1">
        <f t="array" ref="R557">_xlfn.IFS(N557&lt;=1,"0-1 yrs",N557&lt;=4,"2-4 yrs",N557&lt;=9,"5-9 yrs",N557&gt;9,"10+ yrs")</f>
        <v>0-1 yrs</v>
      </c>
      <c r="S557" t="str" cm="1">
        <f t="array" ref="S557">_xlfn.IFS(B557&lt;=25,"20-25",B557&lt;=35,"26-35",B557&lt;=45,"36-45",B557&gt;45,"46+")</f>
        <v>26-35</v>
      </c>
      <c r="T557" t="str" cm="1">
        <f t="array" ref="T557">_xlfn.IFS(J557&lt;3500,"&lt;3.5K",J557&lt;5500,"3.5-5.5K",J557&lt;7500,"5.5-7.5K",J557&gt;=7500,"7.5K+")</f>
        <v>5.5-7.5K</v>
      </c>
      <c r="U557">
        <f t="shared" si="8"/>
        <v>0</v>
      </c>
    </row>
    <row r="558" spans="1:21" x14ac:dyDescent="0.25">
      <c r="A558">
        <v>1988</v>
      </c>
      <c r="B558">
        <v>43</v>
      </c>
      <c r="C558" t="s">
        <v>16</v>
      </c>
      <c r="D558" t="s">
        <v>17</v>
      </c>
      <c r="E558" t="s">
        <v>18</v>
      </c>
      <c r="F558" t="s">
        <v>19</v>
      </c>
      <c r="G558" t="s">
        <v>20</v>
      </c>
      <c r="H558" t="s">
        <v>34</v>
      </c>
      <c r="I558">
        <v>12</v>
      </c>
      <c r="J558" s="2">
        <v>10212</v>
      </c>
      <c r="K558" t="s">
        <v>22</v>
      </c>
      <c r="L558">
        <v>4</v>
      </c>
      <c r="M558">
        <v>2</v>
      </c>
      <c r="N558">
        <v>10</v>
      </c>
      <c r="O558">
        <v>10</v>
      </c>
      <c r="P558">
        <v>18</v>
      </c>
      <c r="Q558" t="s">
        <v>22</v>
      </c>
      <c r="R558" t="str" cm="1">
        <f t="array" ref="R558">_xlfn.IFS(N558&lt;=1,"0-1 yrs",N558&lt;=4,"2-4 yrs",N558&lt;=9,"5-9 yrs",N558&gt;9,"10+ yrs")</f>
        <v>10+ yrs</v>
      </c>
      <c r="S558" t="str" cm="1">
        <f t="array" ref="S558">_xlfn.IFS(B558&lt;=25,"20-25",B558&lt;=35,"26-35",B558&lt;=45,"36-45",B558&gt;45,"46+")</f>
        <v>36-45</v>
      </c>
      <c r="T558" t="str" cm="1">
        <f t="array" ref="T558">_xlfn.IFS(J558&lt;3500,"&lt;3.5K",J558&lt;5500,"3.5-5.5K",J558&lt;7500,"5.5-7.5K",J558&gt;=7500,"7.5K+")</f>
        <v>7.5K+</v>
      </c>
      <c r="U558">
        <f t="shared" si="8"/>
        <v>0</v>
      </c>
    </row>
    <row r="559" spans="1:21" x14ac:dyDescent="0.25">
      <c r="A559">
        <v>1503</v>
      </c>
      <c r="B559">
        <v>52</v>
      </c>
      <c r="C559" t="s">
        <v>23</v>
      </c>
      <c r="D559" t="s">
        <v>17</v>
      </c>
      <c r="E559" t="s">
        <v>40</v>
      </c>
      <c r="F559" t="s">
        <v>19</v>
      </c>
      <c r="G559" t="s">
        <v>37</v>
      </c>
      <c r="H559" t="s">
        <v>30</v>
      </c>
      <c r="I559">
        <v>29</v>
      </c>
      <c r="J559" s="2">
        <v>11194</v>
      </c>
      <c r="K559" t="s">
        <v>42</v>
      </c>
      <c r="L559">
        <v>4</v>
      </c>
      <c r="M559">
        <v>1</v>
      </c>
      <c r="N559">
        <v>14</v>
      </c>
      <c r="O559">
        <v>2</v>
      </c>
      <c r="P559">
        <v>32</v>
      </c>
      <c r="Q559" t="s">
        <v>22</v>
      </c>
      <c r="R559" t="str" cm="1">
        <f t="array" ref="R559">_xlfn.IFS(N559&lt;=1,"0-1 yrs",N559&lt;=4,"2-4 yrs",N559&lt;=9,"5-9 yrs",N559&gt;9,"10+ yrs")</f>
        <v>10+ yrs</v>
      </c>
      <c r="S559" t="str" cm="1">
        <f t="array" ref="S559">_xlfn.IFS(B559&lt;=25,"20-25",B559&lt;=35,"26-35",B559&lt;=45,"36-45",B559&gt;45,"46+")</f>
        <v>46+</v>
      </c>
      <c r="T559" t="str" cm="1">
        <f t="array" ref="T559">_xlfn.IFS(J559&lt;3500,"&lt;3.5K",J559&lt;5500,"3.5-5.5K",J559&lt;7500,"5.5-7.5K",J559&gt;=7500,"7.5K+")</f>
        <v>7.5K+</v>
      </c>
      <c r="U559">
        <f t="shared" si="8"/>
        <v>0</v>
      </c>
    </row>
    <row r="560" spans="1:21" x14ac:dyDescent="0.25">
      <c r="A560">
        <v>1021</v>
      </c>
      <c r="B560">
        <v>48</v>
      </c>
      <c r="C560" t="s">
        <v>23</v>
      </c>
      <c r="D560" t="s">
        <v>24</v>
      </c>
      <c r="E560" t="s">
        <v>52</v>
      </c>
      <c r="F560" t="s">
        <v>36</v>
      </c>
      <c r="G560" t="s">
        <v>37</v>
      </c>
      <c r="H560" t="s">
        <v>30</v>
      </c>
      <c r="I560">
        <v>5</v>
      </c>
      <c r="J560" s="2">
        <v>8572</v>
      </c>
      <c r="K560" t="s">
        <v>22</v>
      </c>
      <c r="L560">
        <v>3</v>
      </c>
      <c r="M560">
        <v>1</v>
      </c>
      <c r="N560">
        <v>19</v>
      </c>
      <c r="O560">
        <v>16</v>
      </c>
      <c r="P560">
        <v>27</v>
      </c>
      <c r="Q560" t="s">
        <v>22</v>
      </c>
      <c r="R560" t="str" cm="1">
        <f t="array" ref="R560">_xlfn.IFS(N560&lt;=1,"0-1 yrs",N560&lt;=4,"2-4 yrs",N560&lt;=9,"5-9 yrs",N560&gt;9,"10+ yrs")</f>
        <v>10+ yrs</v>
      </c>
      <c r="S560" t="str" cm="1">
        <f t="array" ref="S560">_xlfn.IFS(B560&lt;=25,"20-25",B560&lt;=35,"26-35",B560&lt;=45,"36-45",B560&gt;45,"46+")</f>
        <v>46+</v>
      </c>
      <c r="T560" t="str" cm="1">
        <f t="array" ref="T560">_xlfn.IFS(J560&lt;3500,"&lt;3.5K",J560&lt;5500,"3.5-5.5K",J560&lt;7500,"5.5-7.5K",J560&gt;=7500,"7.5K+")</f>
        <v>7.5K+</v>
      </c>
      <c r="U560">
        <f t="shared" si="8"/>
        <v>0</v>
      </c>
    </row>
    <row r="561" spans="1:21" x14ac:dyDescent="0.25">
      <c r="A561">
        <v>1391</v>
      </c>
      <c r="B561">
        <v>20</v>
      </c>
      <c r="C561" t="s">
        <v>23</v>
      </c>
      <c r="D561" t="s">
        <v>47</v>
      </c>
      <c r="E561" t="s">
        <v>53</v>
      </c>
      <c r="F561" t="s">
        <v>36</v>
      </c>
      <c r="G561" t="s">
        <v>37</v>
      </c>
      <c r="H561" t="s">
        <v>30</v>
      </c>
      <c r="I561">
        <v>18</v>
      </c>
      <c r="J561" s="2">
        <v>8321</v>
      </c>
      <c r="K561" t="s">
        <v>22</v>
      </c>
      <c r="L561">
        <v>3</v>
      </c>
      <c r="M561">
        <v>1</v>
      </c>
      <c r="N561">
        <v>0</v>
      </c>
      <c r="O561">
        <v>0</v>
      </c>
      <c r="P561">
        <v>0</v>
      </c>
      <c r="Q561" t="s">
        <v>22</v>
      </c>
      <c r="R561" t="str" cm="1">
        <f t="array" ref="R561">_xlfn.IFS(N561&lt;=1,"0-1 yrs",N561&lt;=4,"2-4 yrs",N561&lt;=9,"5-9 yrs",N561&gt;9,"10+ yrs")</f>
        <v>0-1 yrs</v>
      </c>
      <c r="S561" t="str" cm="1">
        <f t="array" ref="S561">_xlfn.IFS(B561&lt;=25,"20-25",B561&lt;=35,"26-35",B561&lt;=45,"36-45",B561&gt;45,"46+")</f>
        <v>20-25</v>
      </c>
      <c r="T561" t="str" cm="1">
        <f t="array" ref="T561">_xlfn.IFS(J561&lt;3500,"&lt;3.5K",J561&lt;5500,"3.5-5.5K",J561&lt;7500,"5.5-7.5K",J561&gt;=7500,"7.5K+")</f>
        <v>7.5K+</v>
      </c>
      <c r="U561">
        <f t="shared" si="8"/>
        <v>0</v>
      </c>
    </row>
    <row r="562" spans="1:21" x14ac:dyDescent="0.25">
      <c r="A562">
        <v>1369</v>
      </c>
      <c r="B562">
        <v>55</v>
      </c>
      <c r="C562" t="s">
        <v>23</v>
      </c>
      <c r="D562" t="s">
        <v>38</v>
      </c>
      <c r="E562" t="s">
        <v>39</v>
      </c>
      <c r="F562" t="s">
        <v>36</v>
      </c>
      <c r="G562" t="s">
        <v>37</v>
      </c>
      <c r="H562" t="s">
        <v>30</v>
      </c>
      <c r="I562">
        <v>2</v>
      </c>
      <c r="J562" s="2">
        <v>11959</v>
      </c>
      <c r="K562" t="s">
        <v>22</v>
      </c>
      <c r="L562">
        <v>2</v>
      </c>
      <c r="M562">
        <v>1</v>
      </c>
      <c r="N562">
        <v>6</v>
      </c>
      <c r="O562">
        <v>0</v>
      </c>
      <c r="P562">
        <v>29</v>
      </c>
      <c r="Q562" t="s">
        <v>42</v>
      </c>
      <c r="R562" t="str" cm="1">
        <f t="array" ref="R562">_xlfn.IFS(N562&lt;=1,"0-1 yrs",N562&lt;=4,"2-4 yrs",N562&lt;=9,"5-9 yrs",N562&gt;9,"10+ yrs")</f>
        <v>5-9 yrs</v>
      </c>
      <c r="S562" t="str" cm="1">
        <f t="array" ref="S562">_xlfn.IFS(B562&lt;=25,"20-25",B562&lt;=35,"26-35",B562&lt;=45,"36-45",B562&gt;45,"46+")</f>
        <v>46+</v>
      </c>
      <c r="T562" t="str" cm="1">
        <f t="array" ref="T562">_xlfn.IFS(J562&lt;3500,"&lt;3.5K",J562&lt;5500,"3.5-5.5K",J562&lt;7500,"5.5-7.5K",J562&gt;=7500,"7.5K+")</f>
        <v>7.5K+</v>
      </c>
      <c r="U562">
        <f t="shared" si="8"/>
        <v>1</v>
      </c>
    </row>
    <row r="563" spans="1:21" x14ac:dyDescent="0.25">
      <c r="A563">
        <v>1354</v>
      </c>
      <c r="B563">
        <v>20</v>
      </c>
      <c r="C563" t="s">
        <v>16</v>
      </c>
      <c r="D563" t="s">
        <v>17</v>
      </c>
      <c r="E563" t="s">
        <v>18</v>
      </c>
      <c r="F563" t="s">
        <v>32</v>
      </c>
      <c r="G563" t="s">
        <v>20</v>
      </c>
      <c r="H563" t="s">
        <v>30</v>
      </c>
      <c r="I563">
        <v>29</v>
      </c>
      <c r="J563" s="2">
        <v>9536</v>
      </c>
      <c r="K563" t="s">
        <v>22</v>
      </c>
      <c r="L563">
        <v>1</v>
      </c>
      <c r="M563">
        <v>1</v>
      </c>
      <c r="N563">
        <v>0</v>
      </c>
      <c r="O563">
        <v>0</v>
      </c>
      <c r="P563">
        <v>0</v>
      </c>
      <c r="Q563" t="s">
        <v>22</v>
      </c>
      <c r="R563" t="str" cm="1">
        <f t="array" ref="R563">_xlfn.IFS(N563&lt;=1,"0-1 yrs",N563&lt;=4,"2-4 yrs",N563&lt;=9,"5-9 yrs",N563&gt;9,"10+ yrs")</f>
        <v>0-1 yrs</v>
      </c>
      <c r="S563" t="str" cm="1">
        <f t="array" ref="S563">_xlfn.IFS(B563&lt;=25,"20-25",B563&lt;=35,"26-35",B563&lt;=45,"36-45",B563&gt;45,"46+")</f>
        <v>20-25</v>
      </c>
      <c r="T563" t="str" cm="1">
        <f t="array" ref="T563">_xlfn.IFS(J563&lt;3500,"&lt;3.5K",J563&lt;5500,"3.5-5.5K",J563&lt;7500,"5.5-7.5K",J563&gt;=7500,"7.5K+")</f>
        <v>7.5K+</v>
      </c>
      <c r="U563">
        <f t="shared" si="8"/>
        <v>0</v>
      </c>
    </row>
    <row r="564" spans="1:21" x14ac:dyDescent="0.25">
      <c r="A564">
        <v>1399</v>
      </c>
      <c r="B564">
        <v>37</v>
      </c>
      <c r="C564" t="s">
        <v>23</v>
      </c>
      <c r="D564" t="s">
        <v>17</v>
      </c>
      <c r="E564" t="s">
        <v>35</v>
      </c>
      <c r="F564" t="s">
        <v>32</v>
      </c>
      <c r="G564" t="s">
        <v>20</v>
      </c>
      <c r="H564" t="s">
        <v>34</v>
      </c>
      <c r="I564">
        <v>9</v>
      </c>
      <c r="J564" s="2">
        <v>7355</v>
      </c>
      <c r="K564" t="s">
        <v>22</v>
      </c>
      <c r="L564">
        <v>4</v>
      </c>
      <c r="M564">
        <v>3</v>
      </c>
      <c r="N564">
        <v>1</v>
      </c>
      <c r="O564">
        <v>0</v>
      </c>
      <c r="P564">
        <v>13</v>
      </c>
      <c r="Q564" t="s">
        <v>22</v>
      </c>
      <c r="R564" t="str" cm="1">
        <f t="array" ref="R564">_xlfn.IFS(N564&lt;=1,"0-1 yrs",N564&lt;=4,"2-4 yrs",N564&lt;=9,"5-9 yrs",N564&gt;9,"10+ yrs")</f>
        <v>0-1 yrs</v>
      </c>
      <c r="S564" t="str" cm="1">
        <f t="array" ref="S564">_xlfn.IFS(B564&lt;=25,"20-25",B564&lt;=35,"26-35",B564&lt;=45,"36-45",B564&gt;45,"46+")</f>
        <v>36-45</v>
      </c>
      <c r="T564" t="str" cm="1">
        <f t="array" ref="T564">_xlfn.IFS(J564&lt;3500,"&lt;3.5K",J564&lt;5500,"3.5-5.5K",J564&lt;7500,"5.5-7.5K",J564&gt;=7500,"7.5K+")</f>
        <v>5.5-7.5K</v>
      </c>
      <c r="U564">
        <f t="shared" si="8"/>
        <v>0</v>
      </c>
    </row>
    <row r="565" spans="1:21" x14ac:dyDescent="0.25">
      <c r="A565">
        <v>1023</v>
      </c>
      <c r="B565">
        <v>28</v>
      </c>
      <c r="C565" t="s">
        <v>23</v>
      </c>
      <c r="D565" t="s">
        <v>17</v>
      </c>
      <c r="E565" t="s">
        <v>35</v>
      </c>
      <c r="F565" t="s">
        <v>29</v>
      </c>
      <c r="G565" t="s">
        <v>33</v>
      </c>
      <c r="H565" t="s">
        <v>21</v>
      </c>
      <c r="I565">
        <v>23</v>
      </c>
      <c r="J565" s="2">
        <v>4551</v>
      </c>
      <c r="K565" t="s">
        <v>22</v>
      </c>
      <c r="L565">
        <v>1</v>
      </c>
      <c r="M565">
        <v>1</v>
      </c>
      <c r="N565">
        <v>1</v>
      </c>
      <c r="O565">
        <v>1</v>
      </c>
      <c r="P565">
        <v>1</v>
      </c>
      <c r="Q565" t="s">
        <v>22</v>
      </c>
      <c r="R565" t="str" cm="1">
        <f t="array" ref="R565">_xlfn.IFS(N565&lt;=1,"0-1 yrs",N565&lt;=4,"2-4 yrs",N565&lt;=9,"5-9 yrs",N565&gt;9,"10+ yrs")</f>
        <v>0-1 yrs</v>
      </c>
      <c r="S565" t="str" cm="1">
        <f t="array" ref="S565">_xlfn.IFS(B565&lt;=25,"20-25",B565&lt;=35,"26-35",B565&lt;=45,"36-45",B565&gt;45,"46+")</f>
        <v>26-35</v>
      </c>
      <c r="T565" t="str" cm="1">
        <f t="array" ref="T565">_xlfn.IFS(J565&lt;3500,"&lt;3.5K",J565&lt;5500,"3.5-5.5K",J565&lt;7500,"5.5-7.5K",J565&gt;=7500,"7.5K+")</f>
        <v>3.5-5.5K</v>
      </c>
      <c r="U565">
        <f t="shared" si="8"/>
        <v>0</v>
      </c>
    </row>
    <row r="566" spans="1:21" x14ac:dyDescent="0.25">
      <c r="A566">
        <v>1464</v>
      </c>
      <c r="B566">
        <v>49</v>
      </c>
      <c r="C566" t="s">
        <v>23</v>
      </c>
      <c r="D566" t="s">
        <v>27</v>
      </c>
      <c r="E566" t="s">
        <v>28</v>
      </c>
      <c r="F566" t="s">
        <v>26</v>
      </c>
      <c r="G566" t="s">
        <v>33</v>
      </c>
      <c r="H566" t="s">
        <v>30</v>
      </c>
      <c r="I566">
        <v>23</v>
      </c>
      <c r="J566" s="2">
        <v>14835</v>
      </c>
      <c r="K566" t="s">
        <v>42</v>
      </c>
      <c r="L566">
        <v>4</v>
      </c>
      <c r="M566">
        <v>4</v>
      </c>
      <c r="N566">
        <v>21</v>
      </c>
      <c r="O566">
        <v>9</v>
      </c>
      <c r="P566">
        <v>28</v>
      </c>
      <c r="Q566" t="s">
        <v>22</v>
      </c>
      <c r="R566" t="str" cm="1">
        <f t="array" ref="R566">_xlfn.IFS(N566&lt;=1,"0-1 yrs",N566&lt;=4,"2-4 yrs",N566&lt;=9,"5-9 yrs",N566&gt;9,"10+ yrs")</f>
        <v>10+ yrs</v>
      </c>
      <c r="S566" t="str" cm="1">
        <f t="array" ref="S566">_xlfn.IFS(B566&lt;=25,"20-25",B566&lt;=35,"26-35",B566&lt;=45,"36-45",B566&gt;45,"46+")</f>
        <v>46+</v>
      </c>
      <c r="T566" t="str" cm="1">
        <f t="array" ref="T566">_xlfn.IFS(J566&lt;3500,"&lt;3.5K",J566&lt;5500,"3.5-5.5K",J566&lt;7500,"5.5-7.5K",J566&gt;=7500,"7.5K+")</f>
        <v>7.5K+</v>
      </c>
      <c r="U566">
        <f t="shared" si="8"/>
        <v>0</v>
      </c>
    </row>
    <row r="567" spans="1:21" x14ac:dyDescent="0.25">
      <c r="A567">
        <v>1983</v>
      </c>
      <c r="B567">
        <v>56</v>
      </c>
      <c r="C567" t="s">
        <v>23</v>
      </c>
      <c r="D567" t="s">
        <v>24</v>
      </c>
      <c r="E567" t="s">
        <v>45</v>
      </c>
      <c r="F567" t="s">
        <v>19</v>
      </c>
      <c r="G567" t="s">
        <v>33</v>
      </c>
      <c r="H567" t="s">
        <v>34</v>
      </c>
      <c r="I567">
        <v>14</v>
      </c>
      <c r="J567" s="2">
        <v>11567</v>
      </c>
      <c r="K567" t="s">
        <v>42</v>
      </c>
      <c r="L567">
        <v>4</v>
      </c>
      <c r="M567">
        <v>3</v>
      </c>
      <c r="N567">
        <v>11</v>
      </c>
      <c r="O567">
        <v>3</v>
      </c>
      <c r="P567">
        <v>34</v>
      </c>
      <c r="Q567" t="s">
        <v>22</v>
      </c>
      <c r="R567" t="str" cm="1">
        <f t="array" ref="R567">_xlfn.IFS(N567&lt;=1,"0-1 yrs",N567&lt;=4,"2-4 yrs",N567&lt;=9,"5-9 yrs",N567&gt;9,"10+ yrs")</f>
        <v>10+ yrs</v>
      </c>
      <c r="S567" t="str" cm="1">
        <f t="array" ref="S567">_xlfn.IFS(B567&lt;=25,"20-25",B567&lt;=35,"26-35",B567&lt;=45,"36-45",B567&gt;45,"46+")</f>
        <v>46+</v>
      </c>
      <c r="T567" t="str" cm="1">
        <f t="array" ref="T567">_xlfn.IFS(J567&lt;3500,"&lt;3.5K",J567&lt;5500,"3.5-5.5K",J567&lt;7500,"5.5-7.5K",J567&gt;=7500,"7.5K+")</f>
        <v>7.5K+</v>
      </c>
      <c r="U567">
        <f t="shared" si="8"/>
        <v>0</v>
      </c>
    </row>
    <row r="568" spans="1:21" x14ac:dyDescent="0.25">
      <c r="A568">
        <v>1917</v>
      </c>
      <c r="B568">
        <v>27</v>
      </c>
      <c r="C568" t="s">
        <v>16</v>
      </c>
      <c r="D568" t="s">
        <v>38</v>
      </c>
      <c r="E568" t="s">
        <v>49</v>
      </c>
      <c r="F568" t="s">
        <v>19</v>
      </c>
      <c r="G568" t="s">
        <v>20</v>
      </c>
      <c r="H568" t="s">
        <v>34</v>
      </c>
      <c r="I568">
        <v>11</v>
      </c>
      <c r="J568" s="2">
        <v>9022</v>
      </c>
      <c r="K568" t="s">
        <v>42</v>
      </c>
      <c r="L568">
        <v>4</v>
      </c>
      <c r="M568">
        <v>4</v>
      </c>
      <c r="N568">
        <v>1</v>
      </c>
      <c r="O568">
        <v>1</v>
      </c>
      <c r="P568">
        <v>1</v>
      </c>
      <c r="Q568" t="s">
        <v>42</v>
      </c>
      <c r="R568" t="str" cm="1">
        <f t="array" ref="R568">_xlfn.IFS(N568&lt;=1,"0-1 yrs",N568&lt;=4,"2-4 yrs",N568&lt;=9,"5-9 yrs",N568&gt;9,"10+ yrs")</f>
        <v>0-1 yrs</v>
      </c>
      <c r="S568" t="str" cm="1">
        <f t="array" ref="S568">_xlfn.IFS(B568&lt;=25,"20-25",B568&lt;=35,"26-35",B568&lt;=45,"36-45",B568&gt;45,"46+")</f>
        <v>26-35</v>
      </c>
      <c r="T568" t="str" cm="1">
        <f t="array" ref="T568">_xlfn.IFS(J568&lt;3500,"&lt;3.5K",J568&lt;5500,"3.5-5.5K",J568&lt;7500,"5.5-7.5K",J568&gt;=7500,"7.5K+")</f>
        <v>7.5K+</v>
      </c>
      <c r="U568">
        <f t="shared" si="8"/>
        <v>1</v>
      </c>
    </row>
    <row r="569" spans="1:21" x14ac:dyDescent="0.25">
      <c r="A569">
        <v>1966</v>
      </c>
      <c r="B569">
        <v>21</v>
      </c>
      <c r="C569" t="s">
        <v>23</v>
      </c>
      <c r="D569" t="s">
        <v>47</v>
      </c>
      <c r="E569" t="s">
        <v>48</v>
      </c>
      <c r="F569" t="s">
        <v>41</v>
      </c>
      <c r="G569" t="s">
        <v>20</v>
      </c>
      <c r="H569" t="s">
        <v>30</v>
      </c>
      <c r="I569">
        <v>29</v>
      </c>
      <c r="J569" s="2">
        <v>6374</v>
      </c>
      <c r="K569" t="s">
        <v>22</v>
      </c>
      <c r="L569">
        <v>3</v>
      </c>
      <c r="M569">
        <v>2</v>
      </c>
      <c r="N569">
        <v>0</v>
      </c>
      <c r="O569">
        <v>0</v>
      </c>
      <c r="P569">
        <v>0</v>
      </c>
      <c r="Q569" t="s">
        <v>42</v>
      </c>
      <c r="R569" t="str" cm="1">
        <f t="array" ref="R569">_xlfn.IFS(N569&lt;=1,"0-1 yrs",N569&lt;=4,"2-4 yrs",N569&lt;=9,"5-9 yrs",N569&gt;9,"10+ yrs")</f>
        <v>0-1 yrs</v>
      </c>
      <c r="S569" t="str" cm="1">
        <f t="array" ref="S569">_xlfn.IFS(B569&lt;=25,"20-25",B569&lt;=35,"26-35",B569&lt;=45,"36-45",B569&gt;45,"46+")</f>
        <v>20-25</v>
      </c>
      <c r="T569" t="str" cm="1">
        <f t="array" ref="T569">_xlfn.IFS(J569&lt;3500,"&lt;3.5K",J569&lt;5500,"3.5-5.5K",J569&lt;7500,"5.5-7.5K",J569&gt;=7500,"7.5K+")</f>
        <v>5.5-7.5K</v>
      </c>
      <c r="U569">
        <f t="shared" si="8"/>
        <v>1</v>
      </c>
    </row>
    <row r="570" spans="1:21" x14ac:dyDescent="0.25">
      <c r="A570">
        <v>1797</v>
      </c>
      <c r="B570">
        <v>29</v>
      </c>
      <c r="C570" t="s">
        <v>23</v>
      </c>
      <c r="D570" t="s">
        <v>38</v>
      </c>
      <c r="E570" t="s">
        <v>49</v>
      </c>
      <c r="F570" t="s">
        <v>41</v>
      </c>
      <c r="G570" t="s">
        <v>37</v>
      </c>
      <c r="H570" t="s">
        <v>30</v>
      </c>
      <c r="I570">
        <v>13</v>
      </c>
      <c r="J570" s="2">
        <v>6365</v>
      </c>
      <c r="K570" t="s">
        <v>42</v>
      </c>
      <c r="L570">
        <v>4</v>
      </c>
      <c r="M570">
        <v>2</v>
      </c>
      <c r="N570">
        <v>1</v>
      </c>
      <c r="O570">
        <v>0</v>
      </c>
      <c r="P570">
        <v>9</v>
      </c>
      <c r="Q570" t="s">
        <v>22</v>
      </c>
      <c r="R570" t="str" cm="1">
        <f t="array" ref="R570">_xlfn.IFS(N570&lt;=1,"0-1 yrs",N570&lt;=4,"2-4 yrs",N570&lt;=9,"5-9 yrs",N570&gt;9,"10+ yrs")</f>
        <v>0-1 yrs</v>
      </c>
      <c r="S570" t="str" cm="1">
        <f t="array" ref="S570">_xlfn.IFS(B570&lt;=25,"20-25",B570&lt;=35,"26-35",B570&lt;=45,"36-45",B570&gt;45,"46+")</f>
        <v>26-35</v>
      </c>
      <c r="T570" t="str" cm="1">
        <f t="array" ref="T570">_xlfn.IFS(J570&lt;3500,"&lt;3.5K",J570&lt;5500,"3.5-5.5K",J570&lt;7500,"5.5-7.5K",J570&gt;=7500,"7.5K+")</f>
        <v>5.5-7.5K</v>
      </c>
      <c r="U570">
        <f t="shared" si="8"/>
        <v>0</v>
      </c>
    </row>
    <row r="571" spans="1:21" x14ac:dyDescent="0.25">
      <c r="A571">
        <v>1389</v>
      </c>
      <c r="B571">
        <v>58</v>
      </c>
      <c r="C571" t="s">
        <v>23</v>
      </c>
      <c r="D571" t="s">
        <v>17</v>
      </c>
      <c r="E571" t="s">
        <v>40</v>
      </c>
      <c r="F571" t="s">
        <v>26</v>
      </c>
      <c r="G571" t="s">
        <v>33</v>
      </c>
      <c r="H571" t="s">
        <v>34</v>
      </c>
      <c r="I571">
        <v>29</v>
      </c>
      <c r="J571" s="2">
        <v>9965</v>
      </c>
      <c r="K571" t="s">
        <v>22</v>
      </c>
      <c r="L571">
        <v>2</v>
      </c>
      <c r="M571">
        <v>2</v>
      </c>
      <c r="N571">
        <v>15</v>
      </c>
      <c r="O571">
        <v>1</v>
      </c>
      <c r="P571">
        <v>34</v>
      </c>
      <c r="Q571" t="s">
        <v>22</v>
      </c>
      <c r="R571" t="str" cm="1">
        <f t="array" ref="R571">_xlfn.IFS(N571&lt;=1,"0-1 yrs",N571&lt;=4,"2-4 yrs",N571&lt;=9,"5-9 yrs",N571&gt;9,"10+ yrs")</f>
        <v>10+ yrs</v>
      </c>
      <c r="S571" t="str" cm="1">
        <f t="array" ref="S571">_xlfn.IFS(B571&lt;=25,"20-25",B571&lt;=35,"26-35",B571&lt;=45,"36-45",B571&gt;45,"46+")</f>
        <v>46+</v>
      </c>
      <c r="T571" t="str" cm="1">
        <f t="array" ref="T571">_xlfn.IFS(J571&lt;3500,"&lt;3.5K",J571&lt;5500,"3.5-5.5K",J571&lt;7500,"5.5-7.5K",J571&gt;=7500,"7.5K+")</f>
        <v>7.5K+</v>
      </c>
      <c r="U571">
        <f t="shared" si="8"/>
        <v>0</v>
      </c>
    </row>
    <row r="572" spans="1:21" x14ac:dyDescent="0.25">
      <c r="A572">
        <v>1660</v>
      </c>
      <c r="B572">
        <v>35</v>
      </c>
      <c r="C572" t="s">
        <v>23</v>
      </c>
      <c r="D572" t="s">
        <v>24</v>
      </c>
      <c r="E572" t="s">
        <v>52</v>
      </c>
      <c r="F572" t="s">
        <v>32</v>
      </c>
      <c r="G572" t="s">
        <v>33</v>
      </c>
      <c r="H572" t="s">
        <v>34</v>
      </c>
      <c r="I572">
        <v>29</v>
      </c>
      <c r="J572" s="2">
        <v>9038</v>
      </c>
      <c r="K572" t="s">
        <v>42</v>
      </c>
      <c r="L572">
        <v>1</v>
      </c>
      <c r="M572">
        <v>3</v>
      </c>
      <c r="N572">
        <v>3</v>
      </c>
      <c r="O572">
        <v>0</v>
      </c>
      <c r="P572">
        <v>15</v>
      </c>
      <c r="Q572" t="s">
        <v>22</v>
      </c>
      <c r="R572" t="str" cm="1">
        <f t="array" ref="R572">_xlfn.IFS(N572&lt;=1,"0-1 yrs",N572&lt;=4,"2-4 yrs",N572&lt;=9,"5-9 yrs",N572&gt;9,"10+ yrs")</f>
        <v>2-4 yrs</v>
      </c>
      <c r="S572" t="str" cm="1">
        <f t="array" ref="S572">_xlfn.IFS(B572&lt;=25,"20-25",B572&lt;=35,"26-35",B572&lt;=45,"36-45",B572&gt;45,"46+")</f>
        <v>26-35</v>
      </c>
      <c r="T572" t="str" cm="1">
        <f t="array" ref="T572">_xlfn.IFS(J572&lt;3500,"&lt;3.5K",J572&lt;5500,"3.5-5.5K",J572&lt;7500,"5.5-7.5K",J572&gt;=7500,"7.5K+")</f>
        <v>7.5K+</v>
      </c>
      <c r="U572">
        <f t="shared" si="8"/>
        <v>0</v>
      </c>
    </row>
    <row r="573" spans="1:21" x14ac:dyDescent="0.25">
      <c r="A573">
        <v>1298</v>
      </c>
      <c r="B573">
        <v>58</v>
      </c>
      <c r="C573" t="s">
        <v>23</v>
      </c>
      <c r="D573" t="s">
        <v>24</v>
      </c>
      <c r="E573" t="s">
        <v>52</v>
      </c>
      <c r="F573" t="s">
        <v>29</v>
      </c>
      <c r="G573" t="s">
        <v>33</v>
      </c>
      <c r="H573" t="s">
        <v>30</v>
      </c>
      <c r="I573">
        <v>5</v>
      </c>
      <c r="J573" s="2">
        <v>13345</v>
      </c>
      <c r="K573" t="s">
        <v>22</v>
      </c>
      <c r="L573">
        <v>1</v>
      </c>
      <c r="M573">
        <v>1</v>
      </c>
      <c r="N573">
        <v>19</v>
      </c>
      <c r="O573">
        <v>19</v>
      </c>
      <c r="P573">
        <v>38</v>
      </c>
      <c r="Q573" t="s">
        <v>22</v>
      </c>
      <c r="R573" t="str" cm="1">
        <f t="array" ref="R573">_xlfn.IFS(N573&lt;=1,"0-1 yrs",N573&lt;=4,"2-4 yrs",N573&lt;=9,"5-9 yrs",N573&gt;9,"10+ yrs")</f>
        <v>10+ yrs</v>
      </c>
      <c r="S573" t="str" cm="1">
        <f t="array" ref="S573">_xlfn.IFS(B573&lt;=25,"20-25",B573&lt;=35,"26-35",B573&lt;=45,"36-45",B573&gt;45,"46+")</f>
        <v>46+</v>
      </c>
      <c r="T573" t="str" cm="1">
        <f t="array" ref="T573">_xlfn.IFS(J573&lt;3500,"&lt;3.5K",J573&lt;5500,"3.5-5.5K",J573&lt;7500,"5.5-7.5K",J573&gt;=7500,"7.5K+")</f>
        <v>7.5K+</v>
      </c>
      <c r="U573">
        <f t="shared" si="8"/>
        <v>0</v>
      </c>
    </row>
    <row r="574" spans="1:21" x14ac:dyDescent="0.25">
      <c r="A574">
        <v>1255</v>
      </c>
      <c r="B574">
        <v>25</v>
      </c>
      <c r="C574" t="s">
        <v>23</v>
      </c>
      <c r="D574" t="s">
        <v>17</v>
      </c>
      <c r="E574" t="s">
        <v>40</v>
      </c>
      <c r="F574" t="s">
        <v>38</v>
      </c>
      <c r="G574" t="s">
        <v>33</v>
      </c>
      <c r="H574" t="s">
        <v>21</v>
      </c>
      <c r="I574">
        <v>4</v>
      </c>
      <c r="J574" s="2">
        <v>4631</v>
      </c>
      <c r="K574" t="s">
        <v>22</v>
      </c>
      <c r="L574">
        <v>1</v>
      </c>
      <c r="M574">
        <v>1</v>
      </c>
      <c r="N574">
        <v>5</v>
      </c>
      <c r="O574">
        <v>3</v>
      </c>
      <c r="P574">
        <v>5</v>
      </c>
      <c r="Q574" t="s">
        <v>22</v>
      </c>
      <c r="R574" t="str" cm="1">
        <f t="array" ref="R574">_xlfn.IFS(N574&lt;=1,"0-1 yrs",N574&lt;=4,"2-4 yrs",N574&lt;=9,"5-9 yrs",N574&gt;9,"10+ yrs")</f>
        <v>5-9 yrs</v>
      </c>
      <c r="S574" t="str" cm="1">
        <f t="array" ref="S574">_xlfn.IFS(B574&lt;=25,"20-25",B574&lt;=35,"26-35",B574&lt;=45,"36-45",B574&gt;45,"46+")</f>
        <v>20-25</v>
      </c>
      <c r="T574" t="str" cm="1">
        <f t="array" ref="T574">_xlfn.IFS(J574&lt;3500,"&lt;3.5K",J574&lt;5500,"3.5-5.5K",J574&lt;7500,"5.5-7.5K",J574&gt;=7500,"7.5K+")</f>
        <v>3.5-5.5K</v>
      </c>
      <c r="U574">
        <f t="shared" si="8"/>
        <v>0</v>
      </c>
    </row>
    <row r="575" spans="1:21" x14ac:dyDescent="0.25">
      <c r="A575">
        <v>1281</v>
      </c>
      <c r="B575">
        <v>57</v>
      </c>
      <c r="C575" t="s">
        <v>23</v>
      </c>
      <c r="D575" t="s">
        <v>38</v>
      </c>
      <c r="E575" t="s">
        <v>39</v>
      </c>
      <c r="F575" t="s">
        <v>41</v>
      </c>
      <c r="G575" t="s">
        <v>20</v>
      </c>
      <c r="H575" t="s">
        <v>21</v>
      </c>
      <c r="I575">
        <v>10</v>
      </c>
      <c r="J575" s="2">
        <v>12226</v>
      </c>
      <c r="K575" t="s">
        <v>22</v>
      </c>
      <c r="L575">
        <v>3</v>
      </c>
      <c r="M575">
        <v>3</v>
      </c>
      <c r="N575">
        <v>11</v>
      </c>
      <c r="O575">
        <v>8</v>
      </c>
      <c r="P575">
        <v>37</v>
      </c>
      <c r="Q575" t="s">
        <v>22</v>
      </c>
      <c r="R575" t="str" cm="1">
        <f t="array" ref="R575">_xlfn.IFS(N575&lt;=1,"0-1 yrs",N575&lt;=4,"2-4 yrs",N575&lt;=9,"5-9 yrs",N575&gt;9,"10+ yrs")</f>
        <v>10+ yrs</v>
      </c>
      <c r="S575" t="str" cm="1">
        <f t="array" ref="S575">_xlfn.IFS(B575&lt;=25,"20-25",B575&lt;=35,"26-35",B575&lt;=45,"36-45",B575&gt;45,"46+")</f>
        <v>46+</v>
      </c>
      <c r="T575" t="str" cm="1">
        <f t="array" ref="T575">_xlfn.IFS(J575&lt;3500,"&lt;3.5K",J575&lt;5500,"3.5-5.5K",J575&lt;7500,"5.5-7.5K",J575&gt;=7500,"7.5K+")</f>
        <v>7.5K+</v>
      </c>
      <c r="U575">
        <f t="shared" si="8"/>
        <v>0</v>
      </c>
    </row>
    <row r="576" spans="1:21" x14ac:dyDescent="0.25">
      <c r="A576">
        <v>1415</v>
      </c>
      <c r="B576">
        <v>23</v>
      </c>
      <c r="C576" t="s">
        <v>16</v>
      </c>
      <c r="D576" t="s">
        <v>17</v>
      </c>
      <c r="E576" t="s">
        <v>18</v>
      </c>
      <c r="F576" t="s">
        <v>29</v>
      </c>
      <c r="G576" t="s">
        <v>37</v>
      </c>
      <c r="H576" t="s">
        <v>34</v>
      </c>
      <c r="I576">
        <v>4</v>
      </c>
      <c r="J576" s="2">
        <v>7776</v>
      </c>
      <c r="K576" t="s">
        <v>22</v>
      </c>
      <c r="L576">
        <v>2</v>
      </c>
      <c r="M576">
        <v>1</v>
      </c>
      <c r="N576">
        <v>0</v>
      </c>
      <c r="O576">
        <v>0</v>
      </c>
      <c r="P576">
        <v>3</v>
      </c>
      <c r="Q576" t="s">
        <v>42</v>
      </c>
      <c r="R576" t="str" cm="1">
        <f t="array" ref="R576">_xlfn.IFS(N576&lt;=1,"0-1 yrs",N576&lt;=4,"2-4 yrs",N576&lt;=9,"5-9 yrs",N576&gt;9,"10+ yrs")</f>
        <v>0-1 yrs</v>
      </c>
      <c r="S576" t="str" cm="1">
        <f t="array" ref="S576">_xlfn.IFS(B576&lt;=25,"20-25",B576&lt;=35,"26-35",B576&lt;=45,"36-45",B576&gt;45,"46+")</f>
        <v>20-25</v>
      </c>
      <c r="T576" t="str" cm="1">
        <f t="array" ref="T576">_xlfn.IFS(J576&lt;3500,"&lt;3.5K",J576&lt;5500,"3.5-5.5K",J576&lt;7500,"5.5-7.5K",J576&gt;=7500,"7.5K+")</f>
        <v>7.5K+</v>
      </c>
      <c r="U576">
        <f t="shared" si="8"/>
        <v>1</v>
      </c>
    </row>
    <row r="577" spans="1:21" x14ac:dyDescent="0.25">
      <c r="A577">
        <v>1362</v>
      </c>
      <c r="B577">
        <v>33</v>
      </c>
      <c r="C577" t="s">
        <v>16</v>
      </c>
      <c r="D577" t="s">
        <v>27</v>
      </c>
      <c r="E577" t="s">
        <v>43</v>
      </c>
      <c r="F577" t="s">
        <v>38</v>
      </c>
      <c r="G577" t="s">
        <v>20</v>
      </c>
      <c r="H577" t="s">
        <v>30</v>
      </c>
      <c r="I577">
        <v>25</v>
      </c>
      <c r="J577" s="2">
        <v>9733</v>
      </c>
      <c r="K577" t="s">
        <v>22</v>
      </c>
      <c r="L577">
        <v>4</v>
      </c>
      <c r="M577">
        <v>2</v>
      </c>
      <c r="N577">
        <v>7</v>
      </c>
      <c r="O577">
        <v>7</v>
      </c>
      <c r="P577">
        <v>13</v>
      </c>
      <c r="Q577" t="s">
        <v>42</v>
      </c>
      <c r="R577" t="str" cm="1">
        <f t="array" ref="R577">_xlfn.IFS(N577&lt;=1,"0-1 yrs",N577&lt;=4,"2-4 yrs",N577&lt;=9,"5-9 yrs",N577&gt;9,"10+ yrs")</f>
        <v>5-9 yrs</v>
      </c>
      <c r="S577" t="str" cm="1">
        <f t="array" ref="S577">_xlfn.IFS(B577&lt;=25,"20-25",B577&lt;=35,"26-35",B577&lt;=45,"36-45",B577&gt;45,"46+")</f>
        <v>26-35</v>
      </c>
      <c r="T577" t="str" cm="1">
        <f t="array" ref="T577">_xlfn.IFS(J577&lt;3500,"&lt;3.5K",J577&lt;5500,"3.5-5.5K",J577&lt;7500,"5.5-7.5K",J577&gt;=7500,"7.5K+")</f>
        <v>7.5K+</v>
      </c>
      <c r="U577">
        <f t="shared" si="8"/>
        <v>1</v>
      </c>
    </row>
    <row r="578" spans="1:21" x14ac:dyDescent="0.25">
      <c r="A578">
        <v>1322</v>
      </c>
      <c r="B578">
        <v>53</v>
      </c>
      <c r="C578" t="s">
        <v>23</v>
      </c>
      <c r="D578" t="s">
        <v>17</v>
      </c>
      <c r="E578" t="s">
        <v>35</v>
      </c>
      <c r="F578" t="s">
        <v>38</v>
      </c>
      <c r="G578" t="s">
        <v>33</v>
      </c>
      <c r="H578" t="s">
        <v>34</v>
      </c>
      <c r="I578">
        <v>24</v>
      </c>
      <c r="J578" s="2">
        <v>9838</v>
      </c>
      <c r="K578" t="s">
        <v>42</v>
      </c>
      <c r="L578">
        <v>4</v>
      </c>
      <c r="M578">
        <v>3</v>
      </c>
      <c r="N578">
        <v>8</v>
      </c>
      <c r="O578">
        <v>2</v>
      </c>
      <c r="P578">
        <v>29</v>
      </c>
      <c r="Q578" t="s">
        <v>22</v>
      </c>
      <c r="R578" t="str" cm="1">
        <f t="array" ref="R578">_xlfn.IFS(N578&lt;=1,"0-1 yrs",N578&lt;=4,"2-4 yrs",N578&lt;=9,"5-9 yrs",N578&gt;9,"10+ yrs")</f>
        <v>5-9 yrs</v>
      </c>
      <c r="S578" t="str" cm="1">
        <f t="array" ref="S578">_xlfn.IFS(B578&lt;=25,"20-25",B578&lt;=35,"26-35",B578&lt;=45,"36-45",B578&gt;45,"46+")</f>
        <v>46+</v>
      </c>
      <c r="T578" t="str" cm="1">
        <f t="array" ref="T578">_xlfn.IFS(J578&lt;3500,"&lt;3.5K",J578&lt;5500,"3.5-5.5K",J578&lt;7500,"5.5-7.5K",J578&gt;=7500,"7.5K+")</f>
        <v>7.5K+</v>
      </c>
      <c r="U578">
        <f t="shared" si="8"/>
        <v>0</v>
      </c>
    </row>
    <row r="579" spans="1:21" x14ac:dyDescent="0.25">
      <c r="A579">
        <v>1224</v>
      </c>
      <c r="B579">
        <v>44</v>
      </c>
      <c r="C579" t="s">
        <v>16</v>
      </c>
      <c r="D579" t="s">
        <v>27</v>
      </c>
      <c r="E579" t="s">
        <v>31</v>
      </c>
      <c r="F579" t="s">
        <v>26</v>
      </c>
      <c r="G579" t="s">
        <v>37</v>
      </c>
      <c r="H579" t="s">
        <v>30</v>
      </c>
      <c r="I579">
        <v>4</v>
      </c>
      <c r="J579" s="2">
        <v>9352</v>
      </c>
      <c r="K579" t="s">
        <v>22</v>
      </c>
      <c r="L579">
        <v>4</v>
      </c>
      <c r="M579">
        <v>3</v>
      </c>
      <c r="N579">
        <v>5</v>
      </c>
      <c r="O579">
        <v>3</v>
      </c>
      <c r="P579">
        <v>15</v>
      </c>
      <c r="Q579" t="s">
        <v>22</v>
      </c>
      <c r="R579" t="str" cm="1">
        <f t="array" ref="R579">_xlfn.IFS(N579&lt;=1,"0-1 yrs",N579&lt;=4,"2-4 yrs",N579&lt;=9,"5-9 yrs",N579&gt;9,"10+ yrs")</f>
        <v>5-9 yrs</v>
      </c>
      <c r="S579" t="str" cm="1">
        <f t="array" ref="S579">_xlfn.IFS(B579&lt;=25,"20-25",B579&lt;=35,"26-35",B579&lt;=45,"36-45",B579&gt;45,"46+")</f>
        <v>36-45</v>
      </c>
      <c r="T579" t="str" cm="1">
        <f t="array" ref="T579">_xlfn.IFS(J579&lt;3500,"&lt;3.5K",J579&lt;5500,"3.5-5.5K",J579&lt;7500,"5.5-7.5K",J579&gt;=7500,"7.5K+")</f>
        <v>7.5K+</v>
      </c>
      <c r="U579">
        <f t="shared" ref="U579:U642" si="9">IF(Q579="Yes",1,0)</f>
        <v>0</v>
      </c>
    </row>
    <row r="580" spans="1:21" x14ac:dyDescent="0.25">
      <c r="A580">
        <v>1213</v>
      </c>
      <c r="B580">
        <v>27</v>
      </c>
      <c r="C580" t="s">
        <v>16</v>
      </c>
      <c r="D580" t="s">
        <v>17</v>
      </c>
      <c r="E580" t="s">
        <v>35</v>
      </c>
      <c r="F580" t="s">
        <v>19</v>
      </c>
      <c r="G580" t="s">
        <v>33</v>
      </c>
      <c r="H580" t="s">
        <v>34</v>
      </c>
      <c r="I580">
        <v>22</v>
      </c>
      <c r="J580" s="2">
        <v>6872</v>
      </c>
      <c r="K580" t="s">
        <v>42</v>
      </c>
      <c r="L580">
        <v>4</v>
      </c>
      <c r="M580">
        <v>4</v>
      </c>
      <c r="N580">
        <v>2</v>
      </c>
      <c r="O580">
        <v>2</v>
      </c>
      <c r="P580">
        <v>7</v>
      </c>
      <c r="Q580" t="s">
        <v>22</v>
      </c>
      <c r="R580" t="str" cm="1">
        <f t="array" ref="R580">_xlfn.IFS(N580&lt;=1,"0-1 yrs",N580&lt;=4,"2-4 yrs",N580&lt;=9,"5-9 yrs",N580&gt;9,"10+ yrs")</f>
        <v>2-4 yrs</v>
      </c>
      <c r="S580" t="str" cm="1">
        <f t="array" ref="S580">_xlfn.IFS(B580&lt;=25,"20-25",B580&lt;=35,"26-35",B580&lt;=45,"36-45",B580&gt;45,"46+")</f>
        <v>26-35</v>
      </c>
      <c r="T580" t="str" cm="1">
        <f t="array" ref="T580">_xlfn.IFS(J580&lt;3500,"&lt;3.5K",J580&lt;5500,"3.5-5.5K",J580&lt;7500,"5.5-7.5K",J580&gt;=7500,"7.5K+")</f>
        <v>5.5-7.5K</v>
      </c>
      <c r="U580">
        <f t="shared" si="9"/>
        <v>0</v>
      </c>
    </row>
    <row r="581" spans="1:21" x14ac:dyDescent="0.25">
      <c r="A581">
        <v>1414</v>
      </c>
      <c r="B581">
        <v>54</v>
      </c>
      <c r="C581" t="s">
        <v>23</v>
      </c>
      <c r="D581" t="s">
        <v>27</v>
      </c>
      <c r="E581" t="s">
        <v>28</v>
      </c>
      <c r="F581" t="s">
        <v>38</v>
      </c>
      <c r="G581" t="s">
        <v>37</v>
      </c>
      <c r="H581" t="s">
        <v>34</v>
      </c>
      <c r="I581">
        <v>20</v>
      </c>
      <c r="J581" s="2">
        <v>17023</v>
      </c>
      <c r="K581" t="s">
        <v>22</v>
      </c>
      <c r="L581">
        <v>4</v>
      </c>
      <c r="M581">
        <v>1</v>
      </c>
      <c r="N581">
        <v>2</v>
      </c>
      <c r="O581">
        <v>0</v>
      </c>
      <c r="P581">
        <v>33</v>
      </c>
      <c r="Q581" t="s">
        <v>42</v>
      </c>
      <c r="R581" t="str" cm="1">
        <f t="array" ref="R581">_xlfn.IFS(N581&lt;=1,"0-1 yrs",N581&lt;=4,"2-4 yrs",N581&lt;=9,"5-9 yrs",N581&gt;9,"10+ yrs")</f>
        <v>2-4 yrs</v>
      </c>
      <c r="S581" t="str" cm="1">
        <f t="array" ref="S581">_xlfn.IFS(B581&lt;=25,"20-25",B581&lt;=35,"26-35",B581&lt;=45,"36-45",B581&gt;45,"46+")</f>
        <v>46+</v>
      </c>
      <c r="T581" t="str" cm="1">
        <f t="array" ref="T581">_xlfn.IFS(J581&lt;3500,"&lt;3.5K",J581&lt;5500,"3.5-5.5K",J581&lt;7500,"5.5-7.5K",J581&gt;=7500,"7.5K+")</f>
        <v>7.5K+</v>
      </c>
      <c r="U581">
        <f t="shared" si="9"/>
        <v>1</v>
      </c>
    </row>
    <row r="582" spans="1:21" x14ac:dyDescent="0.25">
      <c r="A582">
        <v>1173</v>
      </c>
      <c r="B582">
        <v>48</v>
      </c>
      <c r="C582" t="s">
        <v>16</v>
      </c>
      <c r="D582" t="s">
        <v>27</v>
      </c>
      <c r="E582" t="s">
        <v>31</v>
      </c>
      <c r="F582" t="s">
        <v>38</v>
      </c>
      <c r="G582" t="s">
        <v>33</v>
      </c>
      <c r="H582" t="s">
        <v>34</v>
      </c>
      <c r="I582">
        <v>26</v>
      </c>
      <c r="J582" s="2">
        <v>11046</v>
      </c>
      <c r="K582" t="s">
        <v>22</v>
      </c>
      <c r="L582">
        <v>1</v>
      </c>
      <c r="M582">
        <v>3</v>
      </c>
      <c r="N582">
        <v>12</v>
      </c>
      <c r="O582">
        <v>8</v>
      </c>
      <c r="P582">
        <v>28</v>
      </c>
      <c r="Q582" t="s">
        <v>22</v>
      </c>
      <c r="R582" t="str" cm="1">
        <f t="array" ref="R582">_xlfn.IFS(N582&lt;=1,"0-1 yrs",N582&lt;=4,"2-4 yrs",N582&lt;=9,"5-9 yrs",N582&gt;9,"10+ yrs")</f>
        <v>10+ yrs</v>
      </c>
      <c r="S582" t="str" cm="1">
        <f t="array" ref="S582">_xlfn.IFS(B582&lt;=25,"20-25",B582&lt;=35,"26-35",B582&lt;=45,"36-45",B582&gt;45,"46+")</f>
        <v>46+</v>
      </c>
      <c r="T582" t="str" cm="1">
        <f t="array" ref="T582">_xlfn.IFS(J582&lt;3500,"&lt;3.5K",J582&lt;5500,"3.5-5.5K",J582&lt;7500,"5.5-7.5K",J582&gt;=7500,"7.5K+")</f>
        <v>7.5K+</v>
      </c>
      <c r="U582">
        <f t="shared" si="9"/>
        <v>0</v>
      </c>
    </row>
    <row r="583" spans="1:21" x14ac:dyDescent="0.25">
      <c r="A583">
        <v>1387</v>
      </c>
      <c r="B583">
        <v>54</v>
      </c>
      <c r="C583" t="s">
        <v>23</v>
      </c>
      <c r="D583" t="s">
        <v>17</v>
      </c>
      <c r="E583" t="s">
        <v>35</v>
      </c>
      <c r="F583" t="s">
        <v>29</v>
      </c>
      <c r="G583" t="s">
        <v>20</v>
      </c>
      <c r="H583" t="s">
        <v>21</v>
      </c>
      <c r="I583">
        <v>7</v>
      </c>
      <c r="J583" s="2">
        <v>9794</v>
      </c>
      <c r="K583" t="s">
        <v>42</v>
      </c>
      <c r="L583">
        <v>4</v>
      </c>
      <c r="M583">
        <v>4</v>
      </c>
      <c r="N583">
        <v>7</v>
      </c>
      <c r="O583">
        <v>3</v>
      </c>
      <c r="P583">
        <v>23</v>
      </c>
      <c r="Q583" t="s">
        <v>22</v>
      </c>
      <c r="R583" t="str" cm="1">
        <f t="array" ref="R583">_xlfn.IFS(N583&lt;=1,"0-1 yrs",N583&lt;=4,"2-4 yrs",N583&lt;=9,"5-9 yrs",N583&gt;9,"10+ yrs")</f>
        <v>5-9 yrs</v>
      </c>
      <c r="S583" t="str" cm="1">
        <f t="array" ref="S583">_xlfn.IFS(B583&lt;=25,"20-25",B583&lt;=35,"26-35",B583&lt;=45,"36-45",B583&gt;45,"46+")</f>
        <v>46+</v>
      </c>
      <c r="T583" t="str" cm="1">
        <f t="array" ref="T583">_xlfn.IFS(J583&lt;3500,"&lt;3.5K",J583&lt;5500,"3.5-5.5K",J583&lt;7500,"5.5-7.5K",J583&gt;=7500,"7.5K+")</f>
        <v>7.5K+</v>
      </c>
      <c r="U583">
        <f t="shared" si="9"/>
        <v>0</v>
      </c>
    </row>
    <row r="584" spans="1:21" x14ac:dyDescent="0.25">
      <c r="A584">
        <v>1080</v>
      </c>
      <c r="B584">
        <v>44</v>
      </c>
      <c r="C584" t="s">
        <v>16</v>
      </c>
      <c r="D584" t="s">
        <v>38</v>
      </c>
      <c r="E584" t="s">
        <v>49</v>
      </c>
      <c r="F584" t="s">
        <v>29</v>
      </c>
      <c r="G584" t="s">
        <v>37</v>
      </c>
      <c r="H584" t="s">
        <v>34</v>
      </c>
      <c r="I584">
        <v>21</v>
      </c>
      <c r="J584" s="2">
        <v>12561</v>
      </c>
      <c r="K584" t="s">
        <v>22</v>
      </c>
      <c r="L584">
        <v>1</v>
      </c>
      <c r="M584">
        <v>1</v>
      </c>
      <c r="N584">
        <v>14</v>
      </c>
      <c r="O584">
        <v>8</v>
      </c>
      <c r="P584">
        <v>24</v>
      </c>
      <c r="Q584" t="s">
        <v>22</v>
      </c>
      <c r="R584" t="str" cm="1">
        <f t="array" ref="R584">_xlfn.IFS(N584&lt;=1,"0-1 yrs",N584&lt;=4,"2-4 yrs",N584&lt;=9,"5-9 yrs",N584&gt;9,"10+ yrs")</f>
        <v>10+ yrs</v>
      </c>
      <c r="S584" t="str" cm="1">
        <f t="array" ref="S584">_xlfn.IFS(B584&lt;=25,"20-25",B584&lt;=35,"26-35",B584&lt;=45,"36-45",B584&gt;45,"46+")</f>
        <v>36-45</v>
      </c>
      <c r="T584" t="str" cm="1">
        <f t="array" ref="T584">_xlfn.IFS(J584&lt;3500,"&lt;3.5K",J584&lt;5500,"3.5-5.5K",J584&lt;7500,"5.5-7.5K",J584&gt;=7500,"7.5K+")</f>
        <v>7.5K+</v>
      </c>
      <c r="U584">
        <f t="shared" si="9"/>
        <v>0</v>
      </c>
    </row>
    <row r="585" spans="1:21" x14ac:dyDescent="0.25">
      <c r="A585">
        <v>1148</v>
      </c>
      <c r="B585">
        <v>59</v>
      </c>
      <c r="C585" t="s">
        <v>23</v>
      </c>
      <c r="D585" t="s">
        <v>27</v>
      </c>
      <c r="E585" t="s">
        <v>28</v>
      </c>
      <c r="F585" t="s">
        <v>38</v>
      </c>
      <c r="G585" t="s">
        <v>37</v>
      </c>
      <c r="H585" t="s">
        <v>34</v>
      </c>
      <c r="I585">
        <v>2</v>
      </c>
      <c r="J585" s="2">
        <v>13190</v>
      </c>
      <c r="K585" t="s">
        <v>42</v>
      </c>
      <c r="L585">
        <v>2</v>
      </c>
      <c r="M585">
        <v>1</v>
      </c>
      <c r="N585">
        <v>0</v>
      </c>
      <c r="O585">
        <v>0</v>
      </c>
      <c r="P585">
        <v>36</v>
      </c>
      <c r="Q585" t="s">
        <v>42</v>
      </c>
      <c r="R585" t="str" cm="1">
        <f t="array" ref="R585">_xlfn.IFS(N585&lt;=1,"0-1 yrs",N585&lt;=4,"2-4 yrs",N585&lt;=9,"5-9 yrs",N585&gt;9,"10+ yrs")</f>
        <v>0-1 yrs</v>
      </c>
      <c r="S585" t="str" cm="1">
        <f t="array" ref="S585">_xlfn.IFS(B585&lt;=25,"20-25",B585&lt;=35,"26-35",B585&lt;=45,"36-45",B585&gt;45,"46+")</f>
        <v>46+</v>
      </c>
      <c r="T585" t="str" cm="1">
        <f t="array" ref="T585">_xlfn.IFS(J585&lt;3500,"&lt;3.5K",J585&lt;5500,"3.5-5.5K",J585&lt;7500,"5.5-7.5K",J585&gt;=7500,"7.5K+")</f>
        <v>7.5K+</v>
      </c>
      <c r="U585">
        <f t="shared" si="9"/>
        <v>1</v>
      </c>
    </row>
    <row r="586" spans="1:21" x14ac:dyDescent="0.25">
      <c r="A586">
        <v>1382</v>
      </c>
      <c r="B586">
        <v>27</v>
      </c>
      <c r="C586" t="s">
        <v>16</v>
      </c>
      <c r="D586" t="s">
        <v>17</v>
      </c>
      <c r="E586" t="s">
        <v>35</v>
      </c>
      <c r="F586" t="s">
        <v>29</v>
      </c>
      <c r="G586" t="s">
        <v>33</v>
      </c>
      <c r="H586" t="s">
        <v>34</v>
      </c>
      <c r="I586">
        <v>23</v>
      </c>
      <c r="J586" s="2">
        <v>6647</v>
      </c>
      <c r="K586" t="s">
        <v>42</v>
      </c>
      <c r="L586">
        <v>3</v>
      </c>
      <c r="M586">
        <v>3</v>
      </c>
      <c r="N586">
        <v>1</v>
      </c>
      <c r="O586">
        <v>0</v>
      </c>
      <c r="P586">
        <v>7</v>
      </c>
      <c r="Q586" t="s">
        <v>22</v>
      </c>
      <c r="R586" t="str" cm="1">
        <f t="array" ref="R586">_xlfn.IFS(N586&lt;=1,"0-1 yrs",N586&lt;=4,"2-4 yrs",N586&lt;=9,"5-9 yrs",N586&gt;9,"10+ yrs")</f>
        <v>0-1 yrs</v>
      </c>
      <c r="S586" t="str" cm="1">
        <f t="array" ref="S586">_xlfn.IFS(B586&lt;=25,"20-25",B586&lt;=35,"26-35",B586&lt;=45,"36-45",B586&gt;45,"46+")</f>
        <v>26-35</v>
      </c>
      <c r="T586" t="str" cm="1">
        <f t="array" ref="T586">_xlfn.IFS(J586&lt;3500,"&lt;3.5K",J586&lt;5500,"3.5-5.5K",J586&lt;7500,"5.5-7.5K",J586&gt;=7500,"7.5K+")</f>
        <v>5.5-7.5K</v>
      </c>
      <c r="U586">
        <f t="shared" si="9"/>
        <v>0</v>
      </c>
    </row>
    <row r="587" spans="1:21" x14ac:dyDescent="0.25">
      <c r="A587">
        <v>1648</v>
      </c>
      <c r="B587">
        <v>33</v>
      </c>
      <c r="C587" t="s">
        <v>23</v>
      </c>
      <c r="D587" t="s">
        <v>24</v>
      </c>
      <c r="E587" t="s">
        <v>25</v>
      </c>
      <c r="F587" t="s">
        <v>36</v>
      </c>
      <c r="G587" t="s">
        <v>37</v>
      </c>
      <c r="H587" t="s">
        <v>30</v>
      </c>
      <c r="I587">
        <v>15</v>
      </c>
      <c r="J587" s="2">
        <v>10057</v>
      </c>
      <c r="K587" t="s">
        <v>42</v>
      </c>
      <c r="L587">
        <v>1</v>
      </c>
      <c r="M587">
        <v>2</v>
      </c>
      <c r="N587">
        <v>1</v>
      </c>
      <c r="O587">
        <v>0</v>
      </c>
      <c r="P587">
        <v>7</v>
      </c>
      <c r="Q587" t="s">
        <v>22</v>
      </c>
      <c r="R587" t="str" cm="1">
        <f t="array" ref="R587">_xlfn.IFS(N587&lt;=1,"0-1 yrs",N587&lt;=4,"2-4 yrs",N587&lt;=9,"5-9 yrs",N587&gt;9,"10+ yrs")</f>
        <v>0-1 yrs</v>
      </c>
      <c r="S587" t="str" cm="1">
        <f t="array" ref="S587">_xlfn.IFS(B587&lt;=25,"20-25",B587&lt;=35,"26-35",B587&lt;=45,"36-45",B587&gt;45,"46+")</f>
        <v>26-35</v>
      </c>
      <c r="T587" t="str" cm="1">
        <f t="array" ref="T587">_xlfn.IFS(J587&lt;3500,"&lt;3.5K",J587&lt;5500,"3.5-5.5K",J587&lt;7500,"5.5-7.5K",J587&gt;=7500,"7.5K+")</f>
        <v>7.5K+</v>
      </c>
      <c r="U587">
        <f t="shared" si="9"/>
        <v>0</v>
      </c>
    </row>
    <row r="588" spans="1:21" x14ac:dyDescent="0.25">
      <c r="A588">
        <v>1453</v>
      </c>
      <c r="B588">
        <v>24</v>
      </c>
      <c r="C588" t="s">
        <v>23</v>
      </c>
      <c r="D588" t="s">
        <v>27</v>
      </c>
      <c r="E588" t="s">
        <v>31</v>
      </c>
      <c r="F588" t="s">
        <v>41</v>
      </c>
      <c r="G588" t="s">
        <v>33</v>
      </c>
      <c r="H588" t="s">
        <v>21</v>
      </c>
      <c r="I588">
        <v>17</v>
      </c>
      <c r="J588" s="2">
        <v>7009</v>
      </c>
      <c r="K588" t="s">
        <v>22</v>
      </c>
      <c r="L588">
        <v>1</v>
      </c>
      <c r="M588">
        <v>1</v>
      </c>
      <c r="N588">
        <v>3</v>
      </c>
      <c r="O588">
        <v>0</v>
      </c>
      <c r="P588">
        <v>4</v>
      </c>
      <c r="Q588" t="s">
        <v>22</v>
      </c>
      <c r="R588" t="str" cm="1">
        <f t="array" ref="R588">_xlfn.IFS(N588&lt;=1,"0-1 yrs",N588&lt;=4,"2-4 yrs",N588&lt;=9,"5-9 yrs",N588&gt;9,"10+ yrs")</f>
        <v>2-4 yrs</v>
      </c>
      <c r="S588" t="str" cm="1">
        <f t="array" ref="S588">_xlfn.IFS(B588&lt;=25,"20-25",B588&lt;=35,"26-35",B588&lt;=45,"36-45",B588&gt;45,"46+")</f>
        <v>20-25</v>
      </c>
      <c r="T588" t="str" cm="1">
        <f t="array" ref="T588">_xlfn.IFS(J588&lt;3500,"&lt;3.5K",J588&lt;5500,"3.5-5.5K",J588&lt;7500,"5.5-7.5K",J588&gt;=7500,"7.5K+")</f>
        <v>5.5-7.5K</v>
      </c>
      <c r="U588">
        <f t="shared" si="9"/>
        <v>0</v>
      </c>
    </row>
    <row r="589" spans="1:21" x14ac:dyDescent="0.25">
      <c r="A589">
        <v>1904</v>
      </c>
      <c r="B589">
        <v>42</v>
      </c>
      <c r="C589" t="s">
        <v>23</v>
      </c>
      <c r="D589" t="s">
        <v>24</v>
      </c>
      <c r="E589" t="s">
        <v>25</v>
      </c>
      <c r="F589" t="s">
        <v>26</v>
      </c>
      <c r="G589" t="s">
        <v>33</v>
      </c>
      <c r="H589" t="s">
        <v>34</v>
      </c>
      <c r="I589">
        <v>21</v>
      </c>
      <c r="J589" s="2">
        <v>12705</v>
      </c>
      <c r="K589" t="s">
        <v>22</v>
      </c>
      <c r="L589">
        <v>3</v>
      </c>
      <c r="M589">
        <v>4</v>
      </c>
      <c r="N589">
        <v>14</v>
      </c>
      <c r="O589">
        <v>12</v>
      </c>
      <c r="P589">
        <v>21</v>
      </c>
      <c r="Q589" t="s">
        <v>22</v>
      </c>
      <c r="R589" t="str" cm="1">
        <f t="array" ref="R589">_xlfn.IFS(N589&lt;=1,"0-1 yrs",N589&lt;=4,"2-4 yrs",N589&lt;=9,"5-9 yrs",N589&gt;9,"10+ yrs")</f>
        <v>10+ yrs</v>
      </c>
      <c r="S589" t="str" cm="1">
        <f t="array" ref="S589">_xlfn.IFS(B589&lt;=25,"20-25",B589&lt;=35,"26-35",B589&lt;=45,"36-45",B589&gt;45,"46+")</f>
        <v>36-45</v>
      </c>
      <c r="T589" t="str" cm="1">
        <f t="array" ref="T589">_xlfn.IFS(J589&lt;3500,"&lt;3.5K",J589&lt;5500,"3.5-5.5K",J589&lt;7500,"5.5-7.5K",J589&gt;=7500,"7.5K+")</f>
        <v>7.5K+</v>
      </c>
      <c r="U589">
        <f t="shared" si="9"/>
        <v>0</v>
      </c>
    </row>
    <row r="590" spans="1:21" x14ac:dyDescent="0.25">
      <c r="A590">
        <v>1974</v>
      </c>
      <c r="B590">
        <v>52</v>
      </c>
      <c r="C590" t="s">
        <v>23</v>
      </c>
      <c r="D590" t="s">
        <v>24</v>
      </c>
      <c r="E590" t="s">
        <v>46</v>
      </c>
      <c r="F590" t="s">
        <v>38</v>
      </c>
      <c r="G590" t="s">
        <v>33</v>
      </c>
      <c r="H590" t="s">
        <v>34</v>
      </c>
      <c r="I590">
        <v>17</v>
      </c>
      <c r="J590" s="2">
        <v>12125</v>
      </c>
      <c r="K590" t="s">
        <v>42</v>
      </c>
      <c r="L590">
        <v>1</v>
      </c>
      <c r="M590">
        <v>2</v>
      </c>
      <c r="N590">
        <v>4</v>
      </c>
      <c r="O590">
        <v>3</v>
      </c>
      <c r="P590">
        <v>32</v>
      </c>
      <c r="Q590" t="s">
        <v>42</v>
      </c>
      <c r="R590" t="str" cm="1">
        <f t="array" ref="R590">_xlfn.IFS(N590&lt;=1,"0-1 yrs",N590&lt;=4,"2-4 yrs",N590&lt;=9,"5-9 yrs",N590&gt;9,"10+ yrs")</f>
        <v>2-4 yrs</v>
      </c>
      <c r="S590" t="str" cm="1">
        <f t="array" ref="S590">_xlfn.IFS(B590&lt;=25,"20-25",B590&lt;=35,"26-35",B590&lt;=45,"36-45",B590&gt;45,"46+")</f>
        <v>46+</v>
      </c>
      <c r="T590" t="str" cm="1">
        <f t="array" ref="T590">_xlfn.IFS(J590&lt;3500,"&lt;3.5K",J590&lt;5500,"3.5-5.5K",J590&lt;7500,"5.5-7.5K",J590&gt;=7500,"7.5K+")</f>
        <v>7.5K+</v>
      </c>
      <c r="U590">
        <f t="shared" si="9"/>
        <v>1</v>
      </c>
    </row>
    <row r="591" spans="1:21" x14ac:dyDescent="0.25">
      <c r="A591">
        <v>1512</v>
      </c>
      <c r="B591">
        <v>25</v>
      </c>
      <c r="C591" t="s">
        <v>23</v>
      </c>
      <c r="D591" t="s">
        <v>38</v>
      </c>
      <c r="E591" t="s">
        <v>49</v>
      </c>
      <c r="F591" t="s">
        <v>41</v>
      </c>
      <c r="G591" t="s">
        <v>20</v>
      </c>
      <c r="H591" t="s">
        <v>34</v>
      </c>
      <c r="I591">
        <v>14</v>
      </c>
      <c r="J591" s="2">
        <v>7661</v>
      </c>
      <c r="K591" t="s">
        <v>42</v>
      </c>
      <c r="L591">
        <v>2</v>
      </c>
      <c r="M591">
        <v>4</v>
      </c>
      <c r="N591">
        <v>0</v>
      </c>
      <c r="O591">
        <v>0</v>
      </c>
      <c r="P591">
        <v>0</v>
      </c>
      <c r="Q591" t="s">
        <v>22</v>
      </c>
      <c r="R591" t="str" cm="1">
        <f t="array" ref="R591">_xlfn.IFS(N591&lt;=1,"0-1 yrs",N591&lt;=4,"2-4 yrs",N591&lt;=9,"5-9 yrs",N591&gt;9,"10+ yrs")</f>
        <v>0-1 yrs</v>
      </c>
      <c r="S591" t="str" cm="1">
        <f t="array" ref="S591">_xlfn.IFS(B591&lt;=25,"20-25",B591&lt;=35,"26-35",B591&lt;=45,"36-45",B591&gt;45,"46+")</f>
        <v>20-25</v>
      </c>
      <c r="T591" t="str" cm="1">
        <f t="array" ref="T591">_xlfn.IFS(J591&lt;3500,"&lt;3.5K",J591&lt;5500,"3.5-5.5K",J591&lt;7500,"5.5-7.5K",J591&gt;=7500,"7.5K+")</f>
        <v>7.5K+</v>
      </c>
      <c r="U591">
        <f t="shared" si="9"/>
        <v>0</v>
      </c>
    </row>
    <row r="592" spans="1:21" x14ac:dyDescent="0.25">
      <c r="A592">
        <v>1330</v>
      </c>
      <c r="B592">
        <v>32</v>
      </c>
      <c r="C592" t="s">
        <v>23</v>
      </c>
      <c r="D592" t="s">
        <v>24</v>
      </c>
      <c r="E592" t="s">
        <v>52</v>
      </c>
      <c r="F592" t="s">
        <v>36</v>
      </c>
      <c r="G592" t="s">
        <v>33</v>
      </c>
      <c r="H592" t="s">
        <v>21</v>
      </c>
      <c r="I592">
        <v>15</v>
      </c>
      <c r="J592" s="2">
        <v>6932</v>
      </c>
      <c r="K592" t="s">
        <v>22</v>
      </c>
      <c r="L592">
        <v>1</v>
      </c>
      <c r="M592">
        <v>2</v>
      </c>
      <c r="N592">
        <v>6</v>
      </c>
      <c r="O592">
        <v>6</v>
      </c>
      <c r="P592">
        <v>11</v>
      </c>
      <c r="Q592" t="s">
        <v>22</v>
      </c>
      <c r="R592" t="str" cm="1">
        <f t="array" ref="R592">_xlfn.IFS(N592&lt;=1,"0-1 yrs",N592&lt;=4,"2-4 yrs",N592&lt;=9,"5-9 yrs",N592&gt;9,"10+ yrs")</f>
        <v>5-9 yrs</v>
      </c>
      <c r="S592" t="str" cm="1">
        <f t="array" ref="S592">_xlfn.IFS(B592&lt;=25,"20-25",B592&lt;=35,"26-35",B592&lt;=45,"36-45",B592&gt;45,"46+")</f>
        <v>26-35</v>
      </c>
      <c r="T592" t="str" cm="1">
        <f t="array" ref="T592">_xlfn.IFS(J592&lt;3500,"&lt;3.5K",J592&lt;5500,"3.5-5.5K",J592&lt;7500,"5.5-7.5K",J592&gt;=7500,"7.5K+")</f>
        <v>5.5-7.5K</v>
      </c>
      <c r="U592">
        <f t="shared" si="9"/>
        <v>0</v>
      </c>
    </row>
    <row r="593" spans="1:21" x14ac:dyDescent="0.25">
      <c r="A593">
        <v>1827</v>
      </c>
      <c r="B593">
        <v>34</v>
      </c>
      <c r="C593" t="s">
        <v>16</v>
      </c>
      <c r="D593" t="s">
        <v>47</v>
      </c>
      <c r="E593" t="s">
        <v>48</v>
      </c>
      <c r="F593" t="s">
        <v>36</v>
      </c>
      <c r="G593" t="s">
        <v>37</v>
      </c>
      <c r="H593" t="s">
        <v>34</v>
      </c>
      <c r="I593">
        <v>25</v>
      </c>
      <c r="J593" s="2">
        <v>7482</v>
      </c>
      <c r="K593" t="s">
        <v>22</v>
      </c>
      <c r="L593">
        <v>3</v>
      </c>
      <c r="M593">
        <v>1</v>
      </c>
      <c r="N593">
        <v>3</v>
      </c>
      <c r="O593">
        <v>2</v>
      </c>
      <c r="P593">
        <v>12</v>
      </c>
      <c r="Q593" t="s">
        <v>22</v>
      </c>
      <c r="R593" t="str" cm="1">
        <f t="array" ref="R593">_xlfn.IFS(N593&lt;=1,"0-1 yrs",N593&lt;=4,"2-4 yrs",N593&lt;=9,"5-9 yrs",N593&gt;9,"10+ yrs")</f>
        <v>2-4 yrs</v>
      </c>
      <c r="S593" t="str" cm="1">
        <f t="array" ref="S593">_xlfn.IFS(B593&lt;=25,"20-25",B593&lt;=35,"26-35",B593&lt;=45,"36-45",B593&gt;45,"46+")</f>
        <v>26-35</v>
      </c>
      <c r="T593" t="str" cm="1">
        <f t="array" ref="T593">_xlfn.IFS(J593&lt;3500,"&lt;3.5K",J593&lt;5500,"3.5-5.5K",J593&lt;7500,"5.5-7.5K",J593&gt;=7500,"7.5K+")</f>
        <v>5.5-7.5K</v>
      </c>
      <c r="U593">
        <f t="shared" si="9"/>
        <v>0</v>
      </c>
    </row>
    <row r="594" spans="1:21" x14ac:dyDescent="0.25">
      <c r="A594">
        <v>1537</v>
      </c>
      <c r="B594">
        <v>26</v>
      </c>
      <c r="C594" t="s">
        <v>16</v>
      </c>
      <c r="D594" t="s">
        <v>47</v>
      </c>
      <c r="E594" t="s">
        <v>53</v>
      </c>
      <c r="F594" t="s">
        <v>26</v>
      </c>
      <c r="G594" t="s">
        <v>33</v>
      </c>
      <c r="H594" t="s">
        <v>21</v>
      </c>
      <c r="I594">
        <v>21</v>
      </c>
      <c r="J594" s="2">
        <v>11540</v>
      </c>
      <c r="K594" t="s">
        <v>42</v>
      </c>
      <c r="L594">
        <v>4</v>
      </c>
      <c r="M594">
        <v>4</v>
      </c>
      <c r="N594">
        <v>0</v>
      </c>
      <c r="O594">
        <v>0</v>
      </c>
      <c r="P594">
        <v>2</v>
      </c>
      <c r="Q594" t="s">
        <v>22</v>
      </c>
      <c r="R594" t="str" cm="1">
        <f t="array" ref="R594">_xlfn.IFS(N594&lt;=1,"0-1 yrs",N594&lt;=4,"2-4 yrs",N594&lt;=9,"5-9 yrs",N594&gt;9,"10+ yrs")</f>
        <v>0-1 yrs</v>
      </c>
      <c r="S594" t="str" cm="1">
        <f t="array" ref="S594">_xlfn.IFS(B594&lt;=25,"20-25",B594&lt;=35,"26-35",B594&lt;=45,"36-45",B594&gt;45,"46+")</f>
        <v>26-35</v>
      </c>
      <c r="T594" t="str" cm="1">
        <f t="array" ref="T594">_xlfn.IFS(J594&lt;3500,"&lt;3.5K",J594&lt;5500,"3.5-5.5K",J594&lt;7500,"5.5-7.5K",J594&gt;=7500,"7.5K+")</f>
        <v>7.5K+</v>
      </c>
      <c r="U594">
        <f t="shared" si="9"/>
        <v>0</v>
      </c>
    </row>
    <row r="595" spans="1:21" x14ac:dyDescent="0.25">
      <c r="A595">
        <v>1691</v>
      </c>
      <c r="B595">
        <v>47</v>
      </c>
      <c r="C595" t="s">
        <v>23</v>
      </c>
      <c r="D595" t="s">
        <v>24</v>
      </c>
      <c r="E595" t="s">
        <v>25</v>
      </c>
      <c r="F595" t="s">
        <v>38</v>
      </c>
      <c r="G595" t="s">
        <v>37</v>
      </c>
      <c r="H595" t="s">
        <v>30</v>
      </c>
      <c r="I595">
        <v>14</v>
      </c>
      <c r="J595" s="2">
        <v>10533</v>
      </c>
      <c r="K595" t="s">
        <v>22</v>
      </c>
      <c r="L595">
        <v>1</v>
      </c>
      <c r="M595">
        <v>1</v>
      </c>
      <c r="N595">
        <v>3</v>
      </c>
      <c r="O595">
        <v>0</v>
      </c>
      <c r="P595">
        <v>17</v>
      </c>
      <c r="Q595" t="s">
        <v>42</v>
      </c>
      <c r="R595" t="str" cm="1">
        <f t="array" ref="R595">_xlfn.IFS(N595&lt;=1,"0-1 yrs",N595&lt;=4,"2-4 yrs",N595&lt;=9,"5-9 yrs",N595&gt;9,"10+ yrs")</f>
        <v>2-4 yrs</v>
      </c>
      <c r="S595" t="str" cm="1">
        <f t="array" ref="S595">_xlfn.IFS(B595&lt;=25,"20-25",B595&lt;=35,"26-35",B595&lt;=45,"36-45",B595&gt;45,"46+")</f>
        <v>46+</v>
      </c>
      <c r="T595" t="str" cm="1">
        <f t="array" ref="T595">_xlfn.IFS(J595&lt;3500,"&lt;3.5K",J595&lt;5500,"3.5-5.5K",J595&lt;7500,"5.5-7.5K",J595&gt;=7500,"7.5K+")</f>
        <v>7.5K+</v>
      </c>
      <c r="U595">
        <f t="shared" si="9"/>
        <v>1</v>
      </c>
    </row>
    <row r="596" spans="1:21" x14ac:dyDescent="0.25">
      <c r="A596">
        <v>1504</v>
      </c>
      <c r="B596">
        <v>59</v>
      </c>
      <c r="C596" t="s">
        <v>23</v>
      </c>
      <c r="D596" t="s">
        <v>24</v>
      </c>
      <c r="E596" t="s">
        <v>45</v>
      </c>
      <c r="F596" t="s">
        <v>38</v>
      </c>
      <c r="G596" t="s">
        <v>33</v>
      </c>
      <c r="H596" t="s">
        <v>21</v>
      </c>
      <c r="I596">
        <v>20</v>
      </c>
      <c r="J596" s="2">
        <v>10884</v>
      </c>
      <c r="K596" t="s">
        <v>22</v>
      </c>
      <c r="L596">
        <v>2</v>
      </c>
      <c r="M596">
        <v>1</v>
      </c>
      <c r="N596">
        <v>25</v>
      </c>
      <c r="O596">
        <v>5</v>
      </c>
      <c r="P596">
        <v>36</v>
      </c>
      <c r="Q596" t="s">
        <v>22</v>
      </c>
      <c r="R596" t="str" cm="1">
        <f t="array" ref="R596">_xlfn.IFS(N596&lt;=1,"0-1 yrs",N596&lt;=4,"2-4 yrs",N596&lt;=9,"5-9 yrs",N596&gt;9,"10+ yrs")</f>
        <v>10+ yrs</v>
      </c>
      <c r="S596" t="str" cm="1">
        <f t="array" ref="S596">_xlfn.IFS(B596&lt;=25,"20-25",B596&lt;=35,"26-35",B596&lt;=45,"36-45",B596&gt;45,"46+")</f>
        <v>46+</v>
      </c>
      <c r="T596" t="str" cm="1">
        <f t="array" ref="T596">_xlfn.IFS(J596&lt;3500,"&lt;3.5K",J596&lt;5500,"3.5-5.5K",J596&lt;7500,"5.5-7.5K",J596&gt;=7500,"7.5K+")</f>
        <v>7.5K+</v>
      </c>
      <c r="U596">
        <f t="shared" si="9"/>
        <v>0</v>
      </c>
    </row>
    <row r="597" spans="1:21" x14ac:dyDescent="0.25">
      <c r="A597">
        <v>1737</v>
      </c>
      <c r="B597">
        <v>24</v>
      </c>
      <c r="C597" t="s">
        <v>23</v>
      </c>
      <c r="D597" t="s">
        <v>27</v>
      </c>
      <c r="E597" t="s">
        <v>31</v>
      </c>
      <c r="F597" t="s">
        <v>41</v>
      </c>
      <c r="G597" t="s">
        <v>20</v>
      </c>
      <c r="H597" t="s">
        <v>34</v>
      </c>
      <c r="I597">
        <v>1</v>
      </c>
      <c r="J597" s="2">
        <v>6820</v>
      </c>
      <c r="K597" t="s">
        <v>42</v>
      </c>
      <c r="L597">
        <v>2</v>
      </c>
      <c r="M597">
        <v>2</v>
      </c>
      <c r="N597">
        <v>0</v>
      </c>
      <c r="O597">
        <v>0</v>
      </c>
      <c r="P597">
        <v>4</v>
      </c>
      <c r="Q597" t="s">
        <v>22</v>
      </c>
      <c r="R597" t="str" cm="1">
        <f t="array" ref="R597">_xlfn.IFS(N597&lt;=1,"0-1 yrs",N597&lt;=4,"2-4 yrs",N597&lt;=9,"5-9 yrs",N597&gt;9,"10+ yrs")</f>
        <v>0-1 yrs</v>
      </c>
      <c r="S597" t="str" cm="1">
        <f t="array" ref="S597">_xlfn.IFS(B597&lt;=25,"20-25",B597&lt;=35,"26-35",B597&lt;=45,"36-45",B597&gt;45,"46+")</f>
        <v>20-25</v>
      </c>
      <c r="T597" t="str" cm="1">
        <f t="array" ref="T597">_xlfn.IFS(J597&lt;3500,"&lt;3.5K",J597&lt;5500,"3.5-5.5K",J597&lt;7500,"5.5-7.5K",J597&gt;=7500,"7.5K+")</f>
        <v>5.5-7.5K</v>
      </c>
      <c r="U597">
        <f t="shared" si="9"/>
        <v>0</v>
      </c>
    </row>
    <row r="598" spans="1:21" x14ac:dyDescent="0.25">
      <c r="A598">
        <v>1279</v>
      </c>
      <c r="B598">
        <v>33</v>
      </c>
      <c r="C598" t="s">
        <v>16</v>
      </c>
      <c r="D598" t="s">
        <v>17</v>
      </c>
      <c r="E598" t="s">
        <v>18</v>
      </c>
      <c r="F598" t="s">
        <v>36</v>
      </c>
      <c r="G598" t="s">
        <v>33</v>
      </c>
      <c r="H598" t="s">
        <v>34</v>
      </c>
      <c r="I598">
        <v>23</v>
      </c>
      <c r="J598" s="2">
        <v>9756</v>
      </c>
      <c r="K598" t="s">
        <v>42</v>
      </c>
      <c r="L598">
        <v>1</v>
      </c>
      <c r="M598">
        <v>2</v>
      </c>
      <c r="N598">
        <v>1</v>
      </c>
      <c r="O598">
        <v>0</v>
      </c>
      <c r="P598">
        <v>12</v>
      </c>
      <c r="Q598" t="s">
        <v>42</v>
      </c>
      <c r="R598" t="str" cm="1">
        <f t="array" ref="R598">_xlfn.IFS(N598&lt;=1,"0-1 yrs",N598&lt;=4,"2-4 yrs",N598&lt;=9,"5-9 yrs",N598&gt;9,"10+ yrs")</f>
        <v>0-1 yrs</v>
      </c>
      <c r="S598" t="str" cm="1">
        <f t="array" ref="S598">_xlfn.IFS(B598&lt;=25,"20-25",B598&lt;=35,"26-35",B598&lt;=45,"36-45",B598&gt;45,"46+")</f>
        <v>26-35</v>
      </c>
      <c r="T598" t="str" cm="1">
        <f t="array" ref="T598">_xlfn.IFS(J598&lt;3500,"&lt;3.5K",J598&lt;5500,"3.5-5.5K",J598&lt;7500,"5.5-7.5K",J598&gt;=7500,"7.5K+")</f>
        <v>7.5K+</v>
      </c>
      <c r="U598">
        <f t="shared" si="9"/>
        <v>1</v>
      </c>
    </row>
    <row r="599" spans="1:21" x14ac:dyDescent="0.25">
      <c r="A599">
        <v>1881</v>
      </c>
      <c r="B599">
        <v>22</v>
      </c>
      <c r="C599" t="s">
        <v>23</v>
      </c>
      <c r="D599" t="s">
        <v>27</v>
      </c>
      <c r="E599" t="s">
        <v>44</v>
      </c>
      <c r="F599" t="s">
        <v>36</v>
      </c>
      <c r="G599" t="s">
        <v>37</v>
      </c>
      <c r="H599" t="s">
        <v>34</v>
      </c>
      <c r="I599">
        <v>16</v>
      </c>
      <c r="J599" s="2">
        <v>6919</v>
      </c>
      <c r="K599" t="s">
        <v>42</v>
      </c>
      <c r="L599">
        <v>2</v>
      </c>
      <c r="M599">
        <v>2</v>
      </c>
      <c r="N599">
        <v>0</v>
      </c>
      <c r="O599">
        <v>0</v>
      </c>
      <c r="P599">
        <v>0</v>
      </c>
      <c r="Q599" t="s">
        <v>22</v>
      </c>
      <c r="R599" t="str" cm="1">
        <f t="array" ref="R599">_xlfn.IFS(N599&lt;=1,"0-1 yrs",N599&lt;=4,"2-4 yrs",N599&lt;=9,"5-9 yrs",N599&gt;9,"10+ yrs")</f>
        <v>0-1 yrs</v>
      </c>
      <c r="S599" t="str" cm="1">
        <f t="array" ref="S599">_xlfn.IFS(B599&lt;=25,"20-25",B599&lt;=35,"26-35",B599&lt;=45,"36-45",B599&gt;45,"46+")</f>
        <v>20-25</v>
      </c>
      <c r="T599" t="str" cm="1">
        <f t="array" ref="T599">_xlfn.IFS(J599&lt;3500,"&lt;3.5K",J599&lt;5500,"3.5-5.5K",J599&lt;7500,"5.5-7.5K",J599&gt;=7500,"7.5K+")</f>
        <v>5.5-7.5K</v>
      </c>
      <c r="U599">
        <f t="shared" si="9"/>
        <v>0</v>
      </c>
    </row>
    <row r="600" spans="1:21" x14ac:dyDescent="0.25">
      <c r="A600">
        <v>1650</v>
      </c>
      <c r="B600">
        <v>30</v>
      </c>
      <c r="C600" t="s">
        <v>23</v>
      </c>
      <c r="D600" t="s">
        <v>24</v>
      </c>
      <c r="E600" t="s">
        <v>46</v>
      </c>
      <c r="F600" t="s">
        <v>38</v>
      </c>
      <c r="G600" t="s">
        <v>33</v>
      </c>
      <c r="H600" t="s">
        <v>30</v>
      </c>
      <c r="I600">
        <v>2</v>
      </c>
      <c r="J600" s="2">
        <v>4338</v>
      </c>
      <c r="K600" t="s">
        <v>22</v>
      </c>
      <c r="L600">
        <v>3</v>
      </c>
      <c r="M600">
        <v>1</v>
      </c>
      <c r="N600">
        <v>0</v>
      </c>
      <c r="O600">
        <v>0</v>
      </c>
      <c r="P600">
        <v>0</v>
      </c>
      <c r="Q600" t="s">
        <v>22</v>
      </c>
      <c r="R600" t="str" cm="1">
        <f t="array" ref="R600">_xlfn.IFS(N600&lt;=1,"0-1 yrs",N600&lt;=4,"2-4 yrs",N600&lt;=9,"5-9 yrs",N600&gt;9,"10+ yrs")</f>
        <v>0-1 yrs</v>
      </c>
      <c r="S600" t="str" cm="1">
        <f t="array" ref="S600">_xlfn.IFS(B600&lt;=25,"20-25",B600&lt;=35,"26-35",B600&lt;=45,"36-45",B600&gt;45,"46+")</f>
        <v>26-35</v>
      </c>
      <c r="T600" t="str" cm="1">
        <f t="array" ref="T600">_xlfn.IFS(J600&lt;3500,"&lt;3.5K",J600&lt;5500,"3.5-5.5K",J600&lt;7500,"5.5-7.5K",J600&gt;=7500,"7.5K+")</f>
        <v>3.5-5.5K</v>
      </c>
      <c r="U600">
        <f t="shared" si="9"/>
        <v>0</v>
      </c>
    </row>
    <row r="601" spans="1:21" x14ac:dyDescent="0.25">
      <c r="A601">
        <v>1390</v>
      </c>
      <c r="B601">
        <v>54</v>
      </c>
      <c r="C601" t="s">
        <v>23</v>
      </c>
      <c r="D601" t="s">
        <v>27</v>
      </c>
      <c r="E601" t="s">
        <v>28</v>
      </c>
      <c r="F601" t="s">
        <v>41</v>
      </c>
      <c r="G601" t="s">
        <v>37</v>
      </c>
      <c r="H601" t="s">
        <v>21</v>
      </c>
      <c r="I601">
        <v>22</v>
      </c>
      <c r="J601" s="2">
        <v>16510</v>
      </c>
      <c r="K601" t="s">
        <v>22</v>
      </c>
      <c r="L601">
        <v>3</v>
      </c>
      <c r="M601">
        <v>3</v>
      </c>
      <c r="N601">
        <v>14</v>
      </c>
      <c r="O601">
        <v>3</v>
      </c>
      <c r="P601">
        <v>28</v>
      </c>
      <c r="Q601" t="s">
        <v>22</v>
      </c>
      <c r="R601" t="str" cm="1">
        <f t="array" ref="R601">_xlfn.IFS(N601&lt;=1,"0-1 yrs",N601&lt;=4,"2-4 yrs",N601&lt;=9,"5-9 yrs",N601&gt;9,"10+ yrs")</f>
        <v>10+ yrs</v>
      </c>
      <c r="S601" t="str" cm="1">
        <f t="array" ref="S601">_xlfn.IFS(B601&lt;=25,"20-25",B601&lt;=35,"26-35",B601&lt;=45,"36-45",B601&gt;45,"46+")</f>
        <v>46+</v>
      </c>
      <c r="T601" t="str" cm="1">
        <f t="array" ref="T601">_xlfn.IFS(J601&lt;3500,"&lt;3.5K",J601&lt;5500,"3.5-5.5K",J601&lt;7500,"5.5-7.5K",J601&gt;=7500,"7.5K+")</f>
        <v>7.5K+</v>
      </c>
      <c r="U601">
        <f t="shared" si="9"/>
        <v>0</v>
      </c>
    </row>
    <row r="602" spans="1:21" x14ac:dyDescent="0.25">
      <c r="A602">
        <v>1394</v>
      </c>
      <c r="B602">
        <v>25</v>
      </c>
      <c r="C602" t="s">
        <v>23</v>
      </c>
      <c r="D602" t="s">
        <v>24</v>
      </c>
      <c r="E602" t="s">
        <v>52</v>
      </c>
      <c r="F602" t="s">
        <v>32</v>
      </c>
      <c r="G602" t="s">
        <v>33</v>
      </c>
      <c r="H602" t="s">
        <v>21</v>
      </c>
      <c r="I602">
        <v>15</v>
      </c>
      <c r="J602" s="2">
        <v>8424</v>
      </c>
      <c r="K602" t="s">
        <v>22</v>
      </c>
      <c r="L602">
        <v>4</v>
      </c>
      <c r="M602">
        <v>4</v>
      </c>
      <c r="N602">
        <v>3</v>
      </c>
      <c r="O602">
        <v>3</v>
      </c>
      <c r="P602">
        <v>5</v>
      </c>
      <c r="Q602" t="s">
        <v>22</v>
      </c>
      <c r="R602" t="str" cm="1">
        <f t="array" ref="R602">_xlfn.IFS(N602&lt;=1,"0-1 yrs",N602&lt;=4,"2-4 yrs",N602&lt;=9,"5-9 yrs",N602&gt;9,"10+ yrs")</f>
        <v>2-4 yrs</v>
      </c>
      <c r="S602" t="str" cm="1">
        <f t="array" ref="S602">_xlfn.IFS(B602&lt;=25,"20-25",B602&lt;=35,"26-35",B602&lt;=45,"36-45",B602&gt;45,"46+")</f>
        <v>20-25</v>
      </c>
      <c r="T602" t="str" cm="1">
        <f t="array" ref="T602">_xlfn.IFS(J602&lt;3500,"&lt;3.5K",J602&lt;5500,"3.5-5.5K",J602&lt;7500,"5.5-7.5K",J602&gt;=7500,"7.5K+")</f>
        <v>7.5K+</v>
      </c>
      <c r="U602">
        <f t="shared" si="9"/>
        <v>0</v>
      </c>
    </row>
    <row r="603" spans="1:21" x14ac:dyDescent="0.25">
      <c r="A603">
        <v>1154</v>
      </c>
      <c r="B603">
        <v>35</v>
      </c>
      <c r="C603" t="s">
        <v>16</v>
      </c>
      <c r="D603" t="s">
        <v>27</v>
      </c>
      <c r="E603" t="s">
        <v>28</v>
      </c>
      <c r="F603" t="s">
        <v>19</v>
      </c>
      <c r="G603" t="s">
        <v>20</v>
      </c>
      <c r="H603" t="s">
        <v>30</v>
      </c>
      <c r="I603">
        <v>21</v>
      </c>
      <c r="J603" s="2">
        <v>8982</v>
      </c>
      <c r="K603" t="s">
        <v>22</v>
      </c>
      <c r="L603">
        <v>3</v>
      </c>
      <c r="M603">
        <v>4</v>
      </c>
      <c r="N603">
        <v>6</v>
      </c>
      <c r="O603">
        <v>1</v>
      </c>
      <c r="P603">
        <v>8</v>
      </c>
      <c r="Q603" t="s">
        <v>22</v>
      </c>
      <c r="R603" t="str" cm="1">
        <f t="array" ref="R603">_xlfn.IFS(N603&lt;=1,"0-1 yrs",N603&lt;=4,"2-4 yrs",N603&lt;=9,"5-9 yrs",N603&gt;9,"10+ yrs")</f>
        <v>5-9 yrs</v>
      </c>
      <c r="S603" t="str" cm="1">
        <f t="array" ref="S603">_xlfn.IFS(B603&lt;=25,"20-25",B603&lt;=35,"26-35",B603&lt;=45,"36-45",B603&gt;45,"46+")</f>
        <v>26-35</v>
      </c>
      <c r="T603" t="str" cm="1">
        <f t="array" ref="T603">_xlfn.IFS(J603&lt;3500,"&lt;3.5K",J603&lt;5500,"3.5-5.5K",J603&lt;7500,"5.5-7.5K",J603&gt;=7500,"7.5K+")</f>
        <v>7.5K+</v>
      </c>
      <c r="U603">
        <f t="shared" si="9"/>
        <v>0</v>
      </c>
    </row>
    <row r="604" spans="1:21" x14ac:dyDescent="0.25">
      <c r="A604">
        <v>1454</v>
      </c>
      <c r="B604">
        <v>20</v>
      </c>
      <c r="C604" t="s">
        <v>23</v>
      </c>
      <c r="D604" t="s">
        <v>17</v>
      </c>
      <c r="E604" t="s">
        <v>35</v>
      </c>
      <c r="F604" t="s">
        <v>26</v>
      </c>
      <c r="G604" t="s">
        <v>37</v>
      </c>
      <c r="H604" t="s">
        <v>21</v>
      </c>
      <c r="I604">
        <v>1</v>
      </c>
      <c r="J604" s="2">
        <v>2756</v>
      </c>
      <c r="K604" t="s">
        <v>22</v>
      </c>
      <c r="L604">
        <v>2</v>
      </c>
      <c r="M604">
        <v>2</v>
      </c>
      <c r="N604">
        <v>0</v>
      </c>
      <c r="O604">
        <v>0</v>
      </c>
      <c r="P604">
        <v>0</v>
      </c>
      <c r="Q604" t="s">
        <v>42</v>
      </c>
      <c r="R604" t="str" cm="1">
        <f t="array" ref="R604">_xlfn.IFS(N604&lt;=1,"0-1 yrs",N604&lt;=4,"2-4 yrs",N604&lt;=9,"5-9 yrs",N604&gt;9,"10+ yrs")</f>
        <v>0-1 yrs</v>
      </c>
      <c r="S604" t="str" cm="1">
        <f t="array" ref="S604">_xlfn.IFS(B604&lt;=25,"20-25",B604&lt;=35,"26-35",B604&lt;=45,"36-45",B604&gt;45,"46+")</f>
        <v>20-25</v>
      </c>
      <c r="T604" t="str" cm="1">
        <f t="array" ref="T604">_xlfn.IFS(J604&lt;3500,"&lt;3.5K",J604&lt;5500,"3.5-5.5K",J604&lt;7500,"5.5-7.5K",J604&gt;=7500,"7.5K+")</f>
        <v>&lt;3.5K</v>
      </c>
      <c r="U604">
        <f t="shared" si="9"/>
        <v>1</v>
      </c>
    </row>
    <row r="605" spans="1:21" x14ac:dyDescent="0.25">
      <c r="A605">
        <v>1455</v>
      </c>
      <c r="B605">
        <v>42</v>
      </c>
      <c r="C605" t="s">
        <v>23</v>
      </c>
      <c r="D605" t="s">
        <v>47</v>
      </c>
      <c r="E605" t="s">
        <v>50</v>
      </c>
      <c r="F605" t="s">
        <v>19</v>
      </c>
      <c r="G605" t="s">
        <v>33</v>
      </c>
      <c r="H605" t="s">
        <v>30</v>
      </c>
      <c r="I605">
        <v>23</v>
      </c>
      <c r="J605" s="2">
        <v>11076</v>
      </c>
      <c r="K605" t="s">
        <v>22</v>
      </c>
      <c r="L605">
        <v>1</v>
      </c>
      <c r="M605">
        <v>1</v>
      </c>
      <c r="N605">
        <v>19</v>
      </c>
      <c r="O605">
        <v>7</v>
      </c>
      <c r="P605">
        <v>21</v>
      </c>
      <c r="Q605" t="s">
        <v>42</v>
      </c>
      <c r="R605" t="str" cm="1">
        <f t="array" ref="R605">_xlfn.IFS(N605&lt;=1,"0-1 yrs",N605&lt;=4,"2-4 yrs",N605&lt;=9,"5-9 yrs",N605&gt;9,"10+ yrs")</f>
        <v>10+ yrs</v>
      </c>
      <c r="S605" t="str" cm="1">
        <f t="array" ref="S605">_xlfn.IFS(B605&lt;=25,"20-25",B605&lt;=35,"26-35",B605&lt;=45,"36-45",B605&gt;45,"46+")</f>
        <v>36-45</v>
      </c>
      <c r="T605" t="str" cm="1">
        <f t="array" ref="T605">_xlfn.IFS(J605&lt;3500,"&lt;3.5K",J605&lt;5500,"3.5-5.5K",J605&lt;7500,"5.5-7.5K",J605&gt;=7500,"7.5K+")</f>
        <v>7.5K+</v>
      </c>
      <c r="U605">
        <f t="shared" si="9"/>
        <v>1</v>
      </c>
    </row>
    <row r="606" spans="1:21" x14ac:dyDescent="0.25">
      <c r="A606">
        <v>1419</v>
      </c>
      <c r="B606">
        <v>29</v>
      </c>
      <c r="C606" t="s">
        <v>23</v>
      </c>
      <c r="D606" t="s">
        <v>27</v>
      </c>
      <c r="E606" t="s">
        <v>43</v>
      </c>
      <c r="F606" t="s">
        <v>38</v>
      </c>
      <c r="G606" t="s">
        <v>20</v>
      </c>
      <c r="H606" t="s">
        <v>21</v>
      </c>
      <c r="I606">
        <v>20</v>
      </c>
      <c r="J606" s="2">
        <v>4968</v>
      </c>
      <c r="K606" t="s">
        <v>22</v>
      </c>
      <c r="L606">
        <v>1</v>
      </c>
      <c r="M606">
        <v>2</v>
      </c>
      <c r="N606">
        <v>1</v>
      </c>
      <c r="O606">
        <v>0</v>
      </c>
      <c r="P606">
        <v>1</v>
      </c>
      <c r="Q606" t="s">
        <v>22</v>
      </c>
      <c r="R606" t="str" cm="1">
        <f t="array" ref="R606">_xlfn.IFS(N606&lt;=1,"0-1 yrs",N606&lt;=4,"2-4 yrs",N606&lt;=9,"5-9 yrs",N606&gt;9,"10+ yrs")</f>
        <v>0-1 yrs</v>
      </c>
      <c r="S606" t="str" cm="1">
        <f t="array" ref="S606">_xlfn.IFS(B606&lt;=25,"20-25",B606&lt;=35,"26-35",B606&lt;=45,"36-45",B606&gt;45,"46+")</f>
        <v>26-35</v>
      </c>
      <c r="T606" t="str" cm="1">
        <f t="array" ref="T606">_xlfn.IFS(J606&lt;3500,"&lt;3.5K",J606&lt;5500,"3.5-5.5K",J606&lt;7500,"5.5-7.5K",J606&gt;=7500,"7.5K+")</f>
        <v>3.5-5.5K</v>
      </c>
      <c r="U606">
        <f t="shared" si="9"/>
        <v>0</v>
      </c>
    </row>
    <row r="607" spans="1:21" x14ac:dyDescent="0.25">
      <c r="A607">
        <v>1084</v>
      </c>
      <c r="B607">
        <v>47</v>
      </c>
      <c r="C607" t="s">
        <v>23</v>
      </c>
      <c r="D607" t="s">
        <v>27</v>
      </c>
      <c r="E607" t="s">
        <v>43</v>
      </c>
      <c r="F607" t="s">
        <v>19</v>
      </c>
      <c r="G607" t="s">
        <v>20</v>
      </c>
      <c r="H607" t="s">
        <v>34</v>
      </c>
      <c r="I607">
        <v>23</v>
      </c>
      <c r="J607" s="2">
        <v>7824</v>
      </c>
      <c r="K607" t="s">
        <v>42</v>
      </c>
      <c r="L607">
        <v>3</v>
      </c>
      <c r="M607">
        <v>1</v>
      </c>
      <c r="N607">
        <v>19</v>
      </c>
      <c r="O607">
        <v>19</v>
      </c>
      <c r="P607">
        <v>27</v>
      </c>
      <c r="Q607" t="s">
        <v>22</v>
      </c>
      <c r="R607" t="str" cm="1">
        <f t="array" ref="R607">_xlfn.IFS(N607&lt;=1,"0-1 yrs",N607&lt;=4,"2-4 yrs",N607&lt;=9,"5-9 yrs",N607&gt;9,"10+ yrs")</f>
        <v>10+ yrs</v>
      </c>
      <c r="S607" t="str" cm="1">
        <f t="array" ref="S607">_xlfn.IFS(B607&lt;=25,"20-25",B607&lt;=35,"26-35",B607&lt;=45,"36-45",B607&gt;45,"46+")</f>
        <v>46+</v>
      </c>
      <c r="T607" t="str" cm="1">
        <f t="array" ref="T607">_xlfn.IFS(J607&lt;3500,"&lt;3.5K",J607&lt;5500,"3.5-5.5K",J607&lt;7500,"5.5-7.5K",J607&gt;=7500,"7.5K+")</f>
        <v>7.5K+</v>
      </c>
      <c r="U607">
        <f t="shared" si="9"/>
        <v>0</v>
      </c>
    </row>
    <row r="608" spans="1:21" x14ac:dyDescent="0.25">
      <c r="A608">
        <v>1103</v>
      </c>
      <c r="B608">
        <v>35</v>
      </c>
      <c r="C608" t="s">
        <v>16</v>
      </c>
      <c r="D608" t="s">
        <v>24</v>
      </c>
      <c r="E608" t="s">
        <v>25</v>
      </c>
      <c r="F608" t="s">
        <v>26</v>
      </c>
      <c r="G608" t="s">
        <v>20</v>
      </c>
      <c r="H608" t="s">
        <v>30</v>
      </c>
      <c r="I608">
        <v>5</v>
      </c>
      <c r="J608" s="2">
        <v>11098</v>
      </c>
      <c r="K608" t="s">
        <v>22</v>
      </c>
      <c r="L608">
        <v>1</v>
      </c>
      <c r="M608">
        <v>3</v>
      </c>
      <c r="N608">
        <v>3</v>
      </c>
      <c r="O608">
        <v>0</v>
      </c>
      <c r="P608">
        <v>9</v>
      </c>
      <c r="Q608" t="s">
        <v>42</v>
      </c>
      <c r="R608" t="str" cm="1">
        <f t="array" ref="R608">_xlfn.IFS(N608&lt;=1,"0-1 yrs",N608&lt;=4,"2-4 yrs",N608&lt;=9,"5-9 yrs",N608&gt;9,"10+ yrs")</f>
        <v>2-4 yrs</v>
      </c>
      <c r="S608" t="str" cm="1">
        <f t="array" ref="S608">_xlfn.IFS(B608&lt;=25,"20-25",B608&lt;=35,"26-35",B608&lt;=45,"36-45",B608&gt;45,"46+")</f>
        <v>26-35</v>
      </c>
      <c r="T608" t="str" cm="1">
        <f t="array" ref="T608">_xlfn.IFS(J608&lt;3500,"&lt;3.5K",J608&lt;5500,"3.5-5.5K",J608&lt;7500,"5.5-7.5K",J608&gt;=7500,"7.5K+")</f>
        <v>7.5K+</v>
      </c>
      <c r="U608">
        <f t="shared" si="9"/>
        <v>1</v>
      </c>
    </row>
    <row r="609" spans="1:21" x14ac:dyDescent="0.25">
      <c r="A609">
        <v>1943</v>
      </c>
      <c r="B609">
        <v>56</v>
      </c>
      <c r="C609" t="s">
        <v>23</v>
      </c>
      <c r="D609" t="s">
        <v>27</v>
      </c>
      <c r="E609" t="s">
        <v>44</v>
      </c>
      <c r="F609" t="s">
        <v>26</v>
      </c>
      <c r="G609" t="s">
        <v>20</v>
      </c>
      <c r="H609" t="s">
        <v>21</v>
      </c>
      <c r="I609">
        <v>28</v>
      </c>
      <c r="J609" s="2">
        <v>9870</v>
      </c>
      <c r="K609" t="s">
        <v>22</v>
      </c>
      <c r="L609">
        <v>4</v>
      </c>
      <c r="M609">
        <v>3</v>
      </c>
      <c r="N609">
        <v>18</v>
      </c>
      <c r="O609">
        <v>6</v>
      </c>
      <c r="P609">
        <v>32</v>
      </c>
      <c r="Q609" t="s">
        <v>22</v>
      </c>
      <c r="R609" t="str" cm="1">
        <f t="array" ref="R609">_xlfn.IFS(N609&lt;=1,"0-1 yrs",N609&lt;=4,"2-4 yrs",N609&lt;=9,"5-9 yrs",N609&gt;9,"10+ yrs")</f>
        <v>10+ yrs</v>
      </c>
      <c r="S609" t="str" cm="1">
        <f t="array" ref="S609">_xlfn.IFS(B609&lt;=25,"20-25",B609&lt;=35,"26-35",B609&lt;=45,"36-45",B609&gt;45,"46+")</f>
        <v>46+</v>
      </c>
      <c r="T609" t="str" cm="1">
        <f t="array" ref="T609">_xlfn.IFS(J609&lt;3500,"&lt;3.5K",J609&lt;5500,"3.5-5.5K",J609&lt;7500,"5.5-7.5K",J609&gt;=7500,"7.5K+")</f>
        <v>7.5K+</v>
      </c>
      <c r="U609">
        <f t="shared" si="9"/>
        <v>0</v>
      </c>
    </row>
    <row r="610" spans="1:21" x14ac:dyDescent="0.25">
      <c r="A610">
        <v>1913</v>
      </c>
      <c r="B610">
        <v>49</v>
      </c>
      <c r="C610" t="s">
        <v>16</v>
      </c>
      <c r="D610" t="s">
        <v>38</v>
      </c>
      <c r="E610" t="s">
        <v>39</v>
      </c>
      <c r="F610" t="s">
        <v>41</v>
      </c>
      <c r="G610" t="s">
        <v>37</v>
      </c>
      <c r="H610" t="s">
        <v>30</v>
      </c>
      <c r="I610">
        <v>6</v>
      </c>
      <c r="J610" s="2">
        <v>11585</v>
      </c>
      <c r="K610" t="s">
        <v>42</v>
      </c>
      <c r="L610">
        <v>4</v>
      </c>
      <c r="M610">
        <v>4</v>
      </c>
      <c r="N610">
        <v>14</v>
      </c>
      <c r="O610">
        <v>9</v>
      </c>
      <c r="P610">
        <v>23</v>
      </c>
      <c r="Q610" t="s">
        <v>42</v>
      </c>
      <c r="R610" t="str" cm="1">
        <f t="array" ref="R610">_xlfn.IFS(N610&lt;=1,"0-1 yrs",N610&lt;=4,"2-4 yrs",N610&lt;=9,"5-9 yrs",N610&gt;9,"10+ yrs")</f>
        <v>10+ yrs</v>
      </c>
      <c r="S610" t="str" cm="1">
        <f t="array" ref="S610">_xlfn.IFS(B610&lt;=25,"20-25",B610&lt;=35,"26-35",B610&lt;=45,"36-45",B610&gt;45,"46+")</f>
        <v>46+</v>
      </c>
      <c r="T610" t="str" cm="1">
        <f t="array" ref="T610">_xlfn.IFS(J610&lt;3500,"&lt;3.5K",J610&lt;5500,"3.5-5.5K",J610&lt;7500,"5.5-7.5K",J610&gt;=7500,"7.5K+")</f>
        <v>7.5K+</v>
      </c>
      <c r="U610">
        <f t="shared" si="9"/>
        <v>1</v>
      </c>
    </row>
    <row r="611" spans="1:21" x14ac:dyDescent="0.25">
      <c r="A611">
        <v>1959</v>
      </c>
      <c r="B611">
        <v>59</v>
      </c>
      <c r="C611" t="s">
        <v>23</v>
      </c>
      <c r="D611" t="s">
        <v>47</v>
      </c>
      <c r="E611" t="s">
        <v>48</v>
      </c>
      <c r="F611" t="s">
        <v>29</v>
      </c>
      <c r="G611" t="s">
        <v>37</v>
      </c>
      <c r="H611" t="s">
        <v>34</v>
      </c>
      <c r="I611">
        <v>12</v>
      </c>
      <c r="J611" s="2">
        <v>10716</v>
      </c>
      <c r="K611" t="s">
        <v>22</v>
      </c>
      <c r="L611">
        <v>1</v>
      </c>
      <c r="M611">
        <v>3</v>
      </c>
      <c r="N611">
        <v>21</v>
      </c>
      <c r="O611">
        <v>14</v>
      </c>
      <c r="P611">
        <v>35</v>
      </c>
      <c r="Q611" t="s">
        <v>22</v>
      </c>
      <c r="R611" t="str" cm="1">
        <f t="array" ref="R611">_xlfn.IFS(N611&lt;=1,"0-1 yrs",N611&lt;=4,"2-4 yrs",N611&lt;=9,"5-9 yrs",N611&gt;9,"10+ yrs")</f>
        <v>10+ yrs</v>
      </c>
      <c r="S611" t="str" cm="1">
        <f t="array" ref="S611">_xlfn.IFS(B611&lt;=25,"20-25",B611&lt;=35,"26-35",B611&lt;=45,"36-45",B611&gt;45,"46+")</f>
        <v>46+</v>
      </c>
      <c r="T611" t="str" cm="1">
        <f t="array" ref="T611">_xlfn.IFS(J611&lt;3500,"&lt;3.5K",J611&lt;5500,"3.5-5.5K",J611&lt;7500,"5.5-7.5K",J611&gt;=7500,"7.5K+")</f>
        <v>7.5K+</v>
      </c>
      <c r="U611">
        <f t="shared" si="9"/>
        <v>0</v>
      </c>
    </row>
    <row r="612" spans="1:21" x14ac:dyDescent="0.25">
      <c r="A612">
        <v>1836</v>
      </c>
      <c r="B612">
        <v>36</v>
      </c>
      <c r="C612" t="s">
        <v>23</v>
      </c>
      <c r="D612" t="s">
        <v>17</v>
      </c>
      <c r="E612" t="s">
        <v>18</v>
      </c>
      <c r="F612" t="s">
        <v>26</v>
      </c>
      <c r="G612" t="s">
        <v>33</v>
      </c>
      <c r="H612" t="s">
        <v>30</v>
      </c>
      <c r="I612">
        <v>20</v>
      </c>
      <c r="J612" s="2">
        <v>8229</v>
      </c>
      <c r="K612" t="s">
        <v>22</v>
      </c>
      <c r="L612">
        <v>2</v>
      </c>
      <c r="M612">
        <v>3</v>
      </c>
      <c r="N612">
        <v>1</v>
      </c>
      <c r="O612">
        <v>1</v>
      </c>
      <c r="P612">
        <v>10</v>
      </c>
      <c r="Q612" t="s">
        <v>22</v>
      </c>
      <c r="R612" t="str" cm="1">
        <f t="array" ref="R612">_xlfn.IFS(N612&lt;=1,"0-1 yrs",N612&lt;=4,"2-4 yrs",N612&lt;=9,"5-9 yrs",N612&gt;9,"10+ yrs")</f>
        <v>0-1 yrs</v>
      </c>
      <c r="S612" t="str" cm="1">
        <f t="array" ref="S612">_xlfn.IFS(B612&lt;=25,"20-25",B612&lt;=35,"26-35",B612&lt;=45,"36-45",B612&gt;45,"46+")</f>
        <v>36-45</v>
      </c>
      <c r="T612" t="str" cm="1">
        <f t="array" ref="T612">_xlfn.IFS(J612&lt;3500,"&lt;3.5K",J612&lt;5500,"3.5-5.5K",J612&lt;7500,"5.5-7.5K",J612&gt;=7500,"7.5K+")</f>
        <v>7.5K+</v>
      </c>
      <c r="U612">
        <f t="shared" si="9"/>
        <v>0</v>
      </c>
    </row>
    <row r="613" spans="1:21" x14ac:dyDescent="0.25">
      <c r="A613">
        <v>1594</v>
      </c>
      <c r="B613">
        <v>49</v>
      </c>
      <c r="C613" t="s">
        <v>23</v>
      </c>
      <c r="D613" t="s">
        <v>17</v>
      </c>
      <c r="E613" t="s">
        <v>35</v>
      </c>
      <c r="F613" t="s">
        <v>32</v>
      </c>
      <c r="G613" t="s">
        <v>33</v>
      </c>
      <c r="H613" t="s">
        <v>34</v>
      </c>
      <c r="I613">
        <v>7</v>
      </c>
      <c r="J613" s="2">
        <v>10412</v>
      </c>
      <c r="K613" t="s">
        <v>22</v>
      </c>
      <c r="L613">
        <v>3</v>
      </c>
      <c r="M613">
        <v>2</v>
      </c>
      <c r="N613">
        <v>17</v>
      </c>
      <c r="O613">
        <v>15</v>
      </c>
      <c r="P613">
        <v>23</v>
      </c>
      <c r="Q613" t="s">
        <v>22</v>
      </c>
      <c r="R613" t="str" cm="1">
        <f t="array" ref="R613">_xlfn.IFS(N613&lt;=1,"0-1 yrs",N613&lt;=4,"2-4 yrs",N613&lt;=9,"5-9 yrs",N613&gt;9,"10+ yrs")</f>
        <v>10+ yrs</v>
      </c>
      <c r="S613" t="str" cm="1">
        <f t="array" ref="S613">_xlfn.IFS(B613&lt;=25,"20-25",B613&lt;=35,"26-35",B613&lt;=45,"36-45",B613&gt;45,"46+")</f>
        <v>46+</v>
      </c>
      <c r="T613" t="str" cm="1">
        <f t="array" ref="T613">_xlfn.IFS(J613&lt;3500,"&lt;3.5K",J613&lt;5500,"3.5-5.5K",J613&lt;7500,"5.5-7.5K",J613&gt;=7500,"7.5K+")</f>
        <v>7.5K+</v>
      </c>
      <c r="U613">
        <f t="shared" si="9"/>
        <v>0</v>
      </c>
    </row>
    <row r="614" spans="1:21" x14ac:dyDescent="0.25">
      <c r="A614">
        <v>1446</v>
      </c>
      <c r="B614">
        <v>60</v>
      </c>
      <c r="C614" t="s">
        <v>23</v>
      </c>
      <c r="D614" t="s">
        <v>17</v>
      </c>
      <c r="E614" t="s">
        <v>18</v>
      </c>
      <c r="F614" t="s">
        <v>36</v>
      </c>
      <c r="G614" t="s">
        <v>37</v>
      </c>
      <c r="H614" t="s">
        <v>30</v>
      </c>
      <c r="I614">
        <v>25</v>
      </c>
      <c r="J614" s="2">
        <v>14090</v>
      </c>
      <c r="K614" t="s">
        <v>42</v>
      </c>
      <c r="L614">
        <v>4</v>
      </c>
      <c r="M614">
        <v>2</v>
      </c>
      <c r="N614">
        <v>9</v>
      </c>
      <c r="O614">
        <v>6</v>
      </c>
      <c r="P614">
        <v>28</v>
      </c>
      <c r="Q614" t="s">
        <v>22</v>
      </c>
      <c r="R614" t="str" cm="1">
        <f t="array" ref="R614">_xlfn.IFS(N614&lt;=1,"0-1 yrs",N614&lt;=4,"2-4 yrs",N614&lt;=9,"5-9 yrs",N614&gt;9,"10+ yrs")</f>
        <v>5-9 yrs</v>
      </c>
      <c r="S614" t="str" cm="1">
        <f t="array" ref="S614">_xlfn.IFS(B614&lt;=25,"20-25",B614&lt;=35,"26-35",B614&lt;=45,"36-45",B614&gt;45,"46+")</f>
        <v>46+</v>
      </c>
      <c r="T614" t="str" cm="1">
        <f t="array" ref="T614">_xlfn.IFS(J614&lt;3500,"&lt;3.5K",J614&lt;5500,"3.5-5.5K",J614&lt;7500,"5.5-7.5K",J614&gt;=7500,"7.5K+")</f>
        <v>7.5K+</v>
      </c>
      <c r="U614">
        <f t="shared" si="9"/>
        <v>0</v>
      </c>
    </row>
    <row r="615" spans="1:21" x14ac:dyDescent="0.25">
      <c r="A615">
        <v>1813</v>
      </c>
      <c r="B615">
        <v>59</v>
      </c>
      <c r="C615" t="s">
        <v>23</v>
      </c>
      <c r="D615" t="s">
        <v>47</v>
      </c>
      <c r="E615" t="s">
        <v>48</v>
      </c>
      <c r="F615" t="s">
        <v>38</v>
      </c>
      <c r="G615" t="s">
        <v>37</v>
      </c>
      <c r="H615" t="s">
        <v>34</v>
      </c>
      <c r="I615">
        <v>13</v>
      </c>
      <c r="J615" s="2">
        <v>10764</v>
      </c>
      <c r="K615" t="s">
        <v>22</v>
      </c>
      <c r="L615">
        <v>3</v>
      </c>
      <c r="M615">
        <v>1</v>
      </c>
      <c r="N615">
        <v>21</v>
      </c>
      <c r="O615">
        <v>10</v>
      </c>
      <c r="P615">
        <v>34</v>
      </c>
      <c r="Q615" t="s">
        <v>22</v>
      </c>
      <c r="R615" t="str" cm="1">
        <f t="array" ref="R615">_xlfn.IFS(N615&lt;=1,"0-1 yrs",N615&lt;=4,"2-4 yrs",N615&lt;=9,"5-9 yrs",N615&gt;9,"10+ yrs")</f>
        <v>10+ yrs</v>
      </c>
      <c r="S615" t="str" cm="1">
        <f t="array" ref="S615">_xlfn.IFS(B615&lt;=25,"20-25",B615&lt;=35,"26-35",B615&lt;=45,"36-45",B615&gt;45,"46+")</f>
        <v>46+</v>
      </c>
      <c r="T615" t="str" cm="1">
        <f t="array" ref="T615">_xlfn.IFS(J615&lt;3500,"&lt;3.5K",J615&lt;5500,"3.5-5.5K",J615&lt;7500,"5.5-7.5K",J615&gt;=7500,"7.5K+")</f>
        <v>7.5K+</v>
      </c>
      <c r="U615">
        <f t="shared" si="9"/>
        <v>0</v>
      </c>
    </row>
    <row r="616" spans="1:21" x14ac:dyDescent="0.25">
      <c r="A616">
        <v>1245</v>
      </c>
      <c r="B616">
        <v>28</v>
      </c>
      <c r="C616" t="s">
        <v>23</v>
      </c>
      <c r="D616" t="s">
        <v>17</v>
      </c>
      <c r="E616" t="s">
        <v>35</v>
      </c>
      <c r="F616" t="s">
        <v>26</v>
      </c>
      <c r="G616" t="s">
        <v>20</v>
      </c>
      <c r="H616" t="s">
        <v>21</v>
      </c>
      <c r="I616">
        <v>28</v>
      </c>
      <c r="J616" s="2">
        <v>3493</v>
      </c>
      <c r="K616" t="s">
        <v>42</v>
      </c>
      <c r="L616">
        <v>2</v>
      </c>
      <c r="M616">
        <v>3</v>
      </c>
      <c r="N616">
        <v>1</v>
      </c>
      <c r="O616">
        <v>1</v>
      </c>
      <c r="P616">
        <v>3</v>
      </c>
      <c r="Q616" t="s">
        <v>42</v>
      </c>
      <c r="R616" t="str" cm="1">
        <f t="array" ref="R616">_xlfn.IFS(N616&lt;=1,"0-1 yrs",N616&lt;=4,"2-4 yrs",N616&lt;=9,"5-9 yrs",N616&gt;9,"10+ yrs")</f>
        <v>0-1 yrs</v>
      </c>
      <c r="S616" t="str" cm="1">
        <f t="array" ref="S616">_xlfn.IFS(B616&lt;=25,"20-25",B616&lt;=35,"26-35",B616&lt;=45,"36-45",B616&gt;45,"46+")</f>
        <v>26-35</v>
      </c>
      <c r="T616" t="str" cm="1">
        <f t="array" ref="T616">_xlfn.IFS(J616&lt;3500,"&lt;3.5K",J616&lt;5500,"3.5-5.5K",J616&lt;7500,"5.5-7.5K",J616&gt;=7500,"7.5K+")</f>
        <v>&lt;3.5K</v>
      </c>
      <c r="U616">
        <f t="shared" si="9"/>
        <v>1</v>
      </c>
    </row>
    <row r="617" spans="1:21" x14ac:dyDescent="0.25">
      <c r="A617">
        <v>1805</v>
      </c>
      <c r="B617">
        <v>33</v>
      </c>
      <c r="C617" t="s">
        <v>16</v>
      </c>
      <c r="D617" t="s">
        <v>38</v>
      </c>
      <c r="E617" t="s">
        <v>39</v>
      </c>
      <c r="F617" t="s">
        <v>38</v>
      </c>
      <c r="G617" t="s">
        <v>20</v>
      </c>
      <c r="H617" t="s">
        <v>34</v>
      </c>
      <c r="I617">
        <v>24</v>
      </c>
      <c r="J617" s="2">
        <v>7314</v>
      </c>
      <c r="K617" t="s">
        <v>22</v>
      </c>
      <c r="L617">
        <v>3</v>
      </c>
      <c r="M617">
        <v>3</v>
      </c>
      <c r="N617">
        <v>1</v>
      </c>
      <c r="O617">
        <v>0</v>
      </c>
      <c r="P617">
        <v>8</v>
      </c>
      <c r="Q617" t="s">
        <v>22</v>
      </c>
      <c r="R617" t="str" cm="1">
        <f t="array" ref="R617">_xlfn.IFS(N617&lt;=1,"0-1 yrs",N617&lt;=4,"2-4 yrs",N617&lt;=9,"5-9 yrs",N617&gt;9,"10+ yrs")</f>
        <v>0-1 yrs</v>
      </c>
      <c r="S617" t="str" cm="1">
        <f t="array" ref="S617">_xlfn.IFS(B617&lt;=25,"20-25",B617&lt;=35,"26-35",B617&lt;=45,"36-45",B617&gt;45,"46+")</f>
        <v>26-35</v>
      </c>
      <c r="T617" t="str" cm="1">
        <f t="array" ref="T617">_xlfn.IFS(J617&lt;3500,"&lt;3.5K",J617&lt;5500,"3.5-5.5K",J617&lt;7500,"5.5-7.5K",J617&gt;=7500,"7.5K+")</f>
        <v>5.5-7.5K</v>
      </c>
      <c r="U617">
        <f t="shared" si="9"/>
        <v>0</v>
      </c>
    </row>
    <row r="618" spans="1:21" x14ac:dyDescent="0.25">
      <c r="A618">
        <v>1110</v>
      </c>
      <c r="B618">
        <v>43</v>
      </c>
      <c r="C618" t="s">
        <v>16</v>
      </c>
      <c r="D618" t="s">
        <v>24</v>
      </c>
      <c r="E618" t="s">
        <v>46</v>
      </c>
      <c r="F618" t="s">
        <v>29</v>
      </c>
      <c r="G618" t="s">
        <v>20</v>
      </c>
      <c r="H618" t="s">
        <v>34</v>
      </c>
      <c r="I618">
        <v>12</v>
      </c>
      <c r="J618" s="2">
        <v>8666</v>
      </c>
      <c r="K618" t="s">
        <v>22</v>
      </c>
      <c r="L618">
        <v>2</v>
      </c>
      <c r="M618">
        <v>4</v>
      </c>
      <c r="N618">
        <v>7</v>
      </c>
      <c r="O618">
        <v>6</v>
      </c>
      <c r="P618">
        <v>14</v>
      </c>
      <c r="Q618" t="s">
        <v>22</v>
      </c>
      <c r="R618" t="str" cm="1">
        <f t="array" ref="R618">_xlfn.IFS(N618&lt;=1,"0-1 yrs",N618&lt;=4,"2-4 yrs",N618&lt;=9,"5-9 yrs",N618&gt;9,"10+ yrs")</f>
        <v>5-9 yrs</v>
      </c>
      <c r="S618" t="str" cm="1">
        <f t="array" ref="S618">_xlfn.IFS(B618&lt;=25,"20-25",B618&lt;=35,"26-35",B618&lt;=45,"36-45",B618&gt;45,"46+")</f>
        <v>36-45</v>
      </c>
      <c r="T618" t="str" cm="1">
        <f t="array" ref="T618">_xlfn.IFS(J618&lt;3500,"&lt;3.5K",J618&lt;5500,"3.5-5.5K",J618&lt;7500,"5.5-7.5K",J618&gt;=7500,"7.5K+")</f>
        <v>7.5K+</v>
      </c>
      <c r="U618">
        <f t="shared" si="9"/>
        <v>0</v>
      </c>
    </row>
    <row r="619" spans="1:21" x14ac:dyDescent="0.25">
      <c r="A619">
        <v>1287</v>
      </c>
      <c r="B619">
        <v>28</v>
      </c>
      <c r="C619" t="s">
        <v>16</v>
      </c>
      <c r="D619" t="s">
        <v>17</v>
      </c>
      <c r="E619" t="s">
        <v>35</v>
      </c>
      <c r="F619" t="s">
        <v>29</v>
      </c>
      <c r="G619" t="s">
        <v>33</v>
      </c>
      <c r="H619" t="s">
        <v>21</v>
      </c>
      <c r="I619">
        <v>4</v>
      </c>
      <c r="J619" s="2">
        <v>4424</v>
      </c>
      <c r="K619" t="s">
        <v>22</v>
      </c>
      <c r="L619">
        <v>3</v>
      </c>
      <c r="M619">
        <v>3</v>
      </c>
      <c r="N619">
        <v>1</v>
      </c>
      <c r="O619">
        <v>1</v>
      </c>
      <c r="P619">
        <v>2</v>
      </c>
      <c r="Q619" t="s">
        <v>42</v>
      </c>
      <c r="R619" t="str" cm="1">
        <f t="array" ref="R619">_xlfn.IFS(N619&lt;=1,"0-1 yrs",N619&lt;=4,"2-4 yrs",N619&lt;=9,"5-9 yrs",N619&gt;9,"10+ yrs")</f>
        <v>0-1 yrs</v>
      </c>
      <c r="S619" t="str" cm="1">
        <f t="array" ref="S619">_xlfn.IFS(B619&lt;=25,"20-25",B619&lt;=35,"26-35",B619&lt;=45,"36-45",B619&gt;45,"46+")</f>
        <v>26-35</v>
      </c>
      <c r="T619" t="str" cm="1">
        <f t="array" ref="T619">_xlfn.IFS(J619&lt;3500,"&lt;3.5K",J619&lt;5500,"3.5-5.5K",J619&lt;7500,"5.5-7.5K",J619&gt;=7500,"7.5K+")</f>
        <v>3.5-5.5K</v>
      </c>
      <c r="U619">
        <f t="shared" si="9"/>
        <v>1</v>
      </c>
    </row>
    <row r="620" spans="1:21" x14ac:dyDescent="0.25">
      <c r="A620">
        <v>1646</v>
      </c>
      <c r="B620">
        <v>31</v>
      </c>
      <c r="C620" t="s">
        <v>16</v>
      </c>
      <c r="D620" t="s">
        <v>17</v>
      </c>
      <c r="E620" t="s">
        <v>40</v>
      </c>
      <c r="F620" t="s">
        <v>19</v>
      </c>
      <c r="G620" t="s">
        <v>20</v>
      </c>
      <c r="H620" t="s">
        <v>21</v>
      </c>
      <c r="I620">
        <v>4</v>
      </c>
      <c r="J620" s="2">
        <v>6756</v>
      </c>
      <c r="K620" t="s">
        <v>22</v>
      </c>
      <c r="L620">
        <v>4</v>
      </c>
      <c r="M620">
        <v>3</v>
      </c>
      <c r="N620">
        <v>5</v>
      </c>
      <c r="O620">
        <v>1</v>
      </c>
      <c r="P620">
        <v>8</v>
      </c>
      <c r="Q620" t="s">
        <v>22</v>
      </c>
      <c r="R620" t="str" cm="1">
        <f t="array" ref="R620">_xlfn.IFS(N620&lt;=1,"0-1 yrs",N620&lt;=4,"2-4 yrs",N620&lt;=9,"5-9 yrs",N620&gt;9,"10+ yrs")</f>
        <v>5-9 yrs</v>
      </c>
      <c r="S620" t="str" cm="1">
        <f t="array" ref="S620">_xlfn.IFS(B620&lt;=25,"20-25",B620&lt;=35,"26-35",B620&lt;=45,"36-45",B620&gt;45,"46+")</f>
        <v>26-35</v>
      </c>
      <c r="T620" t="str" cm="1">
        <f t="array" ref="T620">_xlfn.IFS(J620&lt;3500,"&lt;3.5K",J620&lt;5500,"3.5-5.5K",J620&lt;7500,"5.5-7.5K",J620&gt;=7500,"7.5K+")</f>
        <v>5.5-7.5K</v>
      </c>
      <c r="U620">
        <f t="shared" si="9"/>
        <v>0</v>
      </c>
    </row>
    <row r="621" spans="1:21" x14ac:dyDescent="0.25">
      <c r="A621">
        <v>1743</v>
      </c>
      <c r="B621">
        <v>28</v>
      </c>
      <c r="C621" t="s">
        <v>23</v>
      </c>
      <c r="D621" t="s">
        <v>27</v>
      </c>
      <c r="E621" t="s">
        <v>44</v>
      </c>
      <c r="F621" t="s">
        <v>38</v>
      </c>
      <c r="G621" t="s">
        <v>33</v>
      </c>
      <c r="H621" t="s">
        <v>21</v>
      </c>
      <c r="I621">
        <v>6</v>
      </c>
      <c r="J621" s="2">
        <v>4513</v>
      </c>
      <c r="K621" t="s">
        <v>22</v>
      </c>
      <c r="L621">
        <v>1</v>
      </c>
      <c r="M621">
        <v>1</v>
      </c>
      <c r="N621">
        <v>1</v>
      </c>
      <c r="O621">
        <v>1</v>
      </c>
      <c r="P621">
        <v>1</v>
      </c>
      <c r="Q621" t="s">
        <v>42</v>
      </c>
      <c r="R621" t="str" cm="1">
        <f t="array" ref="R621">_xlfn.IFS(N621&lt;=1,"0-1 yrs",N621&lt;=4,"2-4 yrs",N621&lt;=9,"5-9 yrs",N621&gt;9,"10+ yrs")</f>
        <v>0-1 yrs</v>
      </c>
      <c r="S621" t="str" cm="1">
        <f t="array" ref="S621">_xlfn.IFS(B621&lt;=25,"20-25",B621&lt;=35,"26-35",B621&lt;=45,"36-45",B621&gt;45,"46+")</f>
        <v>26-35</v>
      </c>
      <c r="T621" t="str" cm="1">
        <f t="array" ref="T621">_xlfn.IFS(J621&lt;3500,"&lt;3.5K",J621&lt;5500,"3.5-5.5K",J621&lt;7500,"5.5-7.5K",J621&gt;=7500,"7.5K+")</f>
        <v>3.5-5.5K</v>
      </c>
      <c r="U621">
        <f t="shared" si="9"/>
        <v>1</v>
      </c>
    </row>
    <row r="622" spans="1:21" x14ac:dyDescent="0.25">
      <c r="A622">
        <v>1170</v>
      </c>
      <c r="B622">
        <v>48</v>
      </c>
      <c r="C622" t="s">
        <v>16</v>
      </c>
      <c r="D622" t="s">
        <v>24</v>
      </c>
      <c r="E622" t="s">
        <v>25</v>
      </c>
      <c r="F622" t="s">
        <v>19</v>
      </c>
      <c r="G622" t="s">
        <v>20</v>
      </c>
      <c r="H622" t="s">
        <v>30</v>
      </c>
      <c r="I622">
        <v>6</v>
      </c>
      <c r="J622" s="2">
        <v>14737</v>
      </c>
      <c r="K622" t="s">
        <v>22</v>
      </c>
      <c r="L622">
        <v>3</v>
      </c>
      <c r="M622">
        <v>2</v>
      </c>
      <c r="N622">
        <v>19</v>
      </c>
      <c r="O622">
        <v>4</v>
      </c>
      <c r="P622">
        <v>19</v>
      </c>
      <c r="Q622" t="s">
        <v>22</v>
      </c>
      <c r="R622" t="str" cm="1">
        <f t="array" ref="R622">_xlfn.IFS(N622&lt;=1,"0-1 yrs",N622&lt;=4,"2-4 yrs",N622&lt;=9,"5-9 yrs",N622&gt;9,"10+ yrs")</f>
        <v>10+ yrs</v>
      </c>
      <c r="S622" t="str" cm="1">
        <f t="array" ref="S622">_xlfn.IFS(B622&lt;=25,"20-25",B622&lt;=35,"26-35",B622&lt;=45,"36-45",B622&gt;45,"46+")</f>
        <v>46+</v>
      </c>
      <c r="T622" t="str" cm="1">
        <f t="array" ref="T622">_xlfn.IFS(J622&lt;3500,"&lt;3.5K",J622&lt;5500,"3.5-5.5K",J622&lt;7500,"5.5-7.5K",J622&gt;=7500,"7.5K+")</f>
        <v>7.5K+</v>
      </c>
      <c r="U622">
        <f t="shared" si="9"/>
        <v>0</v>
      </c>
    </row>
    <row r="623" spans="1:21" x14ac:dyDescent="0.25">
      <c r="A623">
        <v>1625</v>
      </c>
      <c r="B623">
        <v>40</v>
      </c>
      <c r="C623" t="s">
        <v>23</v>
      </c>
      <c r="D623" t="s">
        <v>24</v>
      </c>
      <c r="E623" t="s">
        <v>45</v>
      </c>
      <c r="F623" t="s">
        <v>26</v>
      </c>
      <c r="G623" t="s">
        <v>33</v>
      </c>
      <c r="H623" t="s">
        <v>34</v>
      </c>
      <c r="I623">
        <v>5</v>
      </c>
      <c r="J623" s="2">
        <v>5199</v>
      </c>
      <c r="K623" t="s">
        <v>42</v>
      </c>
      <c r="L623">
        <v>1</v>
      </c>
      <c r="M623">
        <v>2</v>
      </c>
      <c r="N623">
        <v>1</v>
      </c>
      <c r="O623">
        <v>0</v>
      </c>
      <c r="P623">
        <v>1</v>
      </c>
      <c r="Q623" t="s">
        <v>42</v>
      </c>
      <c r="R623" t="str" cm="1">
        <f t="array" ref="R623">_xlfn.IFS(N623&lt;=1,"0-1 yrs",N623&lt;=4,"2-4 yrs",N623&lt;=9,"5-9 yrs",N623&gt;9,"10+ yrs")</f>
        <v>0-1 yrs</v>
      </c>
      <c r="S623" t="str" cm="1">
        <f t="array" ref="S623">_xlfn.IFS(B623&lt;=25,"20-25",B623&lt;=35,"26-35",B623&lt;=45,"36-45",B623&gt;45,"46+")</f>
        <v>36-45</v>
      </c>
      <c r="T623" t="str" cm="1">
        <f t="array" ref="T623">_xlfn.IFS(J623&lt;3500,"&lt;3.5K",J623&lt;5500,"3.5-5.5K",J623&lt;7500,"5.5-7.5K",J623&gt;=7500,"7.5K+")</f>
        <v>3.5-5.5K</v>
      </c>
      <c r="U623">
        <f t="shared" si="9"/>
        <v>1</v>
      </c>
    </row>
    <row r="624" spans="1:21" x14ac:dyDescent="0.25">
      <c r="A624">
        <v>1724</v>
      </c>
      <c r="B624">
        <v>41</v>
      </c>
      <c r="C624" t="s">
        <v>16</v>
      </c>
      <c r="D624" t="s">
        <v>17</v>
      </c>
      <c r="E624" t="s">
        <v>18</v>
      </c>
      <c r="F624" t="s">
        <v>38</v>
      </c>
      <c r="G624" t="s">
        <v>20</v>
      </c>
      <c r="H624" t="s">
        <v>30</v>
      </c>
      <c r="I624">
        <v>27</v>
      </c>
      <c r="J624" s="2">
        <v>10989</v>
      </c>
      <c r="K624" t="s">
        <v>22</v>
      </c>
      <c r="L624">
        <v>3</v>
      </c>
      <c r="M624">
        <v>3</v>
      </c>
      <c r="N624">
        <v>8</v>
      </c>
      <c r="O624">
        <v>4</v>
      </c>
      <c r="P624">
        <v>9</v>
      </c>
      <c r="Q624" t="s">
        <v>22</v>
      </c>
      <c r="R624" t="str" cm="1">
        <f t="array" ref="R624">_xlfn.IFS(N624&lt;=1,"0-1 yrs",N624&lt;=4,"2-4 yrs",N624&lt;=9,"5-9 yrs",N624&gt;9,"10+ yrs")</f>
        <v>5-9 yrs</v>
      </c>
      <c r="S624" t="str" cm="1">
        <f t="array" ref="S624">_xlfn.IFS(B624&lt;=25,"20-25",B624&lt;=35,"26-35",B624&lt;=45,"36-45",B624&gt;45,"46+")</f>
        <v>36-45</v>
      </c>
      <c r="T624" t="str" cm="1">
        <f t="array" ref="T624">_xlfn.IFS(J624&lt;3500,"&lt;3.5K",J624&lt;5500,"3.5-5.5K",J624&lt;7500,"5.5-7.5K",J624&gt;=7500,"7.5K+")</f>
        <v>7.5K+</v>
      </c>
      <c r="U624">
        <f t="shared" si="9"/>
        <v>0</v>
      </c>
    </row>
    <row r="625" spans="1:21" x14ac:dyDescent="0.25">
      <c r="A625">
        <v>1844</v>
      </c>
      <c r="B625">
        <v>45</v>
      </c>
      <c r="C625" t="s">
        <v>23</v>
      </c>
      <c r="D625" t="s">
        <v>17</v>
      </c>
      <c r="E625" t="s">
        <v>40</v>
      </c>
      <c r="F625" t="s">
        <v>41</v>
      </c>
      <c r="G625" t="s">
        <v>33</v>
      </c>
      <c r="H625" t="s">
        <v>30</v>
      </c>
      <c r="I625">
        <v>14</v>
      </c>
      <c r="J625" s="2">
        <v>10296</v>
      </c>
      <c r="K625" t="s">
        <v>22</v>
      </c>
      <c r="L625">
        <v>1</v>
      </c>
      <c r="M625">
        <v>4</v>
      </c>
      <c r="N625">
        <v>10</v>
      </c>
      <c r="O625">
        <v>7</v>
      </c>
      <c r="P625">
        <v>19</v>
      </c>
      <c r="Q625" t="s">
        <v>22</v>
      </c>
      <c r="R625" t="str" cm="1">
        <f t="array" ref="R625">_xlfn.IFS(N625&lt;=1,"0-1 yrs",N625&lt;=4,"2-4 yrs",N625&lt;=9,"5-9 yrs",N625&gt;9,"10+ yrs")</f>
        <v>10+ yrs</v>
      </c>
      <c r="S625" t="str" cm="1">
        <f t="array" ref="S625">_xlfn.IFS(B625&lt;=25,"20-25",B625&lt;=35,"26-35",B625&lt;=45,"36-45",B625&gt;45,"46+")</f>
        <v>36-45</v>
      </c>
      <c r="T625" t="str" cm="1">
        <f t="array" ref="T625">_xlfn.IFS(J625&lt;3500,"&lt;3.5K",J625&lt;5500,"3.5-5.5K",J625&lt;7500,"5.5-7.5K",J625&gt;=7500,"7.5K+")</f>
        <v>7.5K+</v>
      </c>
      <c r="U625">
        <f t="shared" si="9"/>
        <v>0</v>
      </c>
    </row>
    <row r="626" spans="1:21" x14ac:dyDescent="0.25">
      <c r="A626">
        <v>1227</v>
      </c>
      <c r="B626">
        <v>38</v>
      </c>
      <c r="C626" t="s">
        <v>16</v>
      </c>
      <c r="D626" t="s">
        <v>24</v>
      </c>
      <c r="E626" t="s">
        <v>25</v>
      </c>
      <c r="F626" t="s">
        <v>26</v>
      </c>
      <c r="G626" t="s">
        <v>37</v>
      </c>
      <c r="H626" t="s">
        <v>30</v>
      </c>
      <c r="I626">
        <v>14</v>
      </c>
      <c r="J626" s="2">
        <v>12041</v>
      </c>
      <c r="K626" t="s">
        <v>22</v>
      </c>
      <c r="L626">
        <v>2</v>
      </c>
      <c r="M626">
        <v>1</v>
      </c>
      <c r="N626">
        <v>6</v>
      </c>
      <c r="O626">
        <v>4</v>
      </c>
      <c r="P626">
        <v>13</v>
      </c>
      <c r="Q626" t="s">
        <v>42</v>
      </c>
      <c r="R626" t="str" cm="1">
        <f t="array" ref="R626">_xlfn.IFS(N626&lt;=1,"0-1 yrs",N626&lt;=4,"2-4 yrs",N626&lt;=9,"5-9 yrs",N626&gt;9,"10+ yrs")</f>
        <v>5-9 yrs</v>
      </c>
      <c r="S626" t="str" cm="1">
        <f t="array" ref="S626">_xlfn.IFS(B626&lt;=25,"20-25",B626&lt;=35,"26-35",B626&lt;=45,"36-45",B626&gt;45,"46+")</f>
        <v>36-45</v>
      </c>
      <c r="T626" t="str" cm="1">
        <f t="array" ref="T626">_xlfn.IFS(J626&lt;3500,"&lt;3.5K",J626&lt;5500,"3.5-5.5K",J626&lt;7500,"5.5-7.5K",J626&gt;=7500,"7.5K+")</f>
        <v>7.5K+</v>
      </c>
      <c r="U626">
        <f t="shared" si="9"/>
        <v>1</v>
      </c>
    </row>
    <row r="627" spans="1:21" x14ac:dyDescent="0.25">
      <c r="A627">
        <v>1849</v>
      </c>
      <c r="B627">
        <v>46</v>
      </c>
      <c r="C627" t="s">
        <v>23</v>
      </c>
      <c r="D627" t="s">
        <v>47</v>
      </c>
      <c r="E627" t="s">
        <v>48</v>
      </c>
      <c r="F627" t="s">
        <v>41</v>
      </c>
      <c r="G627" t="s">
        <v>37</v>
      </c>
      <c r="H627" t="s">
        <v>34</v>
      </c>
      <c r="I627">
        <v>2</v>
      </c>
      <c r="J627" s="2">
        <v>9815</v>
      </c>
      <c r="K627" t="s">
        <v>22</v>
      </c>
      <c r="L627">
        <v>4</v>
      </c>
      <c r="M627">
        <v>4</v>
      </c>
      <c r="N627">
        <v>17</v>
      </c>
      <c r="O627">
        <v>3</v>
      </c>
      <c r="P627">
        <v>26</v>
      </c>
      <c r="Q627" t="s">
        <v>22</v>
      </c>
      <c r="R627" t="str" cm="1">
        <f t="array" ref="R627">_xlfn.IFS(N627&lt;=1,"0-1 yrs",N627&lt;=4,"2-4 yrs",N627&lt;=9,"5-9 yrs",N627&gt;9,"10+ yrs")</f>
        <v>10+ yrs</v>
      </c>
      <c r="S627" t="str" cm="1">
        <f t="array" ref="S627">_xlfn.IFS(B627&lt;=25,"20-25",B627&lt;=35,"26-35",B627&lt;=45,"36-45",B627&gt;45,"46+")</f>
        <v>46+</v>
      </c>
      <c r="T627" t="str" cm="1">
        <f t="array" ref="T627">_xlfn.IFS(J627&lt;3500,"&lt;3.5K",J627&lt;5500,"3.5-5.5K",J627&lt;7500,"5.5-7.5K",J627&gt;=7500,"7.5K+")</f>
        <v>7.5K+</v>
      </c>
      <c r="U627">
        <f t="shared" si="9"/>
        <v>0</v>
      </c>
    </row>
    <row r="628" spans="1:21" x14ac:dyDescent="0.25">
      <c r="A628">
        <v>1738</v>
      </c>
      <c r="B628">
        <v>45</v>
      </c>
      <c r="C628" t="s">
        <v>16</v>
      </c>
      <c r="D628" t="s">
        <v>47</v>
      </c>
      <c r="E628" t="s">
        <v>50</v>
      </c>
      <c r="F628" t="s">
        <v>26</v>
      </c>
      <c r="G628" t="s">
        <v>37</v>
      </c>
      <c r="H628" t="s">
        <v>30</v>
      </c>
      <c r="I628">
        <v>1</v>
      </c>
      <c r="J628" s="2">
        <v>9051</v>
      </c>
      <c r="K628" t="s">
        <v>42</v>
      </c>
      <c r="L628">
        <v>1</v>
      </c>
      <c r="M628">
        <v>4</v>
      </c>
      <c r="N628">
        <v>7</v>
      </c>
      <c r="O628">
        <v>4</v>
      </c>
      <c r="P628">
        <v>17</v>
      </c>
      <c r="Q628" t="s">
        <v>42</v>
      </c>
      <c r="R628" t="str" cm="1">
        <f t="array" ref="R628">_xlfn.IFS(N628&lt;=1,"0-1 yrs",N628&lt;=4,"2-4 yrs",N628&lt;=9,"5-9 yrs",N628&gt;9,"10+ yrs")</f>
        <v>5-9 yrs</v>
      </c>
      <c r="S628" t="str" cm="1">
        <f t="array" ref="S628">_xlfn.IFS(B628&lt;=25,"20-25",B628&lt;=35,"26-35",B628&lt;=45,"36-45",B628&gt;45,"46+")</f>
        <v>36-45</v>
      </c>
      <c r="T628" t="str" cm="1">
        <f t="array" ref="T628">_xlfn.IFS(J628&lt;3500,"&lt;3.5K",J628&lt;5500,"3.5-5.5K",J628&lt;7500,"5.5-7.5K",J628&gt;=7500,"7.5K+")</f>
        <v>7.5K+</v>
      </c>
      <c r="U628">
        <f t="shared" si="9"/>
        <v>1</v>
      </c>
    </row>
    <row r="629" spans="1:21" x14ac:dyDescent="0.25">
      <c r="A629">
        <v>1098</v>
      </c>
      <c r="B629">
        <v>47</v>
      </c>
      <c r="C629" t="s">
        <v>23</v>
      </c>
      <c r="D629" t="s">
        <v>27</v>
      </c>
      <c r="E629" t="s">
        <v>31</v>
      </c>
      <c r="F629" t="s">
        <v>19</v>
      </c>
      <c r="G629" t="s">
        <v>33</v>
      </c>
      <c r="H629" t="s">
        <v>30</v>
      </c>
      <c r="I629">
        <v>5</v>
      </c>
      <c r="J629" s="2">
        <v>10045</v>
      </c>
      <c r="K629" t="s">
        <v>42</v>
      </c>
      <c r="L629">
        <v>3</v>
      </c>
      <c r="M629">
        <v>4</v>
      </c>
      <c r="N629">
        <v>9</v>
      </c>
      <c r="O629">
        <v>2</v>
      </c>
      <c r="P629">
        <v>22</v>
      </c>
      <c r="Q629" t="s">
        <v>42</v>
      </c>
      <c r="R629" t="str" cm="1">
        <f t="array" ref="R629">_xlfn.IFS(N629&lt;=1,"0-1 yrs",N629&lt;=4,"2-4 yrs",N629&lt;=9,"5-9 yrs",N629&gt;9,"10+ yrs")</f>
        <v>5-9 yrs</v>
      </c>
      <c r="S629" t="str" cm="1">
        <f t="array" ref="S629">_xlfn.IFS(B629&lt;=25,"20-25",B629&lt;=35,"26-35",B629&lt;=45,"36-45",B629&gt;45,"46+")</f>
        <v>46+</v>
      </c>
      <c r="T629" t="str" cm="1">
        <f t="array" ref="T629">_xlfn.IFS(J629&lt;3500,"&lt;3.5K",J629&lt;5500,"3.5-5.5K",J629&lt;7500,"5.5-7.5K",J629&gt;=7500,"7.5K+")</f>
        <v>7.5K+</v>
      </c>
      <c r="U629">
        <f t="shared" si="9"/>
        <v>1</v>
      </c>
    </row>
    <row r="630" spans="1:21" x14ac:dyDescent="0.25">
      <c r="A630">
        <v>1498</v>
      </c>
      <c r="B630">
        <v>25</v>
      </c>
      <c r="C630" t="s">
        <v>16</v>
      </c>
      <c r="D630" t="s">
        <v>24</v>
      </c>
      <c r="E630" t="s">
        <v>45</v>
      </c>
      <c r="F630" t="s">
        <v>41</v>
      </c>
      <c r="G630" t="s">
        <v>20</v>
      </c>
      <c r="H630" t="s">
        <v>30</v>
      </c>
      <c r="I630">
        <v>6</v>
      </c>
      <c r="J630" s="2">
        <v>6120</v>
      </c>
      <c r="K630" t="s">
        <v>22</v>
      </c>
      <c r="L630">
        <v>1</v>
      </c>
      <c r="M630">
        <v>1</v>
      </c>
      <c r="N630">
        <v>0</v>
      </c>
      <c r="O630">
        <v>0</v>
      </c>
      <c r="P630">
        <v>0</v>
      </c>
      <c r="Q630" t="s">
        <v>42</v>
      </c>
      <c r="R630" t="str" cm="1">
        <f t="array" ref="R630">_xlfn.IFS(N630&lt;=1,"0-1 yrs",N630&lt;=4,"2-4 yrs",N630&lt;=9,"5-9 yrs",N630&gt;9,"10+ yrs")</f>
        <v>0-1 yrs</v>
      </c>
      <c r="S630" t="str" cm="1">
        <f t="array" ref="S630">_xlfn.IFS(B630&lt;=25,"20-25",B630&lt;=35,"26-35",B630&lt;=45,"36-45",B630&gt;45,"46+")</f>
        <v>20-25</v>
      </c>
      <c r="T630" t="str" cm="1">
        <f t="array" ref="T630">_xlfn.IFS(J630&lt;3500,"&lt;3.5K",J630&lt;5500,"3.5-5.5K",J630&lt;7500,"5.5-7.5K",J630&gt;=7500,"7.5K+")</f>
        <v>5.5-7.5K</v>
      </c>
      <c r="U630">
        <f t="shared" si="9"/>
        <v>1</v>
      </c>
    </row>
    <row r="631" spans="1:21" x14ac:dyDescent="0.25">
      <c r="A631">
        <v>1277</v>
      </c>
      <c r="B631">
        <v>35</v>
      </c>
      <c r="C631" t="s">
        <v>16</v>
      </c>
      <c r="D631" t="s">
        <v>27</v>
      </c>
      <c r="E631" t="s">
        <v>28</v>
      </c>
      <c r="F631" t="s">
        <v>36</v>
      </c>
      <c r="G631" t="s">
        <v>37</v>
      </c>
      <c r="H631" t="s">
        <v>21</v>
      </c>
      <c r="I631">
        <v>18</v>
      </c>
      <c r="J631" s="2">
        <v>11209</v>
      </c>
      <c r="K631" t="s">
        <v>22</v>
      </c>
      <c r="L631">
        <v>4</v>
      </c>
      <c r="M631">
        <v>1</v>
      </c>
      <c r="N631">
        <v>7</v>
      </c>
      <c r="O631">
        <v>0</v>
      </c>
      <c r="P631">
        <v>15</v>
      </c>
      <c r="Q631" t="s">
        <v>22</v>
      </c>
      <c r="R631" t="str" cm="1">
        <f t="array" ref="R631">_xlfn.IFS(N631&lt;=1,"0-1 yrs",N631&lt;=4,"2-4 yrs",N631&lt;=9,"5-9 yrs",N631&gt;9,"10+ yrs")</f>
        <v>5-9 yrs</v>
      </c>
      <c r="S631" t="str" cm="1">
        <f t="array" ref="S631">_xlfn.IFS(B631&lt;=25,"20-25",B631&lt;=35,"26-35",B631&lt;=45,"36-45",B631&gt;45,"46+")</f>
        <v>26-35</v>
      </c>
      <c r="T631" t="str" cm="1">
        <f t="array" ref="T631">_xlfn.IFS(J631&lt;3500,"&lt;3.5K",J631&lt;5500,"3.5-5.5K",J631&lt;7500,"5.5-7.5K",J631&gt;=7500,"7.5K+")</f>
        <v>7.5K+</v>
      </c>
      <c r="U631">
        <f t="shared" si="9"/>
        <v>0</v>
      </c>
    </row>
    <row r="632" spans="1:21" x14ac:dyDescent="0.25">
      <c r="A632">
        <v>1629</v>
      </c>
      <c r="B632">
        <v>37</v>
      </c>
      <c r="C632" t="s">
        <v>23</v>
      </c>
      <c r="D632" t="s">
        <v>54</v>
      </c>
      <c r="E632" t="s">
        <v>48</v>
      </c>
      <c r="F632" t="s">
        <v>26</v>
      </c>
      <c r="G632" t="s">
        <v>20</v>
      </c>
      <c r="H632" t="s">
        <v>34</v>
      </c>
      <c r="I632">
        <v>29</v>
      </c>
      <c r="J632" s="2">
        <v>9044</v>
      </c>
      <c r="K632" t="s">
        <v>22</v>
      </c>
      <c r="L632">
        <v>1</v>
      </c>
      <c r="M632">
        <v>2</v>
      </c>
      <c r="N632">
        <v>7</v>
      </c>
      <c r="O632">
        <v>6</v>
      </c>
      <c r="P632">
        <v>17</v>
      </c>
      <c r="Q632" t="s">
        <v>22</v>
      </c>
      <c r="R632" t="str" cm="1">
        <f t="array" ref="R632">_xlfn.IFS(N632&lt;=1,"0-1 yrs",N632&lt;=4,"2-4 yrs",N632&lt;=9,"5-9 yrs",N632&gt;9,"10+ yrs")</f>
        <v>5-9 yrs</v>
      </c>
      <c r="S632" t="str" cm="1">
        <f t="array" ref="S632">_xlfn.IFS(B632&lt;=25,"20-25",B632&lt;=35,"26-35",B632&lt;=45,"36-45",B632&gt;45,"46+")</f>
        <v>36-45</v>
      </c>
      <c r="T632" t="str" cm="1">
        <f t="array" ref="T632">_xlfn.IFS(J632&lt;3500,"&lt;3.5K",J632&lt;5500,"3.5-5.5K",J632&lt;7500,"5.5-7.5K",J632&gt;=7500,"7.5K+")</f>
        <v>7.5K+</v>
      </c>
      <c r="U632">
        <f t="shared" si="9"/>
        <v>0</v>
      </c>
    </row>
    <row r="633" spans="1:21" x14ac:dyDescent="0.25">
      <c r="A633">
        <v>1656</v>
      </c>
      <c r="B633">
        <v>43</v>
      </c>
      <c r="C633" t="s">
        <v>16</v>
      </c>
      <c r="D633" t="s">
        <v>24</v>
      </c>
      <c r="E633" t="s">
        <v>45</v>
      </c>
      <c r="F633" t="s">
        <v>32</v>
      </c>
      <c r="G633" t="s">
        <v>37</v>
      </c>
      <c r="H633" t="s">
        <v>21</v>
      </c>
      <c r="I633">
        <v>16</v>
      </c>
      <c r="J633" s="2">
        <v>10843</v>
      </c>
      <c r="K633" t="s">
        <v>42</v>
      </c>
      <c r="L633">
        <v>2</v>
      </c>
      <c r="M633">
        <v>2</v>
      </c>
      <c r="N633">
        <v>15</v>
      </c>
      <c r="O633">
        <v>5</v>
      </c>
      <c r="P633">
        <v>22</v>
      </c>
      <c r="Q633" t="s">
        <v>22</v>
      </c>
      <c r="R633" t="str" cm="1">
        <f t="array" ref="R633">_xlfn.IFS(N633&lt;=1,"0-1 yrs",N633&lt;=4,"2-4 yrs",N633&lt;=9,"5-9 yrs",N633&gt;9,"10+ yrs")</f>
        <v>10+ yrs</v>
      </c>
      <c r="S633" t="str" cm="1">
        <f t="array" ref="S633">_xlfn.IFS(B633&lt;=25,"20-25",B633&lt;=35,"26-35",B633&lt;=45,"36-45",B633&gt;45,"46+")</f>
        <v>36-45</v>
      </c>
      <c r="T633" t="str" cm="1">
        <f t="array" ref="T633">_xlfn.IFS(J633&lt;3500,"&lt;3.5K",J633&lt;5500,"3.5-5.5K",J633&lt;7500,"5.5-7.5K",J633&gt;=7500,"7.5K+")</f>
        <v>7.5K+</v>
      </c>
      <c r="U633">
        <f t="shared" si="9"/>
        <v>0</v>
      </c>
    </row>
    <row r="634" spans="1:21" x14ac:dyDescent="0.25">
      <c r="A634">
        <v>1795</v>
      </c>
      <c r="B634">
        <v>56</v>
      </c>
      <c r="C634" t="s">
        <v>16</v>
      </c>
      <c r="D634" t="s">
        <v>17</v>
      </c>
      <c r="E634" t="s">
        <v>18</v>
      </c>
      <c r="F634" t="s">
        <v>32</v>
      </c>
      <c r="G634" t="s">
        <v>20</v>
      </c>
      <c r="H634" t="s">
        <v>34</v>
      </c>
      <c r="I634">
        <v>23</v>
      </c>
      <c r="J634" s="2">
        <v>13767</v>
      </c>
      <c r="K634" t="s">
        <v>22</v>
      </c>
      <c r="L634">
        <v>3</v>
      </c>
      <c r="M634">
        <v>4</v>
      </c>
      <c r="N634">
        <v>2</v>
      </c>
      <c r="O634">
        <v>0</v>
      </c>
      <c r="P634">
        <v>27</v>
      </c>
      <c r="Q634" t="s">
        <v>22</v>
      </c>
      <c r="R634" t="str" cm="1">
        <f t="array" ref="R634">_xlfn.IFS(N634&lt;=1,"0-1 yrs",N634&lt;=4,"2-4 yrs",N634&lt;=9,"5-9 yrs",N634&gt;9,"10+ yrs")</f>
        <v>2-4 yrs</v>
      </c>
      <c r="S634" t="str" cm="1">
        <f t="array" ref="S634">_xlfn.IFS(B634&lt;=25,"20-25",B634&lt;=35,"26-35",B634&lt;=45,"36-45",B634&gt;45,"46+")</f>
        <v>46+</v>
      </c>
      <c r="T634" t="str" cm="1">
        <f t="array" ref="T634">_xlfn.IFS(J634&lt;3500,"&lt;3.5K",J634&lt;5500,"3.5-5.5K",J634&lt;7500,"5.5-7.5K",J634&gt;=7500,"7.5K+")</f>
        <v>7.5K+</v>
      </c>
      <c r="U634">
        <f t="shared" si="9"/>
        <v>0</v>
      </c>
    </row>
    <row r="635" spans="1:21" x14ac:dyDescent="0.25">
      <c r="A635">
        <v>1165</v>
      </c>
      <c r="B635">
        <v>21</v>
      </c>
      <c r="C635" t="s">
        <v>16</v>
      </c>
      <c r="D635" t="s">
        <v>24</v>
      </c>
      <c r="E635" t="s">
        <v>25</v>
      </c>
      <c r="F635" t="s">
        <v>38</v>
      </c>
      <c r="G635" t="s">
        <v>37</v>
      </c>
      <c r="H635" t="s">
        <v>30</v>
      </c>
      <c r="I635">
        <v>13</v>
      </c>
      <c r="J635" s="2">
        <v>7271</v>
      </c>
      <c r="K635" t="s">
        <v>22</v>
      </c>
      <c r="L635">
        <v>4</v>
      </c>
      <c r="M635">
        <v>2</v>
      </c>
      <c r="N635">
        <v>0</v>
      </c>
      <c r="O635">
        <v>0</v>
      </c>
      <c r="P635">
        <v>0</v>
      </c>
      <c r="Q635" t="s">
        <v>22</v>
      </c>
      <c r="R635" t="str" cm="1">
        <f t="array" ref="R635">_xlfn.IFS(N635&lt;=1,"0-1 yrs",N635&lt;=4,"2-4 yrs",N635&lt;=9,"5-9 yrs",N635&gt;9,"10+ yrs")</f>
        <v>0-1 yrs</v>
      </c>
      <c r="S635" t="str" cm="1">
        <f t="array" ref="S635">_xlfn.IFS(B635&lt;=25,"20-25",B635&lt;=35,"26-35",B635&lt;=45,"36-45",B635&gt;45,"46+")</f>
        <v>20-25</v>
      </c>
      <c r="T635" t="str" cm="1">
        <f t="array" ref="T635">_xlfn.IFS(J635&lt;3500,"&lt;3.5K",J635&lt;5500,"3.5-5.5K",J635&lt;7500,"5.5-7.5K",J635&gt;=7500,"7.5K+")</f>
        <v>5.5-7.5K</v>
      </c>
      <c r="U635">
        <f t="shared" si="9"/>
        <v>0</v>
      </c>
    </row>
    <row r="636" spans="1:21" x14ac:dyDescent="0.25">
      <c r="A636">
        <v>1018</v>
      </c>
      <c r="B636">
        <v>23</v>
      </c>
      <c r="C636" t="s">
        <v>23</v>
      </c>
      <c r="D636" t="s">
        <v>17</v>
      </c>
      <c r="E636" t="s">
        <v>35</v>
      </c>
      <c r="F636" t="s">
        <v>41</v>
      </c>
      <c r="G636" t="s">
        <v>33</v>
      </c>
      <c r="H636" t="s">
        <v>30</v>
      </c>
      <c r="I636">
        <v>22</v>
      </c>
      <c r="J636" s="2">
        <v>6233</v>
      </c>
      <c r="K636" t="s">
        <v>22</v>
      </c>
      <c r="L636">
        <v>2</v>
      </c>
      <c r="M636">
        <v>1</v>
      </c>
      <c r="N636">
        <v>1</v>
      </c>
      <c r="O636">
        <v>0</v>
      </c>
      <c r="P636">
        <v>3</v>
      </c>
      <c r="Q636" t="s">
        <v>22</v>
      </c>
      <c r="R636" t="str" cm="1">
        <f t="array" ref="R636">_xlfn.IFS(N636&lt;=1,"0-1 yrs",N636&lt;=4,"2-4 yrs",N636&lt;=9,"5-9 yrs",N636&gt;9,"10+ yrs")</f>
        <v>0-1 yrs</v>
      </c>
      <c r="S636" t="str" cm="1">
        <f t="array" ref="S636">_xlfn.IFS(B636&lt;=25,"20-25",B636&lt;=35,"26-35",B636&lt;=45,"36-45",B636&gt;45,"46+")</f>
        <v>20-25</v>
      </c>
      <c r="T636" t="str" cm="1">
        <f t="array" ref="T636">_xlfn.IFS(J636&lt;3500,"&lt;3.5K",J636&lt;5500,"3.5-5.5K",J636&lt;7500,"5.5-7.5K",J636&gt;=7500,"7.5K+")</f>
        <v>5.5-7.5K</v>
      </c>
      <c r="U636">
        <f t="shared" si="9"/>
        <v>0</v>
      </c>
    </row>
    <row r="637" spans="1:21" x14ac:dyDescent="0.25">
      <c r="A637">
        <v>1789</v>
      </c>
      <c r="B637">
        <v>37</v>
      </c>
      <c r="C637" t="s">
        <v>16</v>
      </c>
      <c r="D637" t="s">
        <v>24</v>
      </c>
      <c r="E637" t="s">
        <v>46</v>
      </c>
      <c r="F637" t="s">
        <v>32</v>
      </c>
      <c r="G637" t="s">
        <v>37</v>
      </c>
      <c r="H637" t="s">
        <v>34</v>
      </c>
      <c r="I637">
        <v>29</v>
      </c>
      <c r="J637" s="2">
        <v>7309</v>
      </c>
      <c r="K637" t="s">
        <v>42</v>
      </c>
      <c r="L637">
        <v>4</v>
      </c>
      <c r="M637">
        <v>4</v>
      </c>
      <c r="N637">
        <v>0</v>
      </c>
      <c r="O637">
        <v>0</v>
      </c>
      <c r="P637">
        <v>9</v>
      </c>
      <c r="Q637" t="s">
        <v>42</v>
      </c>
      <c r="R637" t="str" cm="1">
        <f t="array" ref="R637">_xlfn.IFS(N637&lt;=1,"0-1 yrs",N637&lt;=4,"2-4 yrs",N637&lt;=9,"5-9 yrs",N637&gt;9,"10+ yrs")</f>
        <v>0-1 yrs</v>
      </c>
      <c r="S637" t="str" cm="1">
        <f t="array" ref="S637">_xlfn.IFS(B637&lt;=25,"20-25",B637&lt;=35,"26-35",B637&lt;=45,"36-45",B637&gt;45,"46+")</f>
        <v>36-45</v>
      </c>
      <c r="T637" t="str" cm="1">
        <f t="array" ref="T637">_xlfn.IFS(J637&lt;3500,"&lt;3.5K",J637&lt;5500,"3.5-5.5K",J637&lt;7500,"5.5-7.5K",J637&gt;=7500,"7.5K+")</f>
        <v>5.5-7.5K</v>
      </c>
      <c r="U637">
        <f t="shared" si="9"/>
        <v>1</v>
      </c>
    </row>
    <row r="638" spans="1:21" x14ac:dyDescent="0.25">
      <c r="A638">
        <v>1900</v>
      </c>
      <c r="B638">
        <v>60</v>
      </c>
      <c r="C638" t="s">
        <v>23</v>
      </c>
      <c r="D638" t="s">
        <v>27</v>
      </c>
      <c r="E638" t="s">
        <v>44</v>
      </c>
      <c r="F638" t="s">
        <v>41</v>
      </c>
      <c r="G638" t="s">
        <v>33</v>
      </c>
      <c r="H638" t="s">
        <v>30</v>
      </c>
      <c r="I638">
        <v>16</v>
      </c>
      <c r="J638" s="2">
        <v>11428</v>
      </c>
      <c r="K638" t="s">
        <v>22</v>
      </c>
      <c r="L638">
        <v>1</v>
      </c>
      <c r="M638">
        <v>1</v>
      </c>
      <c r="N638">
        <v>8</v>
      </c>
      <c r="O638">
        <v>5</v>
      </c>
      <c r="P638">
        <v>30</v>
      </c>
      <c r="Q638" t="s">
        <v>42</v>
      </c>
      <c r="R638" t="str" cm="1">
        <f t="array" ref="R638">_xlfn.IFS(N638&lt;=1,"0-1 yrs",N638&lt;=4,"2-4 yrs",N638&lt;=9,"5-9 yrs",N638&gt;9,"10+ yrs")</f>
        <v>5-9 yrs</v>
      </c>
      <c r="S638" t="str" cm="1">
        <f t="array" ref="S638">_xlfn.IFS(B638&lt;=25,"20-25",B638&lt;=35,"26-35",B638&lt;=45,"36-45",B638&gt;45,"46+")</f>
        <v>46+</v>
      </c>
      <c r="T638" t="str" cm="1">
        <f t="array" ref="T638">_xlfn.IFS(J638&lt;3500,"&lt;3.5K",J638&lt;5500,"3.5-5.5K",J638&lt;7500,"5.5-7.5K",J638&gt;=7500,"7.5K+")</f>
        <v>7.5K+</v>
      </c>
      <c r="U638">
        <f t="shared" si="9"/>
        <v>1</v>
      </c>
    </row>
    <row r="639" spans="1:21" x14ac:dyDescent="0.25">
      <c r="A639">
        <v>1209</v>
      </c>
      <c r="B639">
        <v>40</v>
      </c>
      <c r="C639" t="s">
        <v>23</v>
      </c>
      <c r="D639" t="s">
        <v>27</v>
      </c>
      <c r="E639" t="s">
        <v>44</v>
      </c>
      <c r="F639" t="s">
        <v>36</v>
      </c>
      <c r="G639" t="s">
        <v>37</v>
      </c>
      <c r="H639" t="s">
        <v>21</v>
      </c>
      <c r="I639">
        <v>15</v>
      </c>
      <c r="J639" s="2">
        <v>8558</v>
      </c>
      <c r="K639" t="s">
        <v>42</v>
      </c>
      <c r="L639">
        <v>2</v>
      </c>
      <c r="M639">
        <v>1</v>
      </c>
      <c r="N639">
        <v>3</v>
      </c>
      <c r="O639">
        <v>1</v>
      </c>
      <c r="P639">
        <v>12</v>
      </c>
      <c r="Q639" t="s">
        <v>42</v>
      </c>
      <c r="R639" t="str" cm="1">
        <f t="array" ref="R639">_xlfn.IFS(N639&lt;=1,"0-1 yrs",N639&lt;=4,"2-4 yrs",N639&lt;=9,"5-9 yrs",N639&gt;9,"10+ yrs")</f>
        <v>2-4 yrs</v>
      </c>
      <c r="S639" t="str" cm="1">
        <f t="array" ref="S639">_xlfn.IFS(B639&lt;=25,"20-25",B639&lt;=35,"26-35",B639&lt;=45,"36-45",B639&gt;45,"46+")</f>
        <v>36-45</v>
      </c>
      <c r="T639" t="str" cm="1">
        <f t="array" ref="T639">_xlfn.IFS(J639&lt;3500,"&lt;3.5K",J639&lt;5500,"3.5-5.5K",J639&lt;7500,"5.5-7.5K",J639&gt;=7500,"7.5K+")</f>
        <v>7.5K+</v>
      </c>
      <c r="U639">
        <f t="shared" si="9"/>
        <v>1</v>
      </c>
    </row>
    <row r="640" spans="1:21" x14ac:dyDescent="0.25">
      <c r="A640">
        <v>1393</v>
      </c>
      <c r="B640">
        <v>44</v>
      </c>
      <c r="C640" t="s">
        <v>16</v>
      </c>
      <c r="D640" t="s">
        <v>17</v>
      </c>
      <c r="E640" t="s">
        <v>18</v>
      </c>
      <c r="F640" t="s">
        <v>38</v>
      </c>
      <c r="G640" t="s">
        <v>20</v>
      </c>
      <c r="H640" t="s">
        <v>30</v>
      </c>
      <c r="I640">
        <v>21</v>
      </c>
      <c r="J640" s="2">
        <v>11557</v>
      </c>
      <c r="K640" t="s">
        <v>42</v>
      </c>
      <c r="L640">
        <v>2</v>
      </c>
      <c r="M640">
        <v>2</v>
      </c>
      <c r="N640">
        <v>13</v>
      </c>
      <c r="O640">
        <v>2</v>
      </c>
      <c r="P640">
        <v>22</v>
      </c>
      <c r="Q640" t="s">
        <v>42</v>
      </c>
      <c r="R640" t="str" cm="1">
        <f t="array" ref="R640">_xlfn.IFS(N640&lt;=1,"0-1 yrs",N640&lt;=4,"2-4 yrs",N640&lt;=9,"5-9 yrs",N640&gt;9,"10+ yrs")</f>
        <v>10+ yrs</v>
      </c>
      <c r="S640" t="str" cm="1">
        <f t="array" ref="S640">_xlfn.IFS(B640&lt;=25,"20-25",B640&lt;=35,"26-35",B640&lt;=45,"36-45",B640&gt;45,"46+")</f>
        <v>36-45</v>
      </c>
      <c r="T640" t="str" cm="1">
        <f t="array" ref="T640">_xlfn.IFS(J640&lt;3500,"&lt;3.5K",J640&lt;5500,"3.5-5.5K",J640&lt;7500,"5.5-7.5K",J640&gt;=7500,"7.5K+")</f>
        <v>7.5K+</v>
      </c>
      <c r="U640">
        <f t="shared" si="9"/>
        <v>1</v>
      </c>
    </row>
    <row r="641" spans="1:21" x14ac:dyDescent="0.25">
      <c r="A641">
        <v>1176</v>
      </c>
      <c r="B641">
        <v>41</v>
      </c>
      <c r="C641" t="s">
        <v>16</v>
      </c>
      <c r="D641" t="s">
        <v>17</v>
      </c>
      <c r="E641" t="s">
        <v>35</v>
      </c>
      <c r="F641" t="s">
        <v>19</v>
      </c>
      <c r="G641" t="s">
        <v>33</v>
      </c>
      <c r="H641" t="s">
        <v>30</v>
      </c>
      <c r="I641">
        <v>15</v>
      </c>
      <c r="J641" s="2">
        <v>7804</v>
      </c>
      <c r="K641" t="s">
        <v>22</v>
      </c>
      <c r="L641">
        <v>1</v>
      </c>
      <c r="M641">
        <v>4</v>
      </c>
      <c r="N641">
        <v>7</v>
      </c>
      <c r="O641">
        <v>5</v>
      </c>
      <c r="P641">
        <v>13</v>
      </c>
      <c r="Q641" t="s">
        <v>22</v>
      </c>
      <c r="R641" t="str" cm="1">
        <f t="array" ref="R641">_xlfn.IFS(N641&lt;=1,"0-1 yrs",N641&lt;=4,"2-4 yrs",N641&lt;=9,"5-9 yrs",N641&gt;9,"10+ yrs")</f>
        <v>5-9 yrs</v>
      </c>
      <c r="S641" t="str" cm="1">
        <f t="array" ref="S641">_xlfn.IFS(B641&lt;=25,"20-25",B641&lt;=35,"26-35",B641&lt;=45,"36-45",B641&gt;45,"46+")</f>
        <v>36-45</v>
      </c>
      <c r="T641" t="str" cm="1">
        <f t="array" ref="T641">_xlfn.IFS(J641&lt;3500,"&lt;3.5K",J641&lt;5500,"3.5-5.5K",J641&lt;7500,"5.5-7.5K",J641&gt;=7500,"7.5K+")</f>
        <v>7.5K+</v>
      </c>
      <c r="U641">
        <f t="shared" si="9"/>
        <v>0</v>
      </c>
    </row>
    <row r="642" spans="1:21" x14ac:dyDescent="0.25">
      <c r="A642">
        <v>1659</v>
      </c>
      <c r="B642">
        <v>26</v>
      </c>
      <c r="C642" t="s">
        <v>23</v>
      </c>
      <c r="D642" t="s">
        <v>27</v>
      </c>
      <c r="E642" t="s">
        <v>31</v>
      </c>
      <c r="F642" t="s">
        <v>26</v>
      </c>
      <c r="G642" t="s">
        <v>33</v>
      </c>
      <c r="H642" t="s">
        <v>21</v>
      </c>
      <c r="I642">
        <v>19</v>
      </c>
      <c r="J642" s="2">
        <v>5419</v>
      </c>
      <c r="K642" t="s">
        <v>22</v>
      </c>
      <c r="L642">
        <v>2</v>
      </c>
      <c r="M642">
        <v>2</v>
      </c>
      <c r="N642">
        <v>0</v>
      </c>
      <c r="O642">
        <v>0</v>
      </c>
      <c r="P642">
        <v>0</v>
      </c>
      <c r="Q642" t="s">
        <v>22</v>
      </c>
      <c r="R642" t="str" cm="1">
        <f t="array" ref="R642">_xlfn.IFS(N642&lt;=1,"0-1 yrs",N642&lt;=4,"2-4 yrs",N642&lt;=9,"5-9 yrs",N642&gt;9,"10+ yrs")</f>
        <v>0-1 yrs</v>
      </c>
      <c r="S642" t="str" cm="1">
        <f t="array" ref="S642">_xlfn.IFS(B642&lt;=25,"20-25",B642&lt;=35,"26-35",B642&lt;=45,"36-45",B642&gt;45,"46+")</f>
        <v>26-35</v>
      </c>
      <c r="T642" t="str" cm="1">
        <f t="array" ref="T642">_xlfn.IFS(J642&lt;3500,"&lt;3.5K",J642&lt;5500,"3.5-5.5K",J642&lt;7500,"5.5-7.5K",J642&gt;=7500,"7.5K+")</f>
        <v>3.5-5.5K</v>
      </c>
      <c r="U642">
        <f t="shared" si="9"/>
        <v>0</v>
      </c>
    </row>
    <row r="643" spans="1:21" x14ac:dyDescent="0.25">
      <c r="A643">
        <v>1325</v>
      </c>
      <c r="B643">
        <v>42</v>
      </c>
      <c r="C643" t="s">
        <v>16</v>
      </c>
      <c r="D643" t="s">
        <v>24</v>
      </c>
      <c r="E643" t="s">
        <v>52</v>
      </c>
      <c r="F643" t="s">
        <v>36</v>
      </c>
      <c r="G643" t="s">
        <v>37</v>
      </c>
      <c r="H643" t="s">
        <v>21</v>
      </c>
      <c r="I643">
        <v>20</v>
      </c>
      <c r="J643" s="2">
        <v>10166</v>
      </c>
      <c r="K643" t="s">
        <v>22</v>
      </c>
      <c r="L643">
        <v>1</v>
      </c>
      <c r="M643">
        <v>4</v>
      </c>
      <c r="N643">
        <v>15</v>
      </c>
      <c r="O643">
        <v>15</v>
      </c>
      <c r="P643">
        <v>16</v>
      </c>
      <c r="Q643" t="s">
        <v>22</v>
      </c>
      <c r="R643" t="str" cm="1">
        <f t="array" ref="R643">_xlfn.IFS(N643&lt;=1,"0-1 yrs",N643&lt;=4,"2-4 yrs",N643&lt;=9,"5-9 yrs",N643&gt;9,"10+ yrs")</f>
        <v>10+ yrs</v>
      </c>
      <c r="S643" t="str" cm="1">
        <f t="array" ref="S643">_xlfn.IFS(B643&lt;=25,"20-25",B643&lt;=35,"26-35",B643&lt;=45,"36-45",B643&gt;45,"46+")</f>
        <v>36-45</v>
      </c>
      <c r="T643" t="str" cm="1">
        <f t="array" ref="T643">_xlfn.IFS(J643&lt;3500,"&lt;3.5K",J643&lt;5500,"3.5-5.5K",J643&lt;7500,"5.5-7.5K",J643&gt;=7500,"7.5K+")</f>
        <v>7.5K+</v>
      </c>
      <c r="U643">
        <f t="shared" ref="U643:U706" si="10">IF(Q643="Yes",1,0)</f>
        <v>0</v>
      </c>
    </row>
    <row r="644" spans="1:21" x14ac:dyDescent="0.25">
      <c r="A644">
        <v>1599</v>
      </c>
      <c r="B644">
        <v>57</v>
      </c>
      <c r="C644" t="s">
        <v>23</v>
      </c>
      <c r="D644" t="s">
        <v>38</v>
      </c>
      <c r="E644" t="s">
        <v>49</v>
      </c>
      <c r="F644" t="s">
        <v>41</v>
      </c>
      <c r="G644" t="s">
        <v>37</v>
      </c>
      <c r="H644" t="s">
        <v>21</v>
      </c>
      <c r="I644">
        <v>7</v>
      </c>
      <c r="J644" s="2">
        <v>15227</v>
      </c>
      <c r="K644" t="s">
        <v>42</v>
      </c>
      <c r="L644">
        <v>3</v>
      </c>
      <c r="M644">
        <v>2</v>
      </c>
      <c r="N644">
        <v>23</v>
      </c>
      <c r="O644">
        <v>2</v>
      </c>
      <c r="P644">
        <v>31</v>
      </c>
      <c r="Q644" t="s">
        <v>22</v>
      </c>
      <c r="R644" t="str" cm="1">
        <f t="array" ref="R644">_xlfn.IFS(N644&lt;=1,"0-1 yrs",N644&lt;=4,"2-4 yrs",N644&lt;=9,"5-9 yrs",N644&gt;9,"10+ yrs")</f>
        <v>10+ yrs</v>
      </c>
      <c r="S644" t="str" cm="1">
        <f t="array" ref="S644">_xlfn.IFS(B644&lt;=25,"20-25",B644&lt;=35,"26-35",B644&lt;=45,"36-45",B644&gt;45,"46+")</f>
        <v>46+</v>
      </c>
      <c r="T644" t="str" cm="1">
        <f t="array" ref="T644">_xlfn.IFS(J644&lt;3500,"&lt;3.5K",J644&lt;5500,"3.5-5.5K",J644&lt;7500,"5.5-7.5K",J644&gt;=7500,"7.5K+")</f>
        <v>7.5K+</v>
      </c>
      <c r="U644">
        <f t="shared" si="10"/>
        <v>0</v>
      </c>
    </row>
    <row r="645" spans="1:21" x14ac:dyDescent="0.25">
      <c r="A645">
        <v>1749</v>
      </c>
      <c r="B645">
        <v>36</v>
      </c>
      <c r="C645" t="s">
        <v>23</v>
      </c>
      <c r="D645" t="s">
        <v>17</v>
      </c>
      <c r="E645" t="s">
        <v>35</v>
      </c>
      <c r="F645" t="s">
        <v>36</v>
      </c>
      <c r="G645" t="s">
        <v>37</v>
      </c>
      <c r="H645" t="s">
        <v>21</v>
      </c>
      <c r="I645">
        <v>2</v>
      </c>
      <c r="J645" s="2">
        <v>7477</v>
      </c>
      <c r="K645" t="s">
        <v>22</v>
      </c>
      <c r="L645">
        <v>2</v>
      </c>
      <c r="M645">
        <v>3</v>
      </c>
      <c r="N645">
        <v>2</v>
      </c>
      <c r="O645">
        <v>1</v>
      </c>
      <c r="P645">
        <v>8</v>
      </c>
      <c r="Q645" t="s">
        <v>22</v>
      </c>
      <c r="R645" t="str" cm="1">
        <f t="array" ref="R645">_xlfn.IFS(N645&lt;=1,"0-1 yrs",N645&lt;=4,"2-4 yrs",N645&lt;=9,"5-9 yrs",N645&gt;9,"10+ yrs")</f>
        <v>2-4 yrs</v>
      </c>
      <c r="S645" t="str" cm="1">
        <f t="array" ref="S645">_xlfn.IFS(B645&lt;=25,"20-25",B645&lt;=35,"26-35",B645&lt;=45,"36-45",B645&gt;45,"46+")</f>
        <v>36-45</v>
      </c>
      <c r="T645" t="str" cm="1">
        <f t="array" ref="T645">_xlfn.IFS(J645&lt;3500,"&lt;3.5K",J645&lt;5500,"3.5-5.5K",J645&lt;7500,"5.5-7.5K",J645&gt;=7500,"7.5K+")</f>
        <v>5.5-7.5K</v>
      </c>
      <c r="U645">
        <f t="shared" si="10"/>
        <v>0</v>
      </c>
    </row>
    <row r="646" spans="1:21" x14ac:dyDescent="0.25">
      <c r="A646">
        <v>1024</v>
      </c>
      <c r="B646">
        <v>47</v>
      </c>
      <c r="C646" t="s">
        <v>16</v>
      </c>
      <c r="D646" t="s">
        <v>38</v>
      </c>
      <c r="E646" t="s">
        <v>39</v>
      </c>
      <c r="F646" t="s">
        <v>26</v>
      </c>
      <c r="G646" t="s">
        <v>20</v>
      </c>
      <c r="H646" t="s">
        <v>30</v>
      </c>
      <c r="I646">
        <v>12</v>
      </c>
      <c r="J646" s="2">
        <v>10162</v>
      </c>
      <c r="K646" t="s">
        <v>22</v>
      </c>
      <c r="L646">
        <v>2</v>
      </c>
      <c r="M646">
        <v>2</v>
      </c>
      <c r="N646">
        <v>25</v>
      </c>
      <c r="O646">
        <v>1</v>
      </c>
      <c r="P646">
        <v>25</v>
      </c>
      <c r="Q646" t="s">
        <v>22</v>
      </c>
      <c r="R646" t="str" cm="1">
        <f t="array" ref="R646">_xlfn.IFS(N646&lt;=1,"0-1 yrs",N646&lt;=4,"2-4 yrs",N646&lt;=9,"5-9 yrs",N646&gt;9,"10+ yrs")</f>
        <v>10+ yrs</v>
      </c>
      <c r="S646" t="str" cm="1">
        <f t="array" ref="S646">_xlfn.IFS(B646&lt;=25,"20-25",B646&lt;=35,"26-35",B646&lt;=45,"36-45",B646&gt;45,"46+")</f>
        <v>46+</v>
      </c>
      <c r="T646" t="str" cm="1">
        <f t="array" ref="T646">_xlfn.IFS(J646&lt;3500,"&lt;3.5K",J646&lt;5500,"3.5-5.5K",J646&lt;7500,"5.5-7.5K",J646&gt;=7500,"7.5K+")</f>
        <v>7.5K+</v>
      </c>
      <c r="U646">
        <f t="shared" si="10"/>
        <v>0</v>
      </c>
    </row>
    <row r="647" spans="1:21" x14ac:dyDescent="0.25">
      <c r="A647">
        <v>1156</v>
      </c>
      <c r="B647">
        <v>38</v>
      </c>
      <c r="C647" t="s">
        <v>23</v>
      </c>
      <c r="D647" t="s">
        <v>24</v>
      </c>
      <c r="E647" t="s">
        <v>45</v>
      </c>
      <c r="F647" t="s">
        <v>38</v>
      </c>
      <c r="G647" t="s">
        <v>37</v>
      </c>
      <c r="H647" t="s">
        <v>30</v>
      </c>
      <c r="I647">
        <v>27</v>
      </c>
      <c r="J647" s="2">
        <v>9504</v>
      </c>
      <c r="K647" t="s">
        <v>42</v>
      </c>
      <c r="L647">
        <v>4</v>
      </c>
      <c r="M647">
        <v>3</v>
      </c>
      <c r="N647">
        <v>12</v>
      </c>
      <c r="O647">
        <v>9</v>
      </c>
      <c r="P647">
        <v>16</v>
      </c>
      <c r="Q647" t="s">
        <v>22</v>
      </c>
      <c r="R647" t="str" cm="1">
        <f t="array" ref="R647">_xlfn.IFS(N647&lt;=1,"0-1 yrs",N647&lt;=4,"2-4 yrs",N647&lt;=9,"5-9 yrs",N647&gt;9,"10+ yrs")</f>
        <v>10+ yrs</v>
      </c>
      <c r="S647" t="str" cm="1">
        <f t="array" ref="S647">_xlfn.IFS(B647&lt;=25,"20-25",B647&lt;=35,"26-35",B647&lt;=45,"36-45",B647&gt;45,"46+")</f>
        <v>36-45</v>
      </c>
      <c r="T647" t="str" cm="1">
        <f t="array" ref="T647">_xlfn.IFS(J647&lt;3500,"&lt;3.5K",J647&lt;5500,"3.5-5.5K",J647&lt;7500,"5.5-7.5K",J647&gt;=7500,"7.5K+")</f>
        <v>7.5K+</v>
      </c>
      <c r="U647">
        <f t="shared" si="10"/>
        <v>0</v>
      </c>
    </row>
    <row r="648" spans="1:21" x14ac:dyDescent="0.25">
      <c r="A648">
        <v>1243</v>
      </c>
      <c r="B648">
        <v>32</v>
      </c>
      <c r="C648" t="s">
        <v>16</v>
      </c>
      <c r="D648" t="s">
        <v>38</v>
      </c>
      <c r="E648" t="s">
        <v>49</v>
      </c>
      <c r="F648" t="s">
        <v>19</v>
      </c>
      <c r="G648" t="s">
        <v>20</v>
      </c>
      <c r="H648" t="s">
        <v>21</v>
      </c>
      <c r="I648">
        <v>21</v>
      </c>
      <c r="J648" s="2">
        <v>12388</v>
      </c>
      <c r="K648" t="s">
        <v>22</v>
      </c>
      <c r="L648">
        <v>3</v>
      </c>
      <c r="M648">
        <v>2</v>
      </c>
      <c r="N648">
        <v>0</v>
      </c>
      <c r="O648">
        <v>0</v>
      </c>
      <c r="P648">
        <v>12</v>
      </c>
      <c r="Q648" t="s">
        <v>22</v>
      </c>
      <c r="R648" t="str" cm="1">
        <f t="array" ref="R648">_xlfn.IFS(N648&lt;=1,"0-1 yrs",N648&lt;=4,"2-4 yrs",N648&lt;=9,"5-9 yrs",N648&gt;9,"10+ yrs")</f>
        <v>0-1 yrs</v>
      </c>
      <c r="S648" t="str" cm="1">
        <f t="array" ref="S648">_xlfn.IFS(B648&lt;=25,"20-25",B648&lt;=35,"26-35",B648&lt;=45,"36-45",B648&gt;45,"46+")</f>
        <v>26-35</v>
      </c>
      <c r="T648" t="str" cm="1">
        <f t="array" ref="T648">_xlfn.IFS(J648&lt;3500,"&lt;3.5K",J648&lt;5500,"3.5-5.5K",J648&lt;7500,"5.5-7.5K",J648&gt;=7500,"7.5K+")</f>
        <v>7.5K+</v>
      </c>
      <c r="U648">
        <f t="shared" si="10"/>
        <v>0</v>
      </c>
    </row>
    <row r="649" spans="1:21" x14ac:dyDescent="0.25">
      <c r="A649">
        <v>1363</v>
      </c>
      <c r="B649">
        <v>53</v>
      </c>
      <c r="C649" t="s">
        <v>16</v>
      </c>
      <c r="D649" t="s">
        <v>24</v>
      </c>
      <c r="E649" t="s">
        <v>46</v>
      </c>
      <c r="F649" t="s">
        <v>32</v>
      </c>
      <c r="G649" t="s">
        <v>20</v>
      </c>
      <c r="H649" t="s">
        <v>21</v>
      </c>
      <c r="I649">
        <v>21</v>
      </c>
      <c r="J649" s="2">
        <v>12520</v>
      </c>
      <c r="K649" t="s">
        <v>22</v>
      </c>
      <c r="L649">
        <v>1</v>
      </c>
      <c r="M649">
        <v>4</v>
      </c>
      <c r="N649">
        <v>1</v>
      </c>
      <c r="O649">
        <v>0</v>
      </c>
      <c r="P649">
        <v>33</v>
      </c>
      <c r="Q649" t="s">
        <v>22</v>
      </c>
      <c r="R649" t="str" cm="1">
        <f t="array" ref="R649">_xlfn.IFS(N649&lt;=1,"0-1 yrs",N649&lt;=4,"2-4 yrs",N649&lt;=9,"5-9 yrs",N649&gt;9,"10+ yrs")</f>
        <v>0-1 yrs</v>
      </c>
      <c r="S649" t="str" cm="1">
        <f t="array" ref="S649">_xlfn.IFS(B649&lt;=25,"20-25",B649&lt;=35,"26-35",B649&lt;=45,"36-45",B649&gt;45,"46+")</f>
        <v>46+</v>
      </c>
      <c r="T649" t="str" cm="1">
        <f t="array" ref="T649">_xlfn.IFS(J649&lt;3500,"&lt;3.5K",J649&lt;5500,"3.5-5.5K",J649&lt;7500,"5.5-7.5K",J649&gt;=7500,"7.5K+")</f>
        <v>7.5K+</v>
      </c>
      <c r="U649">
        <f t="shared" si="10"/>
        <v>0</v>
      </c>
    </row>
    <row r="650" spans="1:21" x14ac:dyDescent="0.25">
      <c r="A650">
        <v>1566</v>
      </c>
      <c r="B650">
        <v>37</v>
      </c>
      <c r="C650" t="s">
        <v>23</v>
      </c>
      <c r="D650" t="s">
        <v>24</v>
      </c>
      <c r="E650" t="s">
        <v>46</v>
      </c>
      <c r="F650" t="s">
        <v>38</v>
      </c>
      <c r="G650" t="s">
        <v>37</v>
      </c>
      <c r="H650" t="s">
        <v>21</v>
      </c>
      <c r="I650">
        <v>11</v>
      </c>
      <c r="J650" s="2">
        <v>8016</v>
      </c>
      <c r="K650" t="s">
        <v>42</v>
      </c>
      <c r="L650">
        <v>2</v>
      </c>
      <c r="M650">
        <v>3</v>
      </c>
      <c r="N650">
        <v>2</v>
      </c>
      <c r="O650">
        <v>1</v>
      </c>
      <c r="P650">
        <v>15</v>
      </c>
      <c r="Q650" t="s">
        <v>22</v>
      </c>
      <c r="R650" t="str" cm="1">
        <f t="array" ref="R650">_xlfn.IFS(N650&lt;=1,"0-1 yrs",N650&lt;=4,"2-4 yrs",N650&lt;=9,"5-9 yrs",N650&gt;9,"10+ yrs")</f>
        <v>2-4 yrs</v>
      </c>
      <c r="S650" t="str" cm="1">
        <f t="array" ref="S650">_xlfn.IFS(B650&lt;=25,"20-25",B650&lt;=35,"26-35",B650&lt;=45,"36-45",B650&gt;45,"46+")</f>
        <v>36-45</v>
      </c>
      <c r="T650" t="str" cm="1">
        <f t="array" ref="T650">_xlfn.IFS(J650&lt;3500,"&lt;3.5K",J650&lt;5500,"3.5-5.5K",J650&lt;7500,"5.5-7.5K",J650&gt;=7500,"7.5K+")</f>
        <v>7.5K+</v>
      </c>
      <c r="U650">
        <f t="shared" si="10"/>
        <v>0</v>
      </c>
    </row>
    <row r="651" spans="1:21" x14ac:dyDescent="0.25">
      <c r="A651">
        <v>1274</v>
      </c>
      <c r="B651">
        <v>44</v>
      </c>
      <c r="C651" t="s">
        <v>23</v>
      </c>
      <c r="D651" t="s">
        <v>27</v>
      </c>
      <c r="E651" t="s">
        <v>31</v>
      </c>
      <c r="F651" t="s">
        <v>36</v>
      </c>
      <c r="G651" t="s">
        <v>33</v>
      </c>
      <c r="H651" t="s">
        <v>21</v>
      </c>
      <c r="I651">
        <v>23</v>
      </c>
      <c r="J651" s="2">
        <v>10526</v>
      </c>
      <c r="K651" t="s">
        <v>22</v>
      </c>
      <c r="L651">
        <v>3</v>
      </c>
      <c r="M651">
        <v>1</v>
      </c>
      <c r="N651">
        <v>8</v>
      </c>
      <c r="O651">
        <v>2</v>
      </c>
      <c r="P651">
        <v>23</v>
      </c>
      <c r="Q651" t="s">
        <v>22</v>
      </c>
      <c r="R651" t="str" cm="1">
        <f t="array" ref="R651">_xlfn.IFS(N651&lt;=1,"0-1 yrs",N651&lt;=4,"2-4 yrs",N651&lt;=9,"5-9 yrs",N651&gt;9,"10+ yrs")</f>
        <v>5-9 yrs</v>
      </c>
      <c r="S651" t="str" cm="1">
        <f t="array" ref="S651">_xlfn.IFS(B651&lt;=25,"20-25",B651&lt;=35,"26-35",B651&lt;=45,"36-45",B651&gt;45,"46+")</f>
        <v>36-45</v>
      </c>
      <c r="T651" t="str" cm="1">
        <f t="array" ref="T651">_xlfn.IFS(J651&lt;3500,"&lt;3.5K",J651&lt;5500,"3.5-5.5K",J651&lt;7500,"5.5-7.5K",J651&gt;=7500,"7.5K+")</f>
        <v>7.5K+</v>
      </c>
      <c r="U651">
        <f t="shared" si="10"/>
        <v>0</v>
      </c>
    </row>
    <row r="652" spans="1:21" x14ac:dyDescent="0.25">
      <c r="A652">
        <v>1963</v>
      </c>
      <c r="B652">
        <v>45</v>
      </c>
      <c r="C652" t="s">
        <v>23</v>
      </c>
      <c r="D652" t="s">
        <v>17</v>
      </c>
      <c r="E652" t="s">
        <v>35</v>
      </c>
      <c r="F652" t="s">
        <v>26</v>
      </c>
      <c r="G652" t="s">
        <v>33</v>
      </c>
      <c r="H652" t="s">
        <v>21</v>
      </c>
      <c r="I652">
        <v>16</v>
      </c>
      <c r="J652" s="2">
        <v>11909</v>
      </c>
      <c r="K652" t="s">
        <v>22</v>
      </c>
      <c r="L652">
        <v>2</v>
      </c>
      <c r="M652">
        <v>4</v>
      </c>
      <c r="N652">
        <v>17</v>
      </c>
      <c r="O652">
        <v>8</v>
      </c>
      <c r="P652">
        <v>25</v>
      </c>
      <c r="Q652" t="s">
        <v>22</v>
      </c>
      <c r="R652" t="str" cm="1">
        <f t="array" ref="R652">_xlfn.IFS(N652&lt;=1,"0-1 yrs",N652&lt;=4,"2-4 yrs",N652&lt;=9,"5-9 yrs",N652&gt;9,"10+ yrs")</f>
        <v>10+ yrs</v>
      </c>
      <c r="S652" t="str" cm="1">
        <f t="array" ref="S652">_xlfn.IFS(B652&lt;=25,"20-25",B652&lt;=35,"26-35",B652&lt;=45,"36-45",B652&gt;45,"46+")</f>
        <v>36-45</v>
      </c>
      <c r="T652" t="str" cm="1">
        <f t="array" ref="T652">_xlfn.IFS(J652&lt;3500,"&lt;3.5K",J652&lt;5500,"3.5-5.5K",J652&lt;7500,"5.5-7.5K",J652&gt;=7500,"7.5K+")</f>
        <v>7.5K+</v>
      </c>
      <c r="U652">
        <f t="shared" si="10"/>
        <v>0</v>
      </c>
    </row>
    <row r="653" spans="1:21" x14ac:dyDescent="0.25">
      <c r="A653">
        <v>1619</v>
      </c>
      <c r="B653">
        <v>60</v>
      </c>
      <c r="C653" t="s">
        <v>16</v>
      </c>
      <c r="D653" t="s">
        <v>38</v>
      </c>
      <c r="E653" t="s">
        <v>39</v>
      </c>
      <c r="F653" t="s">
        <v>41</v>
      </c>
      <c r="G653" t="s">
        <v>37</v>
      </c>
      <c r="H653" t="s">
        <v>30</v>
      </c>
      <c r="I653">
        <v>6</v>
      </c>
      <c r="J653" s="2">
        <v>10065</v>
      </c>
      <c r="K653" t="s">
        <v>22</v>
      </c>
      <c r="L653">
        <v>4</v>
      </c>
      <c r="M653">
        <v>3</v>
      </c>
      <c r="N653">
        <v>3</v>
      </c>
      <c r="O653">
        <v>1</v>
      </c>
      <c r="P653">
        <v>35</v>
      </c>
      <c r="Q653" t="s">
        <v>22</v>
      </c>
      <c r="R653" t="str" cm="1">
        <f t="array" ref="R653">_xlfn.IFS(N653&lt;=1,"0-1 yrs",N653&lt;=4,"2-4 yrs",N653&lt;=9,"5-9 yrs",N653&gt;9,"10+ yrs")</f>
        <v>2-4 yrs</v>
      </c>
      <c r="S653" t="str" cm="1">
        <f t="array" ref="S653">_xlfn.IFS(B653&lt;=25,"20-25",B653&lt;=35,"26-35",B653&lt;=45,"36-45",B653&gt;45,"46+")</f>
        <v>46+</v>
      </c>
      <c r="T653" t="str" cm="1">
        <f t="array" ref="T653">_xlfn.IFS(J653&lt;3500,"&lt;3.5K",J653&lt;5500,"3.5-5.5K",J653&lt;7500,"5.5-7.5K",J653&gt;=7500,"7.5K+")</f>
        <v>7.5K+</v>
      </c>
      <c r="U653">
        <f t="shared" si="10"/>
        <v>0</v>
      </c>
    </row>
    <row r="654" spans="1:21" x14ac:dyDescent="0.25">
      <c r="A654">
        <v>1634</v>
      </c>
      <c r="B654">
        <v>47</v>
      </c>
      <c r="C654" t="s">
        <v>16</v>
      </c>
      <c r="D654" t="s">
        <v>27</v>
      </c>
      <c r="E654" t="s">
        <v>31</v>
      </c>
      <c r="F654" t="s">
        <v>38</v>
      </c>
      <c r="G654" t="s">
        <v>33</v>
      </c>
      <c r="H654" t="s">
        <v>30</v>
      </c>
      <c r="I654">
        <v>7</v>
      </c>
      <c r="J654" s="2">
        <v>6245</v>
      </c>
      <c r="K654" t="s">
        <v>42</v>
      </c>
      <c r="L654">
        <v>1</v>
      </c>
      <c r="M654">
        <v>4</v>
      </c>
      <c r="N654">
        <v>4</v>
      </c>
      <c r="O654">
        <v>3</v>
      </c>
      <c r="P654">
        <v>17</v>
      </c>
      <c r="Q654" t="s">
        <v>22</v>
      </c>
      <c r="R654" t="str" cm="1">
        <f t="array" ref="R654">_xlfn.IFS(N654&lt;=1,"0-1 yrs",N654&lt;=4,"2-4 yrs",N654&lt;=9,"5-9 yrs",N654&gt;9,"10+ yrs")</f>
        <v>2-4 yrs</v>
      </c>
      <c r="S654" t="str" cm="1">
        <f t="array" ref="S654">_xlfn.IFS(B654&lt;=25,"20-25",B654&lt;=35,"26-35",B654&lt;=45,"36-45",B654&gt;45,"46+")</f>
        <v>46+</v>
      </c>
      <c r="T654" t="str" cm="1">
        <f t="array" ref="T654">_xlfn.IFS(J654&lt;3500,"&lt;3.5K",J654&lt;5500,"3.5-5.5K",J654&lt;7500,"5.5-7.5K",J654&gt;=7500,"7.5K+")</f>
        <v>5.5-7.5K</v>
      </c>
      <c r="U654">
        <f t="shared" si="10"/>
        <v>0</v>
      </c>
    </row>
    <row r="655" spans="1:21" x14ac:dyDescent="0.25">
      <c r="A655">
        <v>1226</v>
      </c>
      <c r="B655">
        <v>41</v>
      </c>
      <c r="C655" t="s">
        <v>16</v>
      </c>
      <c r="D655" t="s">
        <v>27</v>
      </c>
      <c r="E655" t="s">
        <v>31</v>
      </c>
      <c r="F655" t="s">
        <v>32</v>
      </c>
      <c r="G655" t="s">
        <v>20</v>
      </c>
      <c r="H655" t="s">
        <v>30</v>
      </c>
      <c r="I655">
        <v>4</v>
      </c>
      <c r="J655" s="2">
        <v>7004</v>
      </c>
      <c r="K655" t="s">
        <v>42</v>
      </c>
      <c r="L655">
        <v>2</v>
      </c>
      <c r="M655">
        <v>4</v>
      </c>
      <c r="N655">
        <v>7</v>
      </c>
      <c r="O655">
        <v>0</v>
      </c>
      <c r="P655">
        <v>11</v>
      </c>
      <c r="Q655" t="s">
        <v>22</v>
      </c>
      <c r="R655" t="str" cm="1">
        <f t="array" ref="R655">_xlfn.IFS(N655&lt;=1,"0-1 yrs",N655&lt;=4,"2-4 yrs",N655&lt;=9,"5-9 yrs",N655&gt;9,"10+ yrs")</f>
        <v>5-9 yrs</v>
      </c>
      <c r="S655" t="str" cm="1">
        <f t="array" ref="S655">_xlfn.IFS(B655&lt;=25,"20-25",B655&lt;=35,"26-35",B655&lt;=45,"36-45",B655&gt;45,"46+")</f>
        <v>36-45</v>
      </c>
      <c r="T655" t="str" cm="1">
        <f t="array" ref="T655">_xlfn.IFS(J655&lt;3500,"&lt;3.5K",J655&lt;5500,"3.5-5.5K",J655&lt;7500,"5.5-7.5K",J655&gt;=7500,"7.5K+")</f>
        <v>5.5-7.5K</v>
      </c>
      <c r="U655">
        <f t="shared" si="10"/>
        <v>0</v>
      </c>
    </row>
    <row r="656" spans="1:21" x14ac:dyDescent="0.25">
      <c r="A656">
        <v>1237</v>
      </c>
      <c r="B656">
        <v>24</v>
      </c>
      <c r="C656" t="s">
        <v>23</v>
      </c>
      <c r="D656" t="s">
        <v>27</v>
      </c>
      <c r="E656" t="s">
        <v>43</v>
      </c>
      <c r="F656" t="s">
        <v>36</v>
      </c>
      <c r="G656" t="s">
        <v>33</v>
      </c>
      <c r="H656" t="s">
        <v>34</v>
      </c>
      <c r="I656">
        <v>27</v>
      </c>
      <c r="J656" s="2">
        <v>7643</v>
      </c>
      <c r="K656" t="s">
        <v>42</v>
      </c>
      <c r="L656">
        <v>1</v>
      </c>
      <c r="M656">
        <v>2</v>
      </c>
      <c r="N656">
        <v>0</v>
      </c>
      <c r="O656">
        <v>0</v>
      </c>
      <c r="P656">
        <v>0</v>
      </c>
      <c r="Q656" t="s">
        <v>42</v>
      </c>
      <c r="R656" t="str" cm="1">
        <f t="array" ref="R656">_xlfn.IFS(N656&lt;=1,"0-1 yrs",N656&lt;=4,"2-4 yrs",N656&lt;=9,"5-9 yrs",N656&gt;9,"10+ yrs")</f>
        <v>0-1 yrs</v>
      </c>
      <c r="S656" t="str" cm="1">
        <f t="array" ref="S656">_xlfn.IFS(B656&lt;=25,"20-25",B656&lt;=35,"26-35",B656&lt;=45,"36-45",B656&gt;45,"46+")</f>
        <v>20-25</v>
      </c>
      <c r="T656" t="str" cm="1">
        <f t="array" ref="T656">_xlfn.IFS(J656&lt;3500,"&lt;3.5K",J656&lt;5500,"3.5-5.5K",J656&lt;7500,"5.5-7.5K",J656&gt;=7500,"7.5K+")</f>
        <v>7.5K+</v>
      </c>
      <c r="U656">
        <f t="shared" si="10"/>
        <v>1</v>
      </c>
    </row>
    <row r="657" spans="1:21" x14ac:dyDescent="0.25">
      <c r="A657">
        <v>1247</v>
      </c>
      <c r="B657">
        <v>28</v>
      </c>
      <c r="C657" t="s">
        <v>16</v>
      </c>
      <c r="D657" t="s">
        <v>17</v>
      </c>
      <c r="E657" t="s">
        <v>40</v>
      </c>
      <c r="F657" t="s">
        <v>19</v>
      </c>
      <c r="G657" t="s">
        <v>37</v>
      </c>
      <c r="H657" t="s">
        <v>34</v>
      </c>
      <c r="I657">
        <v>21</v>
      </c>
      <c r="J657" s="2">
        <v>6578</v>
      </c>
      <c r="K657" t="s">
        <v>22</v>
      </c>
      <c r="L657">
        <v>2</v>
      </c>
      <c r="M657">
        <v>1</v>
      </c>
      <c r="N657">
        <v>7</v>
      </c>
      <c r="O657">
        <v>2</v>
      </c>
      <c r="P657">
        <v>8</v>
      </c>
      <c r="Q657" t="s">
        <v>22</v>
      </c>
      <c r="R657" t="str" cm="1">
        <f t="array" ref="R657">_xlfn.IFS(N657&lt;=1,"0-1 yrs",N657&lt;=4,"2-4 yrs",N657&lt;=9,"5-9 yrs",N657&gt;9,"10+ yrs")</f>
        <v>5-9 yrs</v>
      </c>
      <c r="S657" t="str" cm="1">
        <f t="array" ref="S657">_xlfn.IFS(B657&lt;=25,"20-25",B657&lt;=35,"26-35",B657&lt;=45,"36-45",B657&gt;45,"46+")</f>
        <v>26-35</v>
      </c>
      <c r="T657" t="str" cm="1">
        <f t="array" ref="T657">_xlfn.IFS(J657&lt;3500,"&lt;3.5K",J657&lt;5500,"3.5-5.5K",J657&lt;7500,"5.5-7.5K",J657&gt;=7500,"7.5K+")</f>
        <v>5.5-7.5K</v>
      </c>
      <c r="U657">
        <f t="shared" si="10"/>
        <v>0</v>
      </c>
    </row>
    <row r="658" spans="1:21" x14ac:dyDescent="0.25">
      <c r="A658">
        <v>1292</v>
      </c>
      <c r="B658">
        <v>37</v>
      </c>
      <c r="C658" t="s">
        <v>16</v>
      </c>
      <c r="D658" t="s">
        <v>47</v>
      </c>
      <c r="E658" t="s">
        <v>53</v>
      </c>
      <c r="F658" t="s">
        <v>29</v>
      </c>
      <c r="G658" t="s">
        <v>20</v>
      </c>
      <c r="H658" t="s">
        <v>21</v>
      </c>
      <c r="I658">
        <v>29</v>
      </c>
      <c r="J658" s="2">
        <v>10977</v>
      </c>
      <c r="K658" t="s">
        <v>22</v>
      </c>
      <c r="L658">
        <v>4</v>
      </c>
      <c r="M658">
        <v>3</v>
      </c>
      <c r="N658">
        <v>8</v>
      </c>
      <c r="O658">
        <v>2</v>
      </c>
      <c r="P658">
        <v>14</v>
      </c>
      <c r="Q658" t="s">
        <v>22</v>
      </c>
      <c r="R658" t="str" cm="1">
        <f t="array" ref="R658">_xlfn.IFS(N658&lt;=1,"0-1 yrs",N658&lt;=4,"2-4 yrs",N658&lt;=9,"5-9 yrs",N658&gt;9,"10+ yrs")</f>
        <v>5-9 yrs</v>
      </c>
      <c r="S658" t="str" cm="1">
        <f t="array" ref="S658">_xlfn.IFS(B658&lt;=25,"20-25",B658&lt;=35,"26-35",B658&lt;=45,"36-45",B658&gt;45,"46+")</f>
        <v>36-45</v>
      </c>
      <c r="T658" t="str" cm="1">
        <f t="array" ref="T658">_xlfn.IFS(J658&lt;3500,"&lt;3.5K",J658&lt;5500,"3.5-5.5K",J658&lt;7500,"5.5-7.5K",J658&gt;=7500,"7.5K+")</f>
        <v>7.5K+</v>
      </c>
      <c r="U658">
        <f t="shared" si="10"/>
        <v>0</v>
      </c>
    </row>
    <row r="659" spans="1:21" x14ac:dyDescent="0.25">
      <c r="A659">
        <v>1754</v>
      </c>
      <c r="B659">
        <v>27</v>
      </c>
      <c r="C659" t="s">
        <v>23</v>
      </c>
      <c r="D659" t="s">
        <v>17</v>
      </c>
      <c r="E659" t="s">
        <v>35</v>
      </c>
      <c r="F659" t="s">
        <v>29</v>
      </c>
      <c r="G659" t="s">
        <v>33</v>
      </c>
      <c r="H659" t="s">
        <v>34</v>
      </c>
      <c r="I659">
        <v>8</v>
      </c>
      <c r="J659" s="2">
        <v>4061</v>
      </c>
      <c r="K659" t="s">
        <v>22</v>
      </c>
      <c r="L659">
        <v>3</v>
      </c>
      <c r="M659">
        <v>4</v>
      </c>
      <c r="N659">
        <v>5</v>
      </c>
      <c r="O659">
        <v>2</v>
      </c>
      <c r="P659">
        <v>7</v>
      </c>
      <c r="Q659" t="s">
        <v>22</v>
      </c>
      <c r="R659" t="str" cm="1">
        <f t="array" ref="R659">_xlfn.IFS(N659&lt;=1,"0-1 yrs",N659&lt;=4,"2-4 yrs",N659&lt;=9,"5-9 yrs",N659&gt;9,"10+ yrs")</f>
        <v>5-9 yrs</v>
      </c>
      <c r="S659" t="str" cm="1">
        <f t="array" ref="S659">_xlfn.IFS(B659&lt;=25,"20-25",B659&lt;=35,"26-35",B659&lt;=45,"36-45",B659&gt;45,"46+")</f>
        <v>26-35</v>
      </c>
      <c r="T659" t="str" cm="1">
        <f t="array" ref="T659">_xlfn.IFS(J659&lt;3500,"&lt;3.5K",J659&lt;5500,"3.5-5.5K",J659&lt;7500,"5.5-7.5K",J659&gt;=7500,"7.5K+")</f>
        <v>3.5-5.5K</v>
      </c>
      <c r="U659">
        <f t="shared" si="10"/>
        <v>0</v>
      </c>
    </row>
    <row r="660" spans="1:21" x14ac:dyDescent="0.25">
      <c r="A660">
        <v>1640</v>
      </c>
      <c r="B660">
        <v>32</v>
      </c>
      <c r="C660" t="s">
        <v>16</v>
      </c>
      <c r="D660" t="s">
        <v>17</v>
      </c>
      <c r="E660" t="s">
        <v>18</v>
      </c>
      <c r="F660" t="s">
        <v>38</v>
      </c>
      <c r="G660" t="s">
        <v>20</v>
      </c>
      <c r="H660" t="s">
        <v>34</v>
      </c>
      <c r="I660">
        <v>7</v>
      </c>
      <c r="J660" s="2">
        <v>11414</v>
      </c>
      <c r="K660" t="s">
        <v>42</v>
      </c>
      <c r="L660">
        <v>3</v>
      </c>
      <c r="M660">
        <v>1</v>
      </c>
      <c r="N660">
        <v>2</v>
      </c>
      <c r="O660">
        <v>1</v>
      </c>
      <c r="P660">
        <v>11</v>
      </c>
      <c r="Q660" t="s">
        <v>22</v>
      </c>
      <c r="R660" t="str" cm="1">
        <f t="array" ref="R660">_xlfn.IFS(N660&lt;=1,"0-1 yrs",N660&lt;=4,"2-4 yrs",N660&lt;=9,"5-9 yrs",N660&gt;9,"10+ yrs")</f>
        <v>2-4 yrs</v>
      </c>
      <c r="S660" t="str" cm="1">
        <f t="array" ref="S660">_xlfn.IFS(B660&lt;=25,"20-25",B660&lt;=35,"26-35",B660&lt;=45,"36-45",B660&gt;45,"46+")</f>
        <v>26-35</v>
      </c>
      <c r="T660" t="str" cm="1">
        <f t="array" ref="T660">_xlfn.IFS(J660&lt;3500,"&lt;3.5K",J660&lt;5500,"3.5-5.5K",J660&lt;7500,"5.5-7.5K",J660&gt;=7500,"7.5K+")</f>
        <v>7.5K+</v>
      </c>
      <c r="U660">
        <f t="shared" si="10"/>
        <v>0</v>
      </c>
    </row>
    <row r="661" spans="1:21" x14ac:dyDescent="0.25">
      <c r="A661">
        <v>1734</v>
      </c>
      <c r="B661">
        <v>59</v>
      </c>
      <c r="C661" t="s">
        <v>16</v>
      </c>
      <c r="D661" t="s">
        <v>24</v>
      </c>
      <c r="E661" t="s">
        <v>52</v>
      </c>
      <c r="F661" t="s">
        <v>26</v>
      </c>
      <c r="G661" t="s">
        <v>37</v>
      </c>
      <c r="H661" t="s">
        <v>21</v>
      </c>
      <c r="I661">
        <v>15</v>
      </c>
      <c r="J661" s="2">
        <v>10154</v>
      </c>
      <c r="K661" t="s">
        <v>22</v>
      </c>
      <c r="L661">
        <v>2</v>
      </c>
      <c r="M661">
        <v>4</v>
      </c>
      <c r="N661">
        <v>9</v>
      </c>
      <c r="O661">
        <v>0</v>
      </c>
      <c r="P661">
        <v>28</v>
      </c>
      <c r="Q661" t="s">
        <v>22</v>
      </c>
      <c r="R661" t="str" cm="1">
        <f t="array" ref="R661">_xlfn.IFS(N661&lt;=1,"0-1 yrs",N661&lt;=4,"2-4 yrs",N661&lt;=9,"5-9 yrs",N661&gt;9,"10+ yrs")</f>
        <v>5-9 yrs</v>
      </c>
      <c r="S661" t="str" cm="1">
        <f t="array" ref="S661">_xlfn.IFS(B661&lt;=25,"20-25",B661&lt;=35,"26-35",B661&lt;=45,"36-45",B661&gt;45,"46+")</f>
        <v>46+</v>
      </c>
      <c r="T661" t="str" cm="1">
        <f t="array" ref="T661">_xlfn.IFS(J661&lt;3500,"&lt;3.5K",J661&lt;5500,"3.5-5.5K",J661&lt;7500,"5.5-7.5K",J661&gt;=7500,"7.5K+")</f>
        <v>7.5K+</v>
      </c>
      <c r="U661">
        <f t="shared" si="10"/>
        <v>0</v>
      </c>
    </row>
    <row r="662" spans="1:21" x14ac:dyDescent="0.25">
      <c r="A662">
        <v>1115</v>
      </c>
      <c r="B662">
        <v>55</v>
      </c>
      <c r="C662" t="s">
        <v>23</v>
      </c>
      <c r="D662" t="s">
        <v>24</v>
      </c>
      <c r="E662" t="s">
        <v>45</v>
      </c>
      <c r="F662" t="s">
        <v>41</v>
      </c>
      <c r="G662" t="s">
        <v>33</v>
      </c>
      <c r="H662" t="s">
        <v>30</v>
      </c>
      <c r="I662">
        <v>5</v>
      </c>
      <c r="J662" s="2">
        <v>13530</v>
      </c>
      <c r="K662" t="s">
        <v>42</v>
      </c>
      <c r="L662">
        <v>3</v>
      </c>
      <c r="M662">
        <v>4</v>
      </c>
      <c r="N662">
        <v>22</v>
      </c>
      <c r="O662">
        <v>14</v>
      </c>
      <c r="P662">
        <v>35</v>
      </c>
      <c r="Q662" t="s">
        <v>22</v>
      </c>
      <c r="R662" t="str" cm="1">
        <f t="array" ref="R662">_xlfn.IFS(N662&lt;=1,"0-1 yrs",N662&lt;=4,"2-4 yrs",N662&lt;=9,"5-9 yrs",N662&gt;9,"10+ yrs")</f>
        <v>10+ yrs</v>
      </c>
      <c r="S662" t="str" cm="1">
        <f t="array" ref="S662">_xlfn.IFS(B662&lt;=25,"20-25",B662&lt;=35,"26-35",B662&lt;=45,"36-45",B662&gt;45,"46+")</f>
        <v>46+</v>
      </c>
      <c r="T662" t="str" cm="1">
        <f t="array" ref="T662">_xlfn.IFS(J662&lt;3500,"&lt;3.5K",J662&lt;5500,"3.5-5.5K",J662&lt;7500,"5.5-7.5K",J662&gt;=7500,"7.5K+")</f>
        <v>7.5K+</v>
      </c>
      <c r="U662">
        <f t="shared" si="10"/>
        <v>0</v>
      </c>
    </row>
    <row r="663" spans="1:21" x14ac:dyDescent="0.25">
      <c r="A663">
        <v>1011</v>
      </c>
      <c r="B663">
        <v>25</v>
      </c>
      <c r="C663" t="s">
        <v>23</v>
      </c>
      <c r="D663" t="s">
        <v>17</v>
      </c>
      <c r="E663" t="s">
        <v>18</v>
      </c>
      <c r="F663" t="s">
        <v>26</v>
      </c>
      <c r="G663" t="s">
        <v>37</v>
      </c>
      <c r="H663" t="s">
        <v>21</v>
      </c>
      <c r="I663">
        <v>6</v>
      </c>
      <c r="J663" s="2">
        <v>10427</v>
      </c>
      <c r="K663" t="s">
        <v>22</v>
      </c>
      <c r="L663">
        <v>2</v>
      </c>
      <c r="M663">
        <v>4</v>
      </c>
      <c r="N663">
        <v>0</v>
      </c>
      <c r="O663">
        <v>0</v>
      </c>
      <c r="P663">
        <v>5</v>
      </c>
      <c r="Q663" t="s">
        <v>42</v>
      </c>
      <c r="R663" t="str" cm="1">
        <f t="array" ref="R663">_xlfn.IFS(N663&lt;=1,"0-1 yrs",N663&lt;=4,"2-4 yrs",N663&lt;=9,"5-9 yrs",N663&gt;9,"10+ yrs")</f>
        <v>0-1 yrs</v>
      </c>
      <c r="S663" t="str" cm="1">
        <f t="array" ref="S663">_xlfn.IFS(B663&lt;=25,"20-25",B663&lt;=35,"26-35",B663&lt;=45,"36-45",B663&gt;45,"46+")</f>
        <v>20-25</v>
      </c>
      <c r="T663" t="str" cm="1">
        <f t="array" ref="T663">_xlfn.IFS(J663&lt;3500,"&lt;3.5K",J663&lt;5500,"3.5-5.5K",J663&lt;7500,"5.5-7.5K",J663&gt;=7500,"7.5K+")</f>
        <v>7.5K+</v>
      </c>
      <c r="U663">
        <f t="shared" si="10"/>
        <v>1</v>
      </c>
    </row>
    <row r="664" spans="1:21" x14ac:dyDescent="0.25">
      <c r="A664">
        <v>1871</v>
      </c>
      <c r="B664">
        <v>34</v>
      </c>
      <c r="C664" t="s">
        <v>16</v>
      </c>
      <c r="D664" t="s">
        <v>17</v>
      </c>
      <c r="E664" t="s">
        <v>35</v>
      </c>
      <c r="F664" t="s">
        <v>41</v>
      </c>
      <c r="G664" t="s">
        <v>20</v>
      </c>
      <c r="H664" t="s">
        <v>34</v>
      </c>
      <c r="I664">
        <v>21</v>
      </c>
      <c r="J664" s="2">
        <v>6407</v>
      </c>
      <c r="K664" t="s">
        <v>42</v>
      </c>
      <c r="L664">
        <v>3</v>
      </c>
      <c r="M664">
        <v>1</v>
      </c>
      <c r="N664">
        <v>5</v>
      </c>
      <c r="O664">
        <v>5</v>
      </c>
      <c r="P664">
        <v>5</v>
      </c>
      <c r="Q664" t="s">
        <v>22</v>
      </c>
      <c r="R664" t="str" cm="1">
        <f t="array" ref="R664">_xlfn.IFS(N664&lt;=1,"0-1 yrs",N664&lt;=4,"2-4 yrs",N664&lt;=9,"5-9 yrs",N664&gt;9,"10+ yrs")</f>
        <v>5-9 yrs</v>
      </c>
      <c r="S664" t="str" cm="1">
        <f t="array" ref="S664">_xlfn.IFS(B664&lt;=25,"20-25",B664&lt;=35,"26-35",B664&lt;=45,"36-45",B664&gt;45,"46+")</f>
        <v>26-35</v>
      </c>
      <c r="T664" t="str" cm="1">
        <f t="array" ref="T664">_xlfn.IFS(J664&lt;3500,"&lt;3.5K",J664&lt;5500,"3.5-5.5K",J664&lt;7500,"5.5-7.5K",J664&gt;=7500,"7.5K+")</f>
        <v>5.5-7.5K</v>
      </c>
      <c r="U664">
        <f t="shared" si="10"/>
        <v>0</v>
      </c>
    </row>
    <row r="665" spans="1:21" x14ac:dyDescent="0.25">
      <c r="A665">
        <v>1581</v>
      </c>
      <c r="B665">
        <v>42</v>
      </c>
      <c r="C665" t="s">
        <v>23</v>
      </c>
      <c r="D665" t="s">
        <v>17</v>
      </c>
      <c r="E665" t="s">
        <v>35</v>
      </c>
      <c r="F665" t="s">
        <v>38</v>
      </c>
      <c r="G665" t="s">
        <v>37</v>
      </c>
      <c r="H665" t="s">
        <v>30</v>
      </c>
      <c r="I665">
        <v>26</v>
      </c>
      <c r="J665" s="2">
        <v>10973</v>
      </c>
      <c r="K665" t="s">
        <v>22</v>
      </c>
      <c r="L665">
        <v>4</v>
      </c>
      <c r="M665">
        <v>1</v>
      </c>
      <c r="N665">
        <v>21</v>
      </c>
      <c r="O665">
        <v>17</v>
      </c>
      <c r="P665">
        <v>21</v>
      </c>
      <c r="Q665" t="s">
        <v>22</v>
      </c>
      <c r="R665" t="str" cm="1">
        <f t="array" ref="R665">_xlfn.IFS(N665&lt;=1,"0-1 yrs",N665&lt;=4,"2-4 yrs",N665&lt;=9,"5-9 yrs",N665&gt;9,"10+ yrs")</f>
        <v>10+ yrs</v>
      </c>
      <c r="S665" t="str" cm="1">
        <f t="array" ref="S665">_xlfn.IFS(B665&lt;=25,"20-25",B665&lt;=35,"26-35",B665&lt;=45,"36-45",B665&gt;45,"46+")</f>
        <v>36-45</v>
      </c>
      <c r="T665" t="str" cm="1">
        <f t="array" ref="T665">_xlfn.IFS(J665&lt;3500,"&lt;3.5K",J665&lt;5500,"3.5-5.5K",J665&lt;7500,"5.5-7.5K",J665&gt;=7500,"7.5K+")</f>
        <v>7.5K+</v>
      </c>
      <c r="U665">
        <f t="shared" si="10"/>
        <v>0</v>
      </c>
    </row>
    <row r="666" spans="1:21" x14ac:dyDescent="0.25">
      <c r="A666">
        <v>1825</v>
      </c>
      <c r="B666">
        <v>20</v>
      </c>
      <c r="C666" t="s">
        <v>16</v>
      </c>
      <c r="D666" t="s">
        <v>27</v>
      </c>
      <c r="E666" t="s">
        <v>44</v>
      </c>
      <c r="F666" t="s">
        <v>41</v>
      </c>
      <c r="G666" t="s">
        <v>37</v>
      </c>
      <c r="H666" t="s">
        <v>34</v>
      </c>
      <c r="I666">
        <v>22</v>
      </c>
      <c r="J666" s="2">
        <v>6282</v>
      </c>
      <c r="K666" t="s">
        <v>22</v>
      </c>
      <c r="L666">
        <v>4</v>
      </c>
      <c r="M666">
        <v>2</v>
      </c>
      <c r="N666">
        <v>0</v>
      </c>
      <c r="O666">
        <v>0</v>
      </c>
      <c r="P666">
        <v>0</v>
      </c>
      <c r="Q666" t="s">
        <v>22</v>
      </c>
      <c r="R666" t="str" cm="1">
        <f t="array" ref="R666">_xlfn.IFS(N666&lt;=1,"0-1 yrs",N666&lt;=4,"2-4 yrs",N666&lt;=9,"5-9 yrs",N666&gt;9,"10+ yrs")</f>
        <v>0-1 yrs</v>
      </c>
      <c r="S666" t="str" cm="1">
        <f t="array" ref="S666">_xlfn.IFS(B666&lt;=25,"20-25",B666&lt;=35,"26-35",B666&lt;=45,"36-45",B666&gt;45,"46+")</f>
        <v>20-25</v>
      </c>
      <c r="T666" t="str" cm="1">
        <f t="array" ref="T666">_xlfn.IFS(J666&lt;3500,"&lt;3.5K",J666&lt;5500,"3.5-5.5K",J666&lt;7500,"5.5-7.5K",J666&gt;=7500,"7.5K+")</f>
        <v>5.5-7.5K</v>
      </c>
      <c r="U666">
        <f t="shared" si="10"/>
        <v>0</v>
      </c>
    </row>
    <row r="667" spans="1:21" x14ac:dyDescent="0.25">
      <c r="A667">
        <v>1747</v>
      </c>
      <c r="B667">
        <v>41</v>
      </c>
      <c r="C667" t="s">
        <v>16</v>
      </c>
      <c r="D667" t="s">
        <v>24</v>
      </c>
      <c r="E667" t="s">
        <v>46</v>
      </c>
      <c r="F667" t="s">
        <v>19</v>
      </c>
      <c r="G667" t="s">
        <v>37</v>
      </c>
      <c r="H667" t="s">
        <v>30</v>
      </c>
      <c r="I667">
        <v>16</v>
      </c>
      <c r="J667" s="2">
        <v>11280</v>
      </c>
      <c r="K667" t="s">
        <v>22</v>
      </c>
      <c r="L667">
        <v>2</v>
      </c>
      <c r="M667">
        <v>2</v>
      </c>
      <c r="N667">
        <v>20</v>
      </c>
      <c r="O667">
        <v>16</v>
      </c>
      <c r="P667">
        <v>20</v>
      </c>
      <c r="Q667" t="s">
        <v>22</v>
      </c>
      <c r="R667" t="str" cm="1">
        <f t="array" ref="R667">_xlfn.IFS(N667&lt;=1,"0-1 yrs",N667&lt;=4,"2-4 yrs",N667&lt;=9,"5-9 yrs",N667&gt;9,"10+ yrs")</f>
        <v>10+ yrs</v>
      </c>
      <c r="S667" t="str" cm="1">
        <f t="array" ref="S667">_xlfn.IFS(B667&lt;=25,"20-25",B667&lt;=35,"26-35",B667&lt;=45,"36-45",B667&gt;45,"46+")</f>
        <v>36-45</v>
      </c>
      <c r="T667" t="str" cm="1">
        <f t="array" ref="T667">_xlfn.IFS(J667&lt;3500,"&lt;3.5K",J667&lt;5500,"3.5-5.5K",J667&lt;7500,"5.5-7.5K",J667&gt;=7500,"7.5K+")</f>
        <v>7.5K+</v>
      </c>
      <c r="U667">
        <f t="shared" si="10"/>
        <v>0</v>
      </c>
    </row>
    <row r="668" spans="1:21" x14ac:dyDescent="0.25">
      <c r="A668">
        <v>1434</v>
      </c>
      <c r="B668">
        <v>29</v>
      </c>
      <c r="C668" t="s">
        <v>23</v>
      </c>
      <c r="D668" t="s">
        <v>17</v>
      </c>
      <c r="E668" t="s">
        <v>18</v>
      </c>
      <c r="F668" t="s">
        <v>41</v>
      </c>
      <c r="G668" t="s">
        <v>20</v>
      </c>
      <c r="H668" t="s">
        <v>21</v>
      </c>
      <c r="I668">
        <v>18</v>
      </c>
      <c r="J668" s="2">
        <v>8765</v>
      </c>
      <c r="K668" t="s">
        <v>22</v>
      </c>
      <c r="L668">
        <v>3</v>
      </c>
      <c r="M668">
        <v>4</v>
      </c>
      <c r="N668">
        <v>0</v>
      </c>
      <c r="O668">
        <v>0</v>
      </c>
      <c r="P668">
        <v>0</v>
      </c>
      <c r="Q668" t="s">
        <v>22</v>
      </c>
      <c r="R668" t="str" cm="1">
        <f t="array" ref="R668">_xlfn.IFS(N668&lt;=1,"0-1 yrs",N668&lt;=4,"2-4 yrs",N668&lt;=9,"5-9 yrs",N668&gt;9,"10+ yrs")</f>
        <v>0-1 yrs</v>
      </c>
      <c r="S668" t="str" cm="1">
        <f t="array" ref="S668">_xlfn.IFS(B668&lt;=25,"20-25",B668&lt;=35,"26-35",B668&lt;=45,"36-45",B668&gt;45,"46+")</f>
        <v>26-35</v>
      </c>
      <c r="T668" t="str" cm="1">
        <f t="array" ref="T668">_xlfn.IFS(J668&lt;3500,"&lt;3.5K",J668&lt;5500,"3.5-5.5K",J668&lt;7500,"5.5-7.5K",J668&gt;=7500,"7.5K+")</f>
        <v>7.5K+</v>
      </c>
      <c r="U668">
        <f t="shared" si="10"/>
        <v>0</v>
      </c>
    </row>
    <row r="669" spans="1:21" x14ac:dyDescent="0.25">
      <c r="A669">
        <v>1099</v>
      </c>
      <c r="B669">
        <v>41</v>
      </c>
      <c r="C669" t="s">
        <v>23</v>
      </c>
      <c r="D669" t="s">
        <v>27</v>
      </c>
      <c r="E669" t="s">
        <v>31</v>
      </c>
      <c r="F669" t="s">
        <v>32</v>
      </c>
      <c r="G669" t="s">
        <v>37</v>
      </c>
      <c r="H669" t="s">
        <v>21</v>
      </c>
      <c r="I669">
        <v>25</v>
      </c>
      <c r="J669" s="2">
        <v>8518</v>
      </c>
      <c r="K669" t="s">
        <v>22</v>
      </c>
      <c r="L669">
        <v>2</v>
      </c>
      <c r="M669">
        <v>2</v>
      </c>
      <c r="N669">
        <v>19</v>
      </c>
      <c r="O669">
        <v>12</v>
      </c>
      <c r="P669">
        <v>21</v>
      </c>
      <c r="Q669" t="s">
        <v>22</v>
      </c>
      <c r="R669" t="str" cm="1">
        <f t="array" ref="R669">_xlfn.IFS(N669&lt;=1,"0-1 yrs",N669&lt;=4,"2-4 yrs",N669&lt;=9,"5-9 yrs",N669&gt;9,"10+ yrs")</f>
        <v>10+ yrs</v>
      </c>
      <c r="S669" t="str" cm="1">
        <f t="array" ref="S669">_xlfn.IFS(B669&lt;=25,"20-25",B669&lt;=35,"26-35",B669&lt;=45,"36-45",B669&gt;45,"46+")</f>
        <v>36-45</v>
      </c>
      <c r="T669" t="str" cm="1">
        <f t="array" ref="T669">_xlfn.IFS(J669&lt;3500,"&lt;3.5K",J669&lt;5500,"3.5-5.5K",J669&lt;7500,"5.5-7.5K",J669&gt;=7500,"7.5K+")</f>
        <v>7.5K+</v>
      </c>
      <c r="U669">
        <f t="shared" si="10"/>
        <v>0</v>
      </c>
    </row>
    <row r="670" spans="1:21" x14ac:dyDescent="0.25">
      <c r="A670">
        <v>1854</v>
      </c>
      <c r="B670">
        <v>52</v>
      </c>
      <c r="C670" t="s">
        <v>23</v>
      </c>
      <c r="D670" t="s">
        <v>17</v>
      </c>
      <c r="E670" t="s">
        <v>18</v>
      </c>
      <c r="F670" t="s">
        <v>68</v>
      </c>
      <c r="G670" t="s">
        <v>20</v>
      </c>
      <c r="H670" t="s">
        <v>21</v>
      </c>
      <c r="I670">
        <v>17</v>
      </c>
      <c r="J670" s="2">
        <v>8897</v>
      </c>
      <c r="K670" t="s">
        <v>22</v>
      </c>
      <c r="L670">
        <v>3</v>
      </c>
      <c r="M670">
        <v>2</v>
      </c>
      <c r="N670">
        <v>12</v>
      </c>
      <c r="O670">
        <v>7</v>
      </c>
      <c r="P670">
        <v>27</v>
      </c>
      <c r="Q670" t="s">
        <v>22</v>
      </c>
      <c r="R670" t="str" cm="1">
        <f t="array" ref="R670">_xlfn.IFS(N670&lt;=1,"0-1 yrs",N670&lt;=4,"2-4 yrs",N670&lt;=9,"5-9 yrs",N670&gt;9,"10+ yrs")</f>
        <v>10+ yrs</v>
      </c>
      <c r="S670" t="str" cm="1">
        <f t="array" ref="S670">_xlfn.IFS(B670&lt;=25,"20-25",B670&lt;=35,"26-35",B670&lt;=45,"36-45",B670&gt;45,"46+")</f>
        <v>46+</v>
      </c>
      <c r="T670" t="str" cm="1">
        <f t="array" ref="T670">_xlfn.IFS(J670&lt;3500,"&lt;3.5K",J670&lt;5500,"3.5-5.5K",J670&lt;7500,"5.5-7.5K",J670&gt;=7500,"7.5K+")</f>
        <v>7.5K+</v>
      </c>
      <c r="U670">
        <f t="shared" si="10"/>
        <v>0</v>
      </c>
    </row>
    <row r="671" spans="1:21" x14ac:dyDescent="0.25">
      <c r="A671">
        <v>1784</v>
      </c>
      <c r="B671">
        <v>32</v>
      </c>
      <c r="C671" t="s">
        <v>16</v>
      </c>
      <c r="D671" t="s">
        <v>47</v>
      </c>
      <c r="E671" t="s">
        <v>48</v>
      </c>
      <c r="F671" t="s">
        <v>29</v>
      </c>
      <c r="G671" t="s">
        <v>37</v>
      </c>
      <c r="H671" t="s">
        <v>30</v>
      </c>
      <c r="I671">
        <v>29</v>
      </c>
      <c r="J671" s="2">
        <v>7958</v>
      </c>
      <c r="K671" t="s">
        <v>42</v>
      </c>
      <c r="L671">
        <v>3</v>
      </c>
      <c r="M671">
        <v>2</v>
      </c>
      <c r="N671">
        <v>2</v>
      </c>
      <c r="O671">
        <v>2</v>
      </c>
      <c r="P671">
        <v>7</v>
      </c>
      <c r="Q671" t="s">
        <v>42</v>
      </c>
      <c r="R671" t="str" cm="1">
        <f t="array" ref="R671">_xlfn.IFS(N671&lt;=1,"0-1 yrs",N671&lt;=4,"2-4 yrs",N671&lt;=9,"5-9 yrs",N671&gt;9,"10+ yrs")</f>
        <v>2-4 yrs</v>
      </c>
      <c r="S671" t="str" cm="1">
        <f t="array" ref="S671">_xlfn.IFS(B671&lt;=25,"20-25",B671&lt;=35,"26-35",B671&lt;=45,"36-45",B671&gt;45,"46+")</f>
        <v>26-35</v>
      </c>
      <c r="T671" t="str" cm="1">
        <f t="array" ref="T671">_xlfn.IFS(J671&lt;3500,"&lt;3.5K",J671&lt;5500,"3.5-5.5K",J671&lt;7500,"5.5-7.5K",J671&gt;=7500,"7.5K+")</f>
        <v>7.5K+</v>
      </c>
      <c r="U671">
        <f t="shared" si="10"/>
        <v>1</v>
      </c>
    </row>
    <row r="672" spans="1:21" x14ac:dyDescent="0.25">
      <c r="A672">
        <v>1816</v>
      </c>
      <c r="B672">
        <v>33</v>
      </c>
      <c r="C672" t="s">
        <v>16</v>
      </c>
      <c r="D672" t="s">
        <v>27</v>
      </c>
      <c r="E672" t="s">
        <v>31</v>
      </c>
      <c r="F672" t="s">
        <v>32</v>
      </c>
      <c r="G672" t="s">
        <v>20</v>
      </c>
      <c r="H672" t="s">
        <v>34</v>
      </c>
      <c r="I672">
        <v>13</v>
      </c>
      <c r="J672" s="2">
        <v>5814</v>
      </c>
      <c r="K672" t="s">
        <v>22</v>
      </c>
      <c r="L672">
        <v>2</v>
      </c>
      <c r="M672">
        <v>2</v>
      </c>
      <c r="N672">
        <v>5</v>
      </c>
      <c r="O672">
        <v>1</v>
      </c>
      <c r="P672">
        <v>5</v>
      </c>
      <c r="Q672" t="s">
        <v>22</v>
      </c>
      <c r="R672" t="str" cm="1">
        <f t="array" ref="R672">_xlfn.IFS(N672&lt;=1,"0-1 yrs",N672&lt;=4,"2-4 yrs",N672&lt;=9,"5-9 yrs",N672&gt;9,"10+ yrs")</f>
        <v>5-9 yrs</v>
      </c>
      <c r="S672" t="str" cm="1">
        <f t="array" ref="S672">_xlfn.IFS(B672&lt;=25,"20-25",B672&lt;=35,"26-35",B672&lt;=45,"36-45",B672&gt;45,"46+")</f>
        <v>26-35</v>
      </c>
      <c r="T672" t="str" cm="1">
        <f t="array" ref="T672">_xlfn.IFS(J672&lt;3500,"&lt;3.5K",J672&lt;5500,"3.5-5.5K",J672&lt;7500,"5.5-7.5K",J672&gt;=7500,"7.5K+")</f>
        <v>5.5-7.5K</v>
      </c>
      <c r="U672">
        <f t="shared" si="10"/>
        <v>0</v>
      </c>
    </row>
    <row r="673" spans="1:21" x14ac:dyDescent="0.25">
      <c r="A673">
        <v>1562</v>
      </c>
      <c r="B673">
        <v>44</v>
      </c>
      <c r="C673" t="s">
        <v>16</v>
      </c>
      <c r="D673" t="s">
        <v>17</v>
      </c>
      <c r="E673" t="s">
        <v>18</v>
      </c>
      <c r="F673" t="s">
        <v>41</v>
      </c>
      <c r="G673" t="s">
        <v>37</v>
      </c>
      <c r="H673" t="s">
        <v>21</v>
      </c>
      <c r="I673">
        <v>12</v>
      </c>
      <c r="J673" s="2">
        <v>10285</v>
      </c>
      <c r="K673" t="s">
        <v>22</v>
      </c>
      <c r="L673">
        <v>4</v>
      </c>
      <c r="M673">
        <v>2</v>
      </c>
      <c r="N673">
        <v>16</v>
      </c>
      <c r="O673">
        <v>11</v>
      </c>
      <c r="P673">
        <v>20</v>
      </c>
      <c r="Q673" t="s">
        <v>22</v>
      </c>
      <c r="R673" t="str" cm="1">
        <f t="array" ref="R673">_xlfn.IFS(N673&lt;=1,"0-1 yrs",N673&lt;=4,"2-4 yrs",N673&lt;=9,"5-9 yrs",N673&gt;9,"10+ yrs")</f>
        <v>10+ yrs</v>
      </c>
      <c r="S673" t="str" cm="1">
        <f t="array" ref="S673">_xlfn.IFS(B673&lt;=25,"20-25",B673&lt;=35,"26-35",B673&lt;=45,"36-45",B673&gt;45,"46+")</f>
        <v>36-45</v>
      </c>
      <c r="T673" t="str" cm="1">
        <f t="array" ref="T673">_xlfn.IFS(J673&lt;3500,"&lt;3.5K",J673&lt;5500,"3.5-5.5K",J673&lt;7500,"5.5-7.5K",J673&gt;=7500,"7.5K+")</f>
        <v>7.5K+</v>
      </c>
      <c r="U673">
        <f t="shared" si="10"/>
        <v>0</v>
      </c>
    </row>
    <row r="674" spans="1:21" x14ac:dyDescent="0.25">
      <c r="A674">
        <v>1768</v>
      </c>
      <c r="B674">
        <v>59</v>
      </c>
      <c r="C674" t="s">
        <v>23</v>
      </c>
      <c r="D674" t="s">
        <v>24</v>
      </c>
      <c r="E674" t="s">
        <v>25</v>
      </c>
      <c r="F674" t="s">
        <v>38</v>
      </c>
      <c r="G674" t="s">
        <v>37</v>
      </c>
      <c r="H674" t="s">
        <v>30</v>
      </c>
      <c r="I674">
        <v>17</v>
      </c>
      <c r="J674" s="2">
        <v>16381</v>
      </c>
      <c r="K674" t="s">
        <v>22</v>
      </c>
      <c r="L674">
        <v>1</v>
      </c>
      <c r="M674">
        <v>2</v>
      </c>
      <c r="N674">
        <v>9</v>
      </c>
      <c r="O674">
        <v>2</v>
      </c>
      <c r="P674">
        <v>39</v>
      </c>
      <c r="Q674" t="s">
        <v>22</v>
      </c>
      <c r="R674" t="str" cm="1">
        <f t="array" ref="R674">_xlfn.IFS(N674&lt;=1,"0-1 yrs",N674&lt;=4,"2-4 yrs",N674&lt;=9,"5-9 yrs",N674&gt;9,"10+ yrs")</f>
        <v>5-9 yrs</v>
      </c>
      <c r="S674" t="str" cm="1">
        <f t="array" ref="S674">_xlfn.IFS(B674&lt;=25,"20-25",B674&lt;=35,"26-35",B674&lt;=45,"36-45",B674&gt;45,"46+")</f>
        <v>46+</v>
      </c>
      <c r="T674" t="str" cm="1">
        <f t="array" ref="T674">_xlfn.IFS(J674&lt;3500,"&lt;3.5K",J674&lt;5500,"3.5-5.5K",J674&lt;7500,"5.5-7.5K",J674&gt;=7500,"7.5K+")</f>
        <v>7.5K+</v>
      </c>
      <c r="U674">
        <f t="shared" si="10"/>
        <v>0</v>
      </c>
    </row>
    <row r="675" spans="1:21" x14ac:dyDescent="0.25">
      <c r="A675">
        <v>1823</v>
      </c>
      <c r="B675">
        <v>39</v>
      </c>
      <c r="C675" t="s">
        <v>23</v>
      </c>
      <c r="D675" t="s">
        <v>17</v>
      </c>
      <c r="E675" t="s">
        <v>40</v>
      </c>
      <c r="F675" t="s">
        <v>19</v>
      </c>
      <c r="G675" t="s">
        <v>33</v>
      </c>
      <c r="H675" t="s">
        <v>21</v>
      </c>
      <c r="I675">
        <v>2</v>
      </c>
      <c r="J675" s="2">
        <v>6247</v>
      </c>
      <c r="K675" t="s">
        <v>22</v>
      </c>
      <c r="L675">
        <v>2</v>
      </c>
      <c r="M675">
        <v>3</v>
      </c>
      <c r="N675">
        <v>16</v>
      </c>
      <c r="O675">
        <v>6</v>
      </c>
      <c r="P675">
        <v>19</v>
      </c>
      <c r="Q675" t="s">
        <v>22</v>
      </c>
      <c r="R675" t="str" cm="1">
        <f t="array" ref="R675">_xlfn.IFS(N675&lt;=1,"0-1 yrs",N675&lt;=4,"2-4 yrs",N675&lt;=9,"5-9 yrs",N675&gt;9,"10+ yrs")</f>
        <v>10+ yrs</v>
      </c>
      <c r="S675" t="str" cm="1">
        <f t="array" ref="S675">_xlfn.IFS(B675&lt;=25,"20-25",B675&lt;=35,"26-35",B675&lt;=45,"36-45",B675&gt;45,"46+")</f>
        <v>36-45</v>
      </c>
      <c r="T675" t="str" cm="1">
        <f t="array" ref="T675">_xlfn.IFS(J675&lt;3500,"&lt;3.5K",J675&lt;5500,"3.5-5.5K",J675&lt;7500,"5.5-7.5K",J675&gt;=7500,"7.5K+")</f>
        <v>5.5-7.5K</v>
      </c>
      <c r="U675">
        <f t="shared" si="10"/>
        <v>0</v>
      </c>
    </row>
    <row r="676" spans="1:21" x14ac:dyDescent="0.25">
      <c r="A676">
        <v>1072</v>
      </c>
      <c r="B676">
        <v>34</v>
      </c>
      <c r="C676" t="s">
        <v>23</v>
      </c>
      <c r="D676" t="s">
        <v>47</v>
      </c>
      <c r="E676" t="s">
        <v>48</v>
      </c>
      <c r="F676" t="s">
        <v>36</v>
      </c>
      <c r="G676" t="s">
        <v>33</v>
      </c>
      <c r="H676" t="s">
        <v>34</v>
      </c>
      <c r="I676">
        <v>10</v>
      </c>
      <c r="J676" s="2">
        <v>6786</v>
      </c>
      <c r="K676" t="s">
        <v>22</v>
      </c>
      <c r="L676">
        <v>1</v>
      </c>
      <c r="M676">
        <v>4</v>
      </c>
      <c r="N676">
        <v>2</v>
      </c>
      <c r="O676">
        <v>2</v>
      </c>
      <c r="P676">
        <v>3</v>
      </c>
      <c r="Q676" t="s">
        <v>22</v>
      </c>
      <c r="R676" t="str" cm="1">
        <f t="array" ref="R676">_xlfn.IFS(N676&lt;=1,"0-1 yrs",N676&lt;=4,"2-4 yrs",N676&lt;=9,"5-9 yrs",N676&gt;9,"10+ yrs")</f>
        <v>2-4 yrs</v>
      </c>
      <c r="S676" t="str" cm="1">
        <f t="array" ref="S676">_xlfn.IFS(B676&lt;=25,"20-25",B676&lt;=35,"26-35",B676&lt;=45,"36-45",B676&gt;45,"46+")</f>
        <v>26-35</v>
      </c>
      <c r="T676" t="str" cm="1">
        <f t="array" ref="T676">_xlfn.IFS(J676&lt;3500,"&lt;3.5K",J676&lt;5500,"3.5-5.5K",J676&lt;7500,"5.5-7.5K",J676&gt;=7500,"7.5K+")</f>
        <v>5.5-7.5K</v>
      </c>
      <c r="U676">
        <f t="shared" si="10"/>
        <v>0</v>
      </c>
    </row>
    <row r="677" spans="1:21" x14ac:dyDescent="0.25">
      <c r="A677">
        <v>1043</v>
      </c>
      <c r="B677">
        <v>60</v>
      </c>
      <c r="C677" t="s">
        <v>23</v>
      </c>
      <c r="D677" t="s">
        <v>17</v>
      </c>
      <c r="E677" t="s">
        <v>35</v>
      </c>
      <c r="F677" t="s">
        <v>19</v>
      </c>
      <c r="G677" t="s">
        <v>20</v>
      </c>
      <c r="H677" t="s">
        <v>34</v>
      </c>
      <c r="I677">
        <v>27</v>
      </c>
      <c r="J677" s="2">
        <v>11421</v>
      </c>
      <c r="K677" t="s">
        <v>22</v>
      </c>
      <c r="L677">
        <v>3</v>
      </c>
      <c r="M677">
        <v>4</v>
      </c>
      <c r="N677">
        <v>4</v>
      </c>
      <c r="O677">
        <v>3</v>
      </c>
      <c r="P677">
        <v>40</v>
      </c>
      <c r="Q677" t="s">
        <v>22</v>
      </c>
      <c r="R677" t="str" cm="1">
        <f t="array" ref="R677">_xlfn.IFS(N677&lt;=1,"0-1 yrs",N677&lt;=4,"2-4 yrs",N677&lt;=9,"5-9 yrs",N677&gt;9,"10+ yrs")</f>
        <v>2-4 yrs</v>
      </c>
      <c r="S677" t="str" cm="1">
        <f t="array" ref="S677">_xlfn.IFS(B677&lt;=25,"20-25",B677&lt;=35,"26-35",B677&lt;=45,"36-45",B677&gt;45,"46+")</f>
        <v>46+</v>
      </c>
      <c r="T677" t="str" cm="1">
        <f t="array" ref="T677">_xlfn.IFS(J677&lt;3500,"&lt;3.5K",J677&lt;5500,"3.5-5.5K",J677&lt;7500,"5.5-7.5K",J677&gt;=7500,"7.5K+")</f>
        <v>7.5K+</v>
      </c>
      <c r="U677">
        <f t="shared" si="10"/>
        <v>0</v>
      </c>
    </row>
    <row r="678" spans="1:21" x14ac:dyDescent="0.25">
      <c r="A678">
        <v>1056</v>
      </c>
      <c r="B678">
        <v>40</v>
      </c>
      <c r="C678" t="s">
        <v>23</v>
      </c>
      <c r="D678" t="s">
        <v>17</v>
      </c>
      <c r="E678" t="s">
        <v>40</v>
      </c>
      <c r="F678" t="s">
        <v>26</v>
      </c>
      <c r="G678" t="s">
        <v>20</v>
      </c>
      <c r="H678" t="s">
        <v>30</v>
      </c>
      <c r="I678">
        <v>17</v>
      </c>
      <c r="J678" s="2">
        <v>8594</v>
      </c>
      <c r="K678" t="s">
        <v>42</v>
      </c>
      <c r="L678">
        <v>4</v>
      </c>
      <c r="M678">
        <v>4</v>
      </c>
      <c r="N678">
        <v>12</v>
      </c>
      <c r="O678">
        <v>8</v>
      </c>
      <c r="P678">
        <v>15</v>
      </c>
      <c r="Q678" t="s">
        <v>22</v>
      </c>
      <c r="R678" t="str" cm="1">
        <f t="array" ref="R678">_xlfn.IFS(N678&lt;=1,"0-1 yrs",N678&lt;=4,"2-4 yrs",N678&lt;=9,"5-9 yrs",N678&gt;9,"10+ yrs")</f>
        <v>10+ yrs</v>
      </c>
      <c r="S678" t="str" cm="1">
        <f t="array" ref="S678">_xlfn.IFS(B678&lt;=25,"20-25",B678&lt;=35,"26-35",B678&lt;=45,"36-45",B678&gt;45,"46+")</f>
        <v>36-45</v>
      </c>
      <c r="T678" t="str" cm="1">
        <f t="array" ref="T678">_xlfn.IFS(J678&lt;3500,"&lt;3.5K",J678&lt;5500,"3.5-5.5K",J678&lt;7500,"5.5-7.5K",J678&gt;=7500,"7.5K+")</f>
        <v>7.5K+</v>
      </c>
      <c r="U678">
        <f t="shared" si="10"/>
        <v>0</v>
      </c>
    </row>
    <row r="679" spans="1:21" x14ac:dyDescent="0.25">
      <c r="A679">
        <v>1752</v>
      </c>
      <c r="B679">
        <v>26</v>
      </c>
      <c r="C679" t="s">
        <v>16</v>
      </c>
      <c r="D679" t="s">
        <v>17</v>
      </c>
      <c r="E679" t="s">
        <v>40</v>
      </c>
      <c r="F679" t="s">
        <v>36</v>
      </c>
      <c r="G679" t="s">
        <v>33</v>
      </c>
      <c r="H679" t="s">
        <v>34</v>
      </c>
      <c r="I679">
        <v>29</v>
      </c>
      <c r="J679" s="2">
        <v>6649</v>
      </c>
      <c r="K679" t="s">
        <v>22</v>
      </c>
      <c r="L679">
        <v>4</v>
      </c>
      <c r="M679">
        <v>3</v>
      </c>
      <c r="N679">
        <v>5</v>
      </c>
      <c r="O679">
        <v>2</v>
      </c>
      <c r="P679">
        <v>6</v>
      </c>
      <c r="Q679" t="s">
        <v>22</v>
      </c>
      <c r="R679" t="str" cm="1">
        <f t="array" ref="R679">_xlfn.IFS(N679&lt;=1,"0-1 yrs",N679&lt;=4,"2-4 yrs",N679&lt;=9,"5-9 yrs",N679&gt;9,"10+ yrs")</f>
        <v>5-9 yrs</v>
      </c>
      <c r="S679" t="str" cm="1">
        <f t="array" ref="S679">_xlfn.IFS(B679&lt;=25,"20-25",B679&lt;=35,"26-35",B679&lt;=45,"36-45",B679&gt;45,"46+")</f>
        <v>26-35</v>
      </c>
      <c r="T679" t="str" cm="1">
        <f t="array" ref="T679">_xlfn.IFS(J679&lt;3500,"&lt;3.5K",J679&lt;5500,"3.5-5.5K",J679&lt;7500,"5.5-7.5K",J679&gt;=7500,"7.5K+")</f>
        <v>5.5-7.5K</v>
      </c>
      <c r="U679">
        <f t="shared" si="10"/>
        <v>0</v>
      </c>
    </row>
    <row r="680" spans="1:21" x14ac:dyDescent="0.25">
      <c r="A680">
        <v>1126</v>
      </c>
      <c r="B680">
        <v>47</v>
      </c>
      <c r="C680" t="s">
        <v>16</v>
      </c>
      <c r="D680" t="s">
        <v>24</v>
      </c>
      <c r="E680" t="s">
        <v>46</v>
      </c>
      <c r="F680" t="s">
        <v>29</v>
      </c>
      <c r="G680" t="s">
        <v>20</v>
      </c>
      <c r="H680" t="s">
        <v>34</v>
      </c>
      <c r="I680">
        <v>18</v>
      </c>
      <c r="J680" s="2">
        <v>10918</v>
      </c>
      <c r="K680" t="s">
        <v>42</v>
      </c>
      <c r="L680">
        <v>1</v>
      </c>
      <c r="M680">
        <v>4</v>
      </c>
      <c r="N680">
        <v>11</v>
      </c>
      <c r="O680">
        <v>6</v>
      </c>
      <c r="P680">
        <v>25</v>
      </c>
      <c r="Q680" t="s">
        <v>42</v>
      </c>
      <c r="R680" t="str" cm="1">
        <f t="array" ref="R680">_xlfn.IFS(N680&lt;=1,"0-1 yrs",N680&lt;=4,"2-4 yrs",N680&lt;=9,"5-9 yrs",N680&gt;9,"10+ yrs")</f>
        <v>10+ yrs</v>
      </c>
      <c r="S680" t="str" cm="1">
        <f t="array" ref="S680">_xlfn.IFS(B680&lt;=25,"20-25",B680&lt;=35,"26-35",B680&lt;=45,"36-45",B680&gt;45,"46+")</f>
        <v>46+</v>
      </c>
      <c r="T680" t="str" cm="1">
        <f t="array" ref="T680">_xlfn.IFS(J680&lt;3500,"&lt;3.5K",J680&lt;5500,"3.5-5.5K",J680&lt;7500,"5.5-7.5K",J680&gt;=7500,"7.5K+")</f>
        <v>7.5K+</v>
      </c>
      <c r="U680">
        <f t="shared" si="10"/>
        <v>1</v>
      </c>
    </row>
    <row r="681" spans="1:21" x14ac:dyDescent="0.25">
      <c r="A681">
        <v>1186</v>
      </c>
      <c r="B681">
        <v>40</v>
      </c>
      <c r="C681" t="s">
        <v>23</v>
      </c>
      <c r="D681" t="s">
        <v>38</v>
      </c>
      <c r="E681" t="s">
        <v>39</v>
      </c>
      <c r="F681" t="s">
        <v>32</v>
      </c>
      <c r="G681" t="s">
        <v>37</v>
      </c>
      <c r="H681" t="s">
        <v>34</v>
      </c>
      <c r="I681">
        <v>9</v>
      </c>
      <c r="J681" s="2">
        <v>8246</v>
      </c>
      <c r="K681" t="s">
        <v>22</v>
      </c>
      <c r="L681">
        <v>2</v>
      </c>
      <c r="M681">
        <v>4</v>
      </c>
      <c r="N681">
        <v>18</v>
      </c>
      <c r="O681">
        <v>8</v>
      </c>
      <c r="P681">
        <v>20</v>
      </c>
      <c r="Q681" t="s">
        <v>22</v>
      </c>
      <c r="R681" t="str" cm="1">
        <f t="array" ref="R681">_xlfn.IFS(N681&lt;=1,"0-1 yrs",N681&lt;=4,"2-4 yrs",N681&lt;=9,"5-9 yrs",N681&gt;9,"10+ yrs")</f>
        <v>10+ yrs</v>
      </c>
      <c r="S681" t="str" cm="1">
        <f t="array" ref="S681">_xlfn.IFS(B681&lt;=25,"20-25",B681&lt;=35,"26-35",B681&lt;=45,"36-45",B681&gt;45,"46+")</f>
        <v>36-45</v>
      </c>
      <c r="T681" t="str" cm="1">
        <f t="array" ref="T681">_xlfn.IFS(J681&lt;3500,"&lt;3.5K",J681&lt;5500,"3.5-5.5K",J681&lt;7500,"5.5-7.5K",J681&gt;=7500,"7.5K+")</f>
        <v>7.5K+</v>
      </c>
      <c r="U681">
        <f t="shared" si="10"/>
        <v>0</v>
      </c>
    </row>
    <row r="682" spans="1:21" x14ac:dyDescent="0.25">
      <c r="A682">
        <v>1144</v>
      </c>
      <c r="B682">
        <v>52</v>
      </c>
      <c r="C682" t="s">
        <v>16</v>
      </c>
      <c r="D682" t="s">
        <v>38</v>
      </c>
      <c r="E682" t="s">
        <v>39</v>
      </c>
      <c r="F682" t="s">
        <v>38</v>
      </c>
      <c r="G682" t="s">
        <v>33</v>
      </c>
      <c r="H682" t="s">
        <v>21</v>
      </c>
      <c r="I682">
        <v>22</v>
      </c>
      <c r="J682" s="2">
        <v>9639</v>
      </c>
      <c r="K682" t="s">
        <v>22</v>
      </c>
      <c r="L682">
        <v>4</v>
      </c>
      <c r="M682">
        <v>1</v>
      </c>
      <c r="N682">
        <v>4</v>
      </c>
      <c r="O682">
        <v>4</v>
      </c>
      <c r="P682">
        <v>26</v>
      </c>
      <c r="Q682" t="s">
        <v>22</v>
      </c>
      <c r="R682" t="str" cm="1">
        <f t="array" ref="R682">_xlfn.IFS(N682&lt;=1,"0-1 yrs",N682&lt;=4,"2-4 yrs",N682&lt;=9,"5-9 yrs",N682&gt;9,"10+ yrs")</f>
        <v>2-4 yrs</v>
      </c>
      <c r="S682" t="str" cm="1">
        <f t="array" ref="S682">_xlfn.IFS(B682&lt;=25,"20-25",B682&lt;=35,"26-35",B682&lt;=45,"36-45",B682&gt;45,"46+")</f>
        <v>46+</v>
      </c>
      <c r="T682" t="str" cm="1">
        <f t="array" ref="T682">_xlfn.IFS(J682&lt;3500,"&lt;3.5K",J682&lt;5500,"3.5-5.5K",J682&lt;7500,"5.5-7.5K",J682&gt;=7500,"7.5K+")</f>
        <v>7.5K+</v>
      </c>
      <c r="U682">
        <f t="shared" si="10"/>
        <v>0</v>
      </c>
    </row>
    <row r="683" spans="1:21" x14ac:dyDescent="0.25">
      <c r="A683">
        <v>1123</v>
      </c>
      <c r="B683">
        <v>45</v>
      </c>
      <c r="C683" t="s">
        <v>16</v>
      </c>
      <c r="D683" t="s">
        <v>27</v>
      </c>
      <c r="E683" t="s">
        <v>44</v>
      </c>
      <c r="F683" t="s">
        <v>36</v>
      </c>
      <c r="G683" t="s">
        <v>33</v>
      </c>
      <c r="H683" t="s">
        <v>21</v>
      </c>
      <c r="I683">
        <v>15</v>
      </c>
      <c r="J683" s="2">
        <v>11406</v>
      </c>
      <c r="K683" t="s">
        <v>42</v>
      </c>
      <c r="L683">
        <v>2</v>
      </c>
      <c r="M683">
        <v>4</v>
      </c>
      <c r="N683">
        <v>17</v>
      </c>
      <c r="O683">
        <v>3</v>
      </c>
      <c r="P683">
        <v>24</v>
      </c>
      <c r="Q683" t="s">
        <v>42</v>
      </c>
      <c r="R683" t="str" cm="1">
        <f t="array" ref="R683">_xlfn.IFS(N683&lt;=1,"0-1 yrs",N683&lt;=4,"2-4 yrs",N683&lt;=9,"5-9 yrs",N683&gt;9,"10+ yrs")</f>
        <v>10+ yrs</v>
      </c>
      <c r="S683" t="str" cm="1">
        <f t="array" ref="S683">_xlfn.IFS(B683&lt;=25,"20-25",B683&lt;=35,"26-35",B683&lt;=45,"36-45",B683&gt;45,"46+")</f>
        <v>36-45</v>
      </c>
      <c r="T683" t="str" cm="1">
        <f t="array" ref="T683">_xlfn.IFS(J683&lt;3500,"&lt;3.5K",J683&lt;5500,"3.5-5.5K",J683&lt;7500,"5.5-7.5K",J683&gt;=7500,"7.5K+")</f>
        <v>7.5K+</v>
      </c>
      <c r="U683">
        <f t="shared" si="10"/>
        <v>1</v>
      </c>
    </row>
    <row r="684" spans="1:21" x14ac:dyDescent="0.25">
      <c r="A684">
        <v>1778</v>
      </c>
      <c r="B684">
        <v>33</v>
      </c>
      <c r="C684" t="s">
        <v>23</v>
      </c>
      <c r="D684" t="s">
        <v>47</v>
      </c>
      <c r="E684" t="s">
        <v>53</v>
      </c>
      <c r="F684" t="s">
        <v>41</v>
      </c>
      <c r="G684" t="s">
        <v>33</v>
      </c>
      <c r="H684" t="s">
        <v>34</v>
      </c>
      <c r="I684">
        <v>10</v>
      </c>
      <c r="J684" s="2">
        <v>10777</v>
      </c>
      <c r="K684" t="s">
        <v>42</v>
      </c>
      <c r="L684">
        <v>3</v>
      </c>
      <c r="M684">
        <v>3</v>
      </c>
      <c r="N684">
        <v>4</v>
      </c>
      <c r="O684">
        <v>2</v>
      </c>
      <c r="P684">
        <v>5</v>
      </c>
      <c r="Q684" t="s">
        <v>22</v>
      </c>
      <c r="R684" t="str" cm="1">
        <f t="array" ref="R684">_xlfn.IFS(N684&lt;=1,"0-1 yrs",N684&lt;=4,"2-4 yrs",N684&lt;=9,"5-9 yrs",N684&gt;9,"10+ yrs")</f>
        <v>2-4 yrs</v>
      </c>
      <c r="S684" t="str" cm="1">
        <f t="array" ref="S684">_xlfn.IFS(B684&lt;=25,"20-25",B684&lt;=35,"26-35",B684&lt;=45,"36-45",B684&gt;45,"46+")</f>
        <v>26-35</v>
      </c>
      <c r="T684" t="str" cm="1">
        <f t="array" ref="T684">_xlfn.IFS(J684&lt;3500,"&lt;3.5K",J684&lt;5500,"3.5-5.5K",J684&lt;7500,"5.5-7.5K",J684&gt;=7500,"7.5K+")</f>
        <v>7.5K+</v>
      </c>
      <c r="U684">
        <f t="shared" si="10"/>
        <v>0</v>
      </c>
    </row>
    <row r="685" spans="1:21" x14ac:dyDescent="0.25">
      <c r="A685">
        <v>1397</v>
      </c>
      <c r="B685">
        <v>56</v>
      </c>
      <c r="C685" t="s">
        <v>16</v>
      </c>
      <c r="D685" t="s">
        <v>24</v>
      </c>
      <c r="E685" t="s">
        <v>45</v>
      </c>
      <c r="F685" t="s">
        <v>38</v>
      </c>
      <c r="G685" t="s">
        <v>37</v>
      </c>
      <c r="H685" t="s">
        <v>21</v>
      </c>
      <c r="I685">
        <v>20</v>
      </c>
      <c r="J685" s="2">
        <v>9723</v>
      </c>
      <c r="K685" t="s">
        <v>22</v>
      </c>
      <c r="L685">
        <v>2</v>
      </c>
      <c r="M685">
        <v>1</v>
      </c>
      <c r="N685">
        <v>25</v>
      </c>
      <c r="O685">
        <v>9</v>
      </c>
      <c r="P685">
        <v>31</v>
      </c>
      <c r="Q685" t="s">
        <v>22</v>
      </c>
      <c r="R685" t="str" cm="1">
        <f t="array" ref="R685">_xlfn.IFS(N685&lt;=1,"0-1 yrs",N685&lt;=4,"2-4 yrs",N685&lt;=9,"5-9 yrs",N685&gt;9,"10+ yrs")</f>
        <v>10+ yrs</v>
      </c>
      <c r="S685" t="str" cm="1">
        <f t="array" ref="S685">_xlfn.IFS(B685&lt;=25,"20-25",B685&lt;=35,"26-35",B685&lt;=45,"36-45",B685&gt;45,"46+")</f>
        <v>46+</v>
      </c>
      <c r="T685" t="str" cm="1">
        <f t="array" ref="T685">_xlfn.IFS(J685&lt;3500,"&lt;3.5K",J685&lt;5500,"3.5-5.5K",J685&lt;7500,"5.5-7.5K",J685&gt;=7500,"7.5K+")</f>
        <v>7.5K+</v>
      </c>
      <c r="U685">
        <f t="shared" si="10"/>
        <v>0</v>
      </c>
    </row>
    <row r="686" spans="1:21" x14ac:dyDescent="0.25">
      <c r="A686">
        <v>1448</v>
      </c>
      <c r="B686">
        <v>42</v>
      </c>
      <c r="C686" t="s">
        <v>16</v>
      </c>
      <c r="D686" t="s">
        <v>47</v>
      </c>
      <c r="E686" t="s">
        <v>48</v>
      </c>
      <c r="F686" t="s">
        <v>29</v>
      </c>
      <c r="G686" t="s">
        <v>33</v>
      </c>
      <c r="H686" t="s">
        <v>30</v>
      </c>
      <c r="I686">
        <v>21</v>
      </c>
      <c r="J686" s="2">
        <v>10455</v>
      </c>
      <c r="K686" t="s">
        <v>22</v>
      </c>
      <c r="L686">
        <v>1</v>
      </c>
      <c r="M686">
        <v>3</v>
      </c>
      <c r="N686">
        <v>13</v>
      </c>
      <c r="O686">
        <v>10</v>
      </c>
      <c r="P686">
        <v>20</v>
      </c>
      <c r="Q686" t="s">
        <v>22</v>
      </c>
      <c r="R686" t="str" cm="1">
        <f t="array" ref="R686">_xlfn.IFS(N686&lt;=1,"0-1 yrs",N686&lt;=4,"2-4 yrs",N686&lt;=9,"5-9 yrs",N686&gt;9,"10+ yrs")</f>
        <v>10+ yrs</v>
      </c>
      <c r="S686" t="str" cm="1">
        <f t="array" ref="S686">_xlfn.IFS(B686&lt;=25,"20-25",B686&lt;=35,"26-35",B686&lt;=45,"36-45",B686&gt;45,"46+")</f>
        <v>36-45</v>
      </c>
      <c r="T686" t="str" cm="1">
        <f t="array" ref="T686">_xlfn.IFS(J686&lt;3500,"&lt;3.5K",J686&lt;5500,"3.5-5.5K",J686&lt;7500,"5.5-7.5K",J686&gt;=7500,"7.5K+")</f>
        <v>7.5K+</v>
      </c>
      <c r="U686">
        <f t="shared" si="10"/>
        <v>0</v>
      </c>
    </row>
    <row r="687" spans="1:21" x14ac:dyDescent="0.25">
      <c r="A687">
        <v>1488</v>
      </c>
      <c r="B687">
        <v>35</v>
      </c>
      <c r="C687" t="s">
        <v>23</v>
      </c>
      <c r="D687" t="s">
        <v>17</v>
      </c>
      <c r="E687" t="s">
        <v>35</v>
      </c>
      <c r="F687" t="s">
        <v>68</v>
      </c>
      <c r="G687" t="s">
        <v>37</v>
      </c>
      <c r="H687" t="s">
        <v>34</v>
      </c>
      <c r="I687">
        <v>11</v>
      </c>
      <c r="J687" s="2">
        <v>3502</v>
      </c>
      <c r="K687" t="s">
        <v>42</v>
      </c>
      <c r="L687">
        <v>1</v>
      </c>
      <c r="M687">
        <v>4</v>
      </c>
      <c r="N687">
        <v>1</v>
      </c>
      <c r="O687">
        <v>1</v>
      </c>
      <c r="P687">
        <v>2</v>
      </c>
      <c r="Q687" t="s">
        <v>22</v>
      </c>
      <c r="R687" t="str" cm="1">
        <f t="array" ref="R687">_xlfn.IFS(N687&lt;=1,"0-1 yrs",N687&lt;=4,"2-4 yrs",N687&lt;=9,"5-9 yrs",N687&gt;9,"10+ yrs")</f>
        <v>0-1 yrs</v>
      </c>
      <c r="S687" t="str" cm="1">
        <f t="array" ref="S687">_xlfn.IFS(B687&lt;=25,"20-25",B687&lt;=35,"26-35",B687&lt;=45,"36-45",B687&gt;45,"46+")</f>
        <v>26-35</v>
      </c>
      <c r="T687" t="str" cm="1">
        <f t="array" ref="T687">_xlfn.IFS(J687&lt;3500,"&lt;3.5K",J687&lt;5500,"3.5-5.5K",J687&lt;7500,"5.5-7.5K",J687&gt;=7500,"7.5K+")</f>
        <v>3.5-5.5K</v>
      </c>
      <c r="U687">
        <f t="shared" si="10"/>
        <v>0</v>
      </c>
    </row>
    <row r="688" spans="1:21" x14ac:dyDescent="0.25">
      <c r="A688">
        <v>1111</v>
      </c>
      <c r="B688">
        <v>47</v>
      </c>
      <c r="C688" t="s">
        <v>23</v>
      </c>
      <c r="D688" t="s">
        <v>27</v>
      </c>
      <c r="E688" t="s">
        <v>31</v>
      </c>
      <c r="F688" t="s">
        <v>38</v>
      </c>
      <c r="G688" t="s">
        <v>20</v>
      </c>
      <c r="H688" t="s">
        <v>34</v>
      </c>
      <c r="I688">
        <v>10</v>
      </c>
      <c r="J688" s="2">
        <v>7237</v>
      </c>
      <c r="K688" t="s">
        <v>22</v>
      </c>
      <c r="L688">
        <v>1</v>
      </c>
      <c r="M688">
        <v>3</v>
      </c>
      <c r="N688">
        <v>9</v>
      </c>
      <c r="O688">
        <v>5</v>
      </c>
      <c r="P688">
        <v>15</v>
      </c>
      <c r="Q688" t="s">
        <v>22</v>
      </c>
      <c r="R688" t="str" cm="1">
        <f t="array" ref="R688">_xlfn.IFS(N688&lt;=1,"0-1 yrs",N688&lt;=4,"2-4 yrs",N688&lt;=9,"5-9 yrs",N688&gt;9,"10+ yrs")</f>
        <v>5-9 yrs</v>
      </c>
      <c r="S688" t="str" cm="1">
        <f t="array" ref="S688">_xlfn.IFS(B688&lt;=25,"20-25",B688&lt;=35,"26-35",B688&lt;=45,"36-45",B688&gt;45,"46+")</f>
        <v>46+</v>
      </c>
      <c r="T688" t="str" cm="1">
        <f t="array" ref="T688">_xlfn.IFS(J688&lt;3500,"&lt;3.5K",J688&lt;5500,"3.5-5.5K",J688&lt;7500,"5.5-7.5K",J688&gt;=7500,"7.5K+")</f>
        <v>5.5-7.5K</v>
      </c>
      <c r="U688">
        <f t="shared" si="10"/>
        <v>0</v>
      </c>
    </row>
    <row r="689" spans="1:21" x14ac:dyDescent="0.25">
      <c r="A689">
        <v>1610</v>
      </c>
      <c r="B689">
        <v>54</v>
      </c>
      <c r="C689" t="s">
        <v>16</v>
      </c>
      <c r="D689" t="s">
        <v>17</v>
      </c>
      <c r="E689" t="s">
        <v>40</v>
      </c>
      <c r="F689" t="s">
        <v>68</v>
      </c>
      <c r="G689" t="s">
        <v>37</v>
      </c>
      <c r="H689" t="s">
        <v>30</v>
      </c>
      <c r="I689">
        <v>13</v>
      </c>
      <c r="J689" s="2">
        <v>8667</v>
      </c>
      <c r="K689" t="s">
        <v>22</v>
      </c>
      <c r="L689">
        <v>2</v>
      </c>
      <c r="M689">
        <v>1</v>
      </c>
      <c r="N689">
        <v>25</v>
      </c>
      <c r="O689">
        <v>22</v>
      </c>
      <c r="P689">
        <v>26</v>
      </c>
      <c r="Q689" t="s">
        <v>22</v>
      </c>
      <c r="R689" t="str" cm="1">
        <f t="array" ref="R689">_xlfn.IFS(N689&lt;=1,"0-1 yrs",N689&lt;=4,"2-4 yrs",N689&lt;=9,"5-9 yrs",N689&gt;9,"10+ yrs")</f>
        <v>10+ yrs</v>
      </c>
      <c r="S689" t="str" cm="1">
        <f t="array" ref="S689">_xlfn.IFS(B689&lt;=25,"20-25",B689&lt;=35,"26-35",B689&lt;=45,"36-45",B689&gt;45,"46+")</f>
        <v>46+</v>
      </c>
      <c r="T689" t="str" cm="1">
        <f t="array" ref="T689">_xlfn.IFS(J689&lt;3500,"&lt;3.5K",J689&lt;5500,"3.5-5.5K",J689&lt;7500,"5.5-7.5K",J689&gt;=7500,"7.5K+")</f>
        <v>7.5K+</v>
      </c>
      <c r="U689">
        <f t="shared" si="10"/>
        <v>0</v>
      </c>
    </row>
    <row r="690" spans="1:21" x14ac:dyDescent="0.25">
      <c r="A690">
        <v>1793</v>
      </c>
      <c r="B690">
        <v>27</v>
      </c>
      <c r="C690" t="s">
        <v>16</v>
      </c>
      <c r="D690" t="s">
        <v>17</v>
      </c>
      <c r="E690" t="s">
        <v>18</v>
      </c>
      <c r="F690" t="s">
        <v>68</v>
      </c>
      <c r="G690" t="s">
        <v>20</v>
      </c>
      <c r="H690" t="s">
        <v>34</v>
      </c>
      <c r="I690">
        <v>24</v>
      </c>
      <c r="J690" s="2">
        <v>8161</v>
      </c>
      <c r="K690" t="s">
        <v>42</v>
      </c>
      <c r="L690">
        <v>1</v>
      </c>
      <c r="M690">
        <v>1</v>
      </c>
      <c r="N690">
        <v>3</v>
      </c>
      <c r="O690">
        <v>1</v>
      </c>
      <c r="P690">
        <v>4</v>
      </c>
      <c r="Q690" t="s">
        <v>22</v>
      </c>
      <c r="R690" t="str" cm="1">
        <f t="array" ref="R690">_xlfn.IFS(N690&lt;=1,"0-1 yrs",N690&lt;=4,"2-4 yrs",N690&lt;=9,"5-9 yrs",N690&gt;9,"10+ yrs")</f>
        <v>2-4 yrs</v>
      </c>
      <c r="S690" t="str" cm="1">
        <f t="array" ref="S690">_xlfn.IFS(B690&lt;=25,"20-25",B690&lt;=35,"26-35",B690&lt;=45,"36-45",B690&gt;45,"46+")</f>
        <v>26-35</v>
      </c>
      <c r="T690" t="str" cm="1">
        <f t="array" ref="T690">_xlfn.IFS(J690&lt;3500,"&lt;3.5K",J690&lt;5500,"3.5-5.5K",J690&lt;7500,"5.5-7.5K",J690&gt;=7500,"7.5K+")</f>
        <v>7.5K+</v>
      </c>
      <c r="U690">
        <f t="shared" si="10"/>
        <v>0</v>
      </c>
    </row>
    <row r="691" spans="1:21" x14ac:dyDescent="0.25">
      <c r="A691">
        <v>1644</v>
      </c>
      <c r="B691">
        <v>60</v>
      </c>
      <c r="C691" t="s">
        <v>23</v>
      </c>
      <c r="D691" t="s">
        <v>17</v>
      </c>
      <c r="E691" t="s">
        <v>18</v>
      </c>
      <c r="F691" t="s">
        <v>32</v>
      </c>
      <c r="G691" t="s">
        <v>33</v>
      </c>
      <c r="H691" t="s">
        <v>34</v>
      </c>
      <c r="I691">
        <v>14</v>
      </c>
      <c r="J691" s="2">
        <v>13884</v>
      </c>
      <c r="K691" t="s">
        <v>22</v>
      </c>
      <c r="L691">
        <v>3</v>
      </c>
      <c r="M691">
        <v>2</v>
      </c>
      <c r="N691">
        <v>4</v>
      </c>
      <c r="O691">
        <v>3</v>
      </c>
      <c r="P691">
        <v>33</v>
      </c>
      <c r="Q691" t="s">
        <v>42</v>
      </c>
      <c r="R691" t="str" cm="1">
        <f t="array" ref="R691">_xlfn.IFS(N691&lt;=1,"0-1 yrs",N691&lt;=4,"2-4 yrs",N691&lt;=9,"5-9 yrs",N691&gt;9,"10+ yrs")</f>
        <v>2-4 yrs</v>
      </c>
      <c r="S691" t="str" cm="1">
        <f t="array" ref="S691">_xlfn.IFS(B691&lt;=25,"20-25",B691&lt;=35,"26-35",B691&lt;=45,"36-45",B691&gt;45,"46+")</f>
        <v>46+</v>
      </c>
      <c r="T691" t="str" cm="1">
        <f t="array" ref="T691">_xlfn.IFS(J691&lt;3500,"&lt;3.5K",J691&lt;5500,"3.5-5.5K",J691&lt;7500,"5.5-7.5K",J691&gt;=7500,"7.5K+")</f>
        <v>7.5K+</v>
      </c>
      <c r="U691">
        <f t="shared" si="10"/>
        <v>1</v>
      </c>
    </row>
    <row r="692" spans="1:21" x14ac:dyDescent="0.25">
      <c r="A692">
        <v>1438</v>
      </c>
      <c r="B692">
        <v>33</v>
      </c>
      <c r="C692" t="s">
        <v>23</v>
      </c>
      <c r="D692" t="s">
        <v>17</v>
      </c>
      <c r="E692" t="s">
        <v>40</v>
      </c>
      <c r="F692" t="s">
        <v>36</v>
      </c>
      <c r="G692" t="s">
        <v>33</v>
      </c>
      <c r="H692" t="s">
        <v>21</v>
      </c>
      <c r="I692">
        <v>6</v>
      </c>
      <c r="J692" s="2">
        <v>6317</v>
      </c>
      <c r="K692" t="s">
        <v>22</v>
      </c>
      <c r="L692">
        <v>3</v>
      </c>
      <c r="M692">
        <v>4</v>
      </c>
      <c r="N692">
        <v>5</v>
      </c>
      <c r="O692">
        <v>2</v>
      </c>
      <c r="P692">
        <v>7</v>
      </c>
      <c r="Q692" t="s">
        <v>22</v>
      </c>
      <c r="R692" t="str" cm="1">
        <f t="array" ref="R692">_xlfn.IFS(N692&lt;=1,"0-1 yrs",N692&lt;=4,"2-4 yrs",N692&lt;=9,"5-9 yrs",N692&gt;9,"10+ yrs")</f>
        <v>5-9 yrs</v>
      </c>
      <c r="S692" t="str" cm="1">
        <f t="array" ref="S692">_xlfn.IFS(B692&lt;=25,"20-25",B692&lt;=35,"26-35",B692&lt;=45,"36-45",B692&gt;45,"46+")</f>
        <v>26-35</v>
      </c>
      <c r="T692" t="str" cm="1">
        <f t="array" ref="T692">_xlfn.IFS(J692&lt;3500,"&lt;3.5K",J692&lt;5500,"3.5-5.5K",J692&lt;7500,"5.5-7.5K",J692&gt;=7500,"7.5K+")</f>
        <v>5.5-7.5K</v>
      </c>
      <c r="U692">
        <f t="shared" si="10"/>
        <v>0</v>
      </c>
    </row>
    <row r="693" spans="1:21" x14ac:dyDescent="0.25">
      <c r="A693">
        <v>1053</v>
      </c>
      <c r="B693">
        <v>58</v>
      </c>
      <c r="C693" t="s">
        <v>23</v>
      </c>
      <c r="D693" t="s">
        <v>17</v>
      </c>
      <c r="E693" t="s">
        <v>35</v>
      </c>
      <c r="F693" t="s">
        <v>41</v>
      </c>
      <c r="G693" t="s">
        <v>20</v>
      </c>
      <c r="H693" t="s">
        <v>34</v>
      </c>
      <c r="I693">
        <v>9</v>
      </c>
      <c r="J693" s="2">
        <v>9323</v>
      </c>
      <c r="K693" t="s">
        <v>22</v>
      </c>
      <c r="L693">
        <v>4</v>
      </c>
      <c r="M693">
        <v>3</v>
      </c>
      <c r="N693">
        <v>9</v>
      </c>
      <c r="O693">
        <v>7</v>
      </c>
      <c r="P693">
        <v>33</v>
      </c>
      <c r="Q693" t="s">
        <v>22</v>
      </c>
      <c r="R693" t="str" cm="1">
        <f t="array" ref="R693">_xlfn.IFS(N693&lt;=1,"0-1 yrs",N693&lt;=4,"2-4 yrs",N693&lt;=9,"5-9 yrs",N693&gt;9,"10+ yrs")</f>
        <v>5-9 yrs</v>
      </c>
      <c r="S693" t="str" cm="1">
        <f t="array" ref="S693">_xlfn.IFS(B693&lt;=25,"20-25",B693&lt;=35,"26-35",B693&lt;=45,"36-45",B693&gt;45,"46+")</f>
        <v>46+</v>
      </c>
      <c r="T693" t="str" cm="1">
        <f t="array" ref="T693">_xlfn.IFS(J693&lt;3500,"&lt;3.5K",J693&lt;5500,"3.5-5.5K",J693&lt;7500,"5.5-7.5K",J693&gt;=7500,"7.5K+")</f>
        <v>7.5K+</v>
      </c>
      <c r="U693">
        <f t="shared" si="10"/>
        <v>0</v>
      </c>
    </row>
    <row r="694" spans="1:21" x14ac:dyDescent="0.25">
      <c r="A694">
        <v>1926</v>
      </c>
      <c r="B694">
        <v>23</v>
      </c>
      <c r="C694" t="s">
        <v>16</v>
      </c>
      <c r="D694" t="s">
        <v>24</v>
      </c>
      <c r="E694" t="s">
        <v>25</v>
      </c>
      <c r="F694" t="s">
        <v>26</v>
      </c>
      <c r="G694" t="s">
        <v>37</v>
      </c>
      <c r="H694" t="s">
        <v>21</v>
      </c>
      <c r="I694">
        <v>18</v>
      </c>
      <c r="J694" s="2">
        <v>9006</v>
      </c>
      <c r="K694" t="s">
        <v>22</v>
      </c>
      <c r="L694">
        <v>4</v>
      </c>
      <c r="M694">
        <v>2</v>
      </c>
      <c r="N694">
        <v>0</v>
      </c>
      <c r="O694">
        <v>0</v>
      </c>
      <c r="P694">
        <v>0</v>
      </c>
      <c r="Q694" t="s">
        <v>42</v>
      </c>
      <c r="R694" t="str" cm="1">
        <f t="array" ref="R694">_xlfn.IFS(N694&lt;=1,"0-1 yrs",N694&lt;=4,"2-4 yrs",N694&lt;=9,"5-9 yrs",N694&gt;9,"10+ yrs")</f>
        <v>0-1 yrs</v>
      </c>
      <c r="S694" t="str" cm="1">
        <f t="array" ref="S694">_xlfn.IFS(B694&lt;=25,"20-25",B694&lt;=35,"26-35",B694&lt;=45,"36-45",B694&gt;45,"46+")</f>
        <v>20-25</v>
      </c>
      <c r="T694" t="str" cm="1">
        <f t="array" ref="T694">_xlfn.IFS(J694&lt;3500,"&lt;3.5K",J694&lt;5500,"3.5-5.5K",J694&lt;7500,"5.5-7.5K",J694&gt;=7500,"7.5K+")</f>
        <v>7.5K+</v>
      </c>
      <c r="U694">
        <f t="shared" si="10"/>
        <v>1</v>
      </c>
    </row>
    <row r="695" spans="1:21" x14ac:dyDescent="0.25">
      <c r="A695">
        <v>1204</v>
      </c>
      <c r="B695">
        <v>31</v>
      </c>
      <c r="C695" t="s">
        <v>16</v>
      </c>
      <c r="D695" t="s">
        <v>24</v>
      </c>
      <c r="E695" t="s">
        <v>46</v>
      </c>
      <c r="F695" t="s">
        <v>19</v>
      </c>
      <c r="G695" t="s">
        <v>33</v>
      </c>
      <c r="H695" t="s">
        <v>30</v>
      </c>
      <c r="I695">
        <v>25</v>
      </c>
      <c r="J695" s="2">
        <v>8702</v>
      </c>
      <c r="K695" t="s">
        <v>22</v>
      </c>
      <c r="L695">
        <v>1</v>
      </c>
      <c r="M695">
        <v>4</v>
      </c>
      <c r="N695">
        <v>0</v>
      </c>
      <c r="O695">
        <v>0</v>
      </c>
      <c r="P695">
        <v>8</v>
      </c>
      <c r="Q695" t="s">
        <v>22</v>
      </c>
      <c r="R695" t="str" cm="1">
        <f t="array" ref="R695">_xlfn.IFS(N695&lt;=1,"0-1 yrs",N695&lt;=4,"2-4 yrs",N695&lt;=9,"5-9 yrs",N695&gt;9,"10+ yrs")</f>
        <v>0-1 yrs</v>
      </c>
      <c r="S695" t="str" cm="1">
        <f t="array" ref="S695">_xlfn.IFS(B695&lt;=25,"20-25",B695&lt;=35,"26-35",B695&lt;=45,"36-45",B695&gt;45,"46+")</f>
        <v>26-35</v>
      </c>
      <c r="T695" t="str" cm="1">
        <f t="array" ref="T695">_xlfn.IFS(J695&lt;3500,"&lt;3.5K",J695&lt;5500,"3.5-5.5K",J695&lt;7500,"5.5-7.5K",J695&gt;=7500,"7.5K+")</f>
        <v>7.5K+</v>
      </c>
      <c r="U695">
        <f t="shared" si="10"/>
        <v>0</v>
      </c>
    </row>
    <row r="696" spans="1:21" x14ac:dyDescent="0.25">
      <c r="A696">
        <v>1431</v>
      </c>
      <c r="B696">
        <v>43</v>
      </c>
      <c r="C696" t="s">
        <v>23</v>
      </c>
      <c r="D696" t="s">
        <v>24</v>
      </c>
      <c r="E696" t="s">
        <v>46</v>
      </c>
      <c r="F696" t="s">
        <v>38</v>
      </c>
      <c r="G696" t="s">
        <v>37</v>
      </c>
      <c r="H696" t="s">
        <v>30</v>
      </c>
      <c r="I696">
        <v>4</v>
      </c>
      <c r="J696" s="2">
        <v>9625</v>
      </c>
      <c r="K696" t="s">
        <v>42</v>
      </c>
      <c r="L696">
        <v>2</v>
      </c>
      <c r="M696">
        <v>3</v>
      </c>
      <c r="N696">
        <v>11</v>
      </c>
      <c r="O696">
        <v>1</v>
      </c>
      <c r="P696">
        <v>14</v>
      </c>
      <c r="Q696" t="s">
        <v>22</v>
      </c>
      <c r="R696" t="str" cm="1">
        <f t="array" ref="R696">_xlfn.IFS(N696&lt;=1,"0-1 yrs",N696&lt;=4,"2-4 yrs",N696&lt;=9,"5-9 yrs",N696&gt;9,"10+ yrs")</f>
        <v>10+ yrs</v>
      </c>
      <c r="S696" t="str" cm="1">
        <f t="array" ref="S696">_xlfn.IFS(B696&lt;=25,"20-25",B696&lt;=35,"26-35",B696&lt;=45,"36-45",B696&gt;45,"46+")</f>
        <v>36-45</v>
      </c>
      <c r="T696" t="str" cm="1">
        <f t="array" ref="T696">_xlfn.IFS(J696&lt;3500,"&lt;3.5K",J696&lt;5500,"3.5-5.5K",J696&lt;7500,"5.5-7.5K",J696&gt;=7500,"7.5K+")</f>
        <v>7.5K+</v>
      </c>
      <c r="U696">
        <f t="shared" si="10"/>
        <v>0</v>
      </c>
    </row>
    <row r="697" spans="1:21" x14ac:dyDescent="0.25">
      <c r="A697">
        <v>1725</v>
      </c>
      <c r="B697">
        <v>27</v>
      </c>
      <c r="C697" t="s">
        <v>23</v>
      </c>
      <c r="D697" t="s">
        <v>27</v>
      </c>
      <c r="E697" t="s">
        <v>28</v>
      </c>
      <c r="F697" t="s">
        <v>36</v>
      </c>
      <c r="G697" t="s">
        <v>33</v>
      </c>
      <c r="H697" t="s">
        <v>30</v>
      </c>
      <c r="I697">
        <v>5</v>
      </c>
      <c r="J697" s="2">
        <v>11641</v>
      </c>
      <c r="K697" t="s">
        <v>22</v>
      </c>
      <c r="L697">
        <v>4</v>
      </c>
      <c r="M697">
        <v>2</v>
      </c>
      <c r="N697">
        <v>2</v>
      </c>
      <c r="O697">
        <v>0</v>
      </c>
      <c r="P697">
        <v>2</v>
      </c>
      <c r="Q697" t="s">
        <v>22</v>
      </c>
      <c r="R697" t="str" cm="1">
        <f t="array" ref="R697">_xlfn.IFS(N697&lt;=1,"0-1 yrs",N697&lt;=4,"2-4 yrs",N697&lt;=9,"5-9 yrs",N697&gt;9,"10+ yrs")</f>
        <v>2-4 yrs</v>
      </c>
      <c r="S697" t="str" cm="1">
        <f t="array" ref="S697">_xlfn.IFS(B697&lt;=25,"20-25",B697&lt;=35,"26-35",B697&lt;=45,"36-45",B697&gt;45,"46+")</f>
        <v>26-35</v>
      </c>
      <c r="T697" t="str" cm="1">
        <f t="array" ref="T697">_xlfn.IFS(J697&lt;3500,"&lt;3.5K",J697&lt;5500,"3.5-5.5K",J697&lt;7500,"5.5-7.5K",J697&gt;=7500,"7.5K+")</f>
        <v>7.5K+</v>
      </c>
      <c r="U697">
        <f t="shared" si="10"/>
        <v>0</v>
      </c>
    </row>
    <row r="698" spans="1:21" x14ac:dyDescent="0.25">
      <c r="A698">
        <v>1811</v>
      </c>
      <c r="B698">
        <v>23</v>
      </c>
      <c r="C698" t="s">
        <v>16</v>
      </c>
      <c r="D698" t="s">
        <v>17</v>
      </c>
      <c r="E698" t="s">
        <v>18</v>
      </c>
      <c r="F698" t="s">
        <v>26</v>
      </c>
      <c r="G698" t="s">
        <v>33</v>
      </c>
      <c r="H698" t="s">
        <v>34</v>
      </c>
      <c r="I698">
        <v>21</v>
      </c>
      <c r="J698" s="2">
        <v>8769</v>
      </c>
      <c r="K698" t="s">
        <v>22</v>
      </c>
      <c r="L698">
        <v>2</v>
      </c>
      <c r="M698">
        <v>4</v>
      </c>
      <c r="N698">
        <v>3</v>
      </c>
      <c r="O698">
        <v>3</v>
      </c>
      <c r="P698">
        <v>3</v>
      </c>
      <c r="Q698" t="s">
        <v>22</v>
      </c>
      <c r="R698" t="str" cm="1">
        <f t="array" ref="R698">_xlfn.IFS(N698&lt;=1,"0-1 yrs",N698&lt;=4,"2-4 yrs",N698&lt;=9,"5-9 yrs",N698&gt;9,"10+ yrs")</f>
        <v>2-4 yrs</v>
      </c>
      <c r="S698" t="str" cm="1">
        <f t="array" ref="S698">_xlfn.IFS(B698&lt;=25,"20-25",B698&lt;=35,"26-35",B698&lt;=45,"36-45",B698&gt;45,"46+")</f>
        <v>20-25</v>
      </c>
      <c r="T698" t="str" cm="1">
        <f t="array" ref="T698">_xlfn.IFS(J698&lt;3500,"&lt;3.5K",J698&lt;5500,"3.5-5.5K",J698&lt;7500,"5.5-7.5K",J698&gt;=7500,"7.5K+")</f>
        <v>7.5K+</v>
      </c>
      <c r="U698">
        <f t="shared" si="10"/>
        <v>0</v>
      </c>
    </row>
    <row r="699" spans="1:21" x14ac:dyDescent="0.25">
      <c r="A699">
        <v>1284</v>
      </c>
      <c r="B699">
        <v>30</v>
      </c>
      <c r="C699" t="s">
        <v>23</v>
      </c>
      <c r="D699" t="s">
        <v>27</v>
      </c>
      <c r="E699" t="s">
        <v>43</v>
      </c>
      <c r="F699" t="s">
        <v>29</v>
      </c>
      <c r="G699" t="s">
        <v>33</v>
      </c>
      <c r="H699" t="s">
        <v>21</v>
      </c>
      <c r="I699">
        <v>18</v>
      </c>
      <c r="J699" s="2">
        <v>9314</v>
      </c>
      <c r="K699" t="s">
        <v>22</v>
      </c>
      <c r="L699">
        <v>2</v>
      </c>
      <c r="M699">
        <v>1</v>
      </c>
      <c r="N699">
        <v>4</v>
      </c>
      <c r="O699">
        <v>1</v>
      </c>
      <c r="P699">
        <v>8</v>
      </c>
      <c r="Q699" t="s">
        <v>22</v>
      </c>
      <c r="R699" t="str" cm="1">
        <f t="array" ref="R699">_xlfn.IFS(N699&lt;=1,"0-1 yrs",N699&lt;=4,"2-4 yrs",N699&lt;=9,"5-9 yrs",N699&gt;9,"10+ yrs")</f>
        <v>2-4 yrs</v>
      </c>
      <c r="S699" t="str" cm="1">
        <f t="array" ref="S699">_xlfn.IFS(B699&lt;=25,"20-25",B699&lt;=35,"26-35",B699&lt;=45,"36-45",B699&gt;45,"46+")</f>
        <v>26-35</v>
      </c>
      <c r="T699" t="str" cm="1">
        <f t="array" ref="T699">_xlfn.IFS(J699&lt;3500,"&lt;3.5K",J699&lt;5500,"3.5-5.5K",J699&lt;7500,"5.5-7.5K",J699&gt;=7500,"7.5K+")</f>
        <v>7.5K+</v>
      </c>
      <c r="U699">
        <f t="shared" si="10"/>
        <v>0</v>
      </c>
    </row>
    <row r="700" spans="1:21" x14ac:dyDescent="0.25">
      <c r="A700">
        <v>1598</v>
      </c>
      <c r="B700">
        <v>27</v>
      </c>
      <c r="C700" t="s">
        <v>23</v>
      </c>
      <c r="D700" t="s">
        <v>27</v>
      </c>
      <c r="E700" t="s">
        <v>31</v>
      </c>
      <c r="F700" t="s">
        <v>19</v>
      </c>
      <c r="G700" t="s">
        <v>37</v>
      </c>
      <c r="H700" t="s">
        <v>30</v>
      </c>
      <c r="I700">
        <v>14</v>
      </c>
      <c r="J700" s="2">
        <v>4644</v>
      </c>
      <c r="K700" t="s">
        <v>42</v>
      </c>
      <c r="L700">
        <v>2</v>
      </c>
      <c r="M700">
        <v>4</v>
      </c>
      <c r="N700">
        <v>3</v>
      </c>
      <c r="O700">
        <v>3</v>
      </c>
      <c r="P700">
        <v>3</v>
      </c>
      <c r="Q700" t="s">
        <v>22</v>
      </c>
      <c r="R700" t="str" cm="1">
        <f t="array" ref="R700">_xlfn.IFS(N700&lt;=1,"0-1 yrs",N700&lt;=4,"2-4 yrs",N700&lt;=9,"5-9 yrs",N700&gt;9,"10+ yrs")</f>
        <v>2-4 yrs</v>
      </c>
      <c r="S700" t="str" cm="1">
        <f t="array" ref="S700">_xlfn.IFS(B700&lt;=25,"20-25",B700&lt;=35,"26-35",B700&lt;=45,"36-45",B700&gt;45,"46+")</f>
        <v>26-35</v>
      </c>
      <c r="T700" t="str" cm="1">
        <f t="array" ref="T700">_xlfn.IFS(J700&lt;3500,"&lt;3.5K",J700&lt;5500,"3.5-5.5K",J700&lt;7500,"5.5-7.5K",J700&gt;=7500,"7.5K+")</f>
        <v>3.5-5.5K</v>
      </c>
      <c r="U700">
        <f t="shared" si="10"/>
        <v>0</v>
      </c>
    </row>
    <row r="701" spans="1:21" x14ac:dyDescent="0.25">
      <c r="A701">
        <v>1714</v>
      </c>
      <c r="B701">
        <v>34</v>
      </c>
      <c r="C701" t="s">
        <v>16</v>
      </c>
      <c r="D701" t="s">
        <v>24</v>
      </c>
      <c r="E701" t="s">
        <v>45</v>
      </c>
      <c r="F701" t="s">
        <v>36</v>
      </c>
      <c r="G701" t="s">
        <v>33</v>
      </c>
      <c r="H701" t="s">
        <v>34</v>
      </c>
      <c r="I701">
        <v>3</v>
      </c>
      <c r="J701" s="2">
        <v>9421</v>
      </c>
      <c r="K701" t="s">
        <v>22</v>
      </c>
      <c r="L701">
        <v>2</v>
      </c>
      <c r="M701">
        <v>2</v>
      </c>
      <c r="N701">
        <v>11</v>
      </c>
      <c r="O701">
        <v>1</v>
      </c>
      <c r="P701">
        <v>14</v>
      </c>
      <c r="Q701" t="s">
        <v>22</v>
      </c>
      <c r="R701" t="str" cm="1">
        <f t="array" ref="R701">_xlfn.IFS(N701&lt;=1,"0-1 yrs",N701&lt;=4,"2-4 yrs",N701&lt;=9,"5-9 yrs",N701&gt;9,"10+ yrs")</f>
        <v>10+ yrs</v>
      </c>
      <c r="S701" t="str" cm="1">
        <f t="array" ref="S701">_xlfn.IFS(B701&lt;=25,"20-25",B701&lt;=35,"26-35",B701&lt;=45,"36-45",B701&gt;45,"46+")</f>
        <v>26-35</v>
      </c>
      <c r="T701" t="str" cm="1">
        <f t="array" ref="T701">_xlfn.IFS(J701&lt;3500,"&lt;3.5K",J701&lt;5500,"3.5-5.5K",J701&lt;7500,"5.5-7.5K",J701&gt;=7500,"7.5K+")</f>
        <v>7.5K+</v>
      </c>
      <c r="U701">
        <f t="shared" si="10"/>
        <v>0</v>
      </c>
    </row>
    <row r="702" spans="1:21" x14ac:dyDescent="0.25">
      <c r="A702">
        <v>1466</v>
      </c>
      <c r="B702">
        <v>28</v>
      </c>
      <c r="C702" t="s">
        <v>23</v>
      </c>
      <c r="D702" t="s">
        <v>17</v>
      </c>
      <c r="E702" t="s">
        <v>40</v>
      </c>
      <c r="F702" t="s">
        <v>41</v>
      </c>
      <c r="G702" t="s">
        <v>20</v>
      </c>
      <c r="H702" t="s">
        <v>34</v>
      </c>
      <c r="I702">
        <v>12</v>
      </c>
      <c r="J702" s="2">
        <v>5171</v>
      </c>
      <c r="K702" t="s">
        <v>42</v>
      </c>
      <c r="L702">
        <v>3</v>
      </c>
      <c r="M702">
        <v>4</v>
      </c>
      <c r="N702">
        <v>5</v>
      </c>
      <c r="O702">
        <v>4</v>
      </c>
      <c r="P702">
        <v>6</v>
      </c>
      <c r="Q702" t="s">
        <v>22</v>
      </c>
      <c r="R702" t="str" cm="1">
        <f t="array" ref="R702">_xlfn.IFS(N702&lt;=1,"0-1 yrs",N702&lt;=4,"2-4 yrs",N702&lt;=9,"5-9 yrs",N702&gt;9,"10+ yrs")</f>
        <v>5-9 yrs</v>
      </c>
      <c r="S702" t="str" cm="1">
        <f t="array" ref="S702">_xlfn.IFS(B702&lt;=25,"20-25",B702&lt;=35,"26-35",B702&lt;=45,"36-45",B702&gt;45,"46+")</f>
        <v>26-35</v>
      </c>
      <c r="T702" t="str" cm="1">
        <f t="array" ref="T702">_xlfn.IFS(J702&lt;3500,"&lt;3.5K",J702&lt;5500,"3.5-5.5K",J702&lt;7500,"5.5-7.5K",J702&gt;=7500,"7.5K+")</f>
        <v>3.5-5.5K</v>
      </c>
      <c r="U702">
        <f t="shared" si="10"/>
        <v>0</v>
      </c>
    </row>
    <row r="703" spans="1:21" x14ac:dyDescent="0.25">
      <c r="A703">
        <v>1507</v>
      </c>
      <c r="B703">
        <v>25</v>
      </c>
      <c r="C703" t="s">
        <v>16</v>
      </c>
      <c r="D703" t="s">
        <v>27</v>
      </c>
      <c r="E703" t="s">
        <v>43</v>
      </c>
      <c r="F703" t="s">
        <v>38</v>
      </c>
      <c r="G703" t="s">
        <v>20</v>
      </c>
      <c r="H703" t="s">
        <v>21</v>
      </c>
      <c r="I703">
        <v>29</v>
      </c>
      <c r="J703" s="2">
        <v>7582</v>
      </c>
      <c r="K703" t="s">
        <v>42</v>
      </c>
      <c r="L703">
        <v>4</v>
      </c>
      <c r="M703">
        <v>1</v>
      </c>
      <c r="N703">
        <v>0</v>
      </c>
      <c r="O703">
        <v>0</v>
      </c>
      <c r="P703">
        <v>0</v>
      </c>
      <c r="Q703" t="s">
        <v>42</v>
      </c>
      <c r="R703" t="str" cm="1">
        <f t="array" ref="R703">_xlfn.IFS(N703&lt;=1,"0-1 yrs",N703&lt;=4,"2-4 yrs",N703&lt;=9,"5-9 yrs",N703&gt;9,"10+ yrs")</f>
        <v>0-1 yrs</v>
      </c>
      <c r="S703" t="str" cm="1">
        <f t="array" ref="S703">_xlfn.IFS(B703&lt;=25,"20-25",B703&lt;=35,"26-35",B703&lt;=45,"36-45",B703&gt;45,"46+")</f>
        <v>20-25</v>
      </c>
      <c r="T703" t="str" cm="1">
        <f t="array" ref="T703">_xlfn.IFS(J703&lt;3500,"&lt;3.5K",J703&lt;5500,"3.5-5.5K",J703&lt;7500,"5.5-7.5K",J703&gt;=7500,"7.5K+")</f>
        <v>7.5K+</v>
      </c>
      <c r="U703">
        <f t="shared" si="10"/>
        <v>1</v>
      </c>
    </row>
    <row r="704" spans="1:21" x14ac:dyDescent="0.25">
      <c r="A704">
        <v>1720</v>
      </c>
      <c r="B704">
        <v>34</v>
      </c>
      <c r="C704" t="s">
        <v>16</v>
      </c>
      <c r="D704" t="s">
        <v>24</v>
      </c>
      <c r="E704" t="s">
        <v>25</v>
      </c>
      <c r="F704" t="s">
        <v>41</v>
      </c>
      <c r="G704" t="s">
        <v>33</v>
      </c>
      <c r="H704" t="s">
        <v>34</v>
      </c>
      <c r="I704">
        <v>29</v>
      </c>
      <c r="J704" s="2">
        <v>10159</v>
      </c>
      <c r="K704" t="s">
        <v>22</v>
      </c>
      <c r="L704">
        <v>1</v>
      </c>
      <c r="M704">
        <v>2</v>
      </c>
      <c r="N704">
        <v>6</v>
      </c>
      <c r="O704">
        <v>3</v>
      </c>
      <c r="P704">
        <v>14</v>
      </c>
      <c r="Q704" t="s">
        <v>22</v>
      </c>
      <c r="R704" t="str" cm="1">
        <f t="array" ref="R704">_xlfn.IFS(N704&lt;=1,"0-1 yrs",N704&lt;=4,"2-4 yrs",N704&lt;=9,"5-9 yrs",N704&gt;9,"10+ yrs")</f>
        <v>5-9 yrs</v>
      </c>
      <c r="S704" t="str" cm="1">
        <f t="array" ref="S704">_xlfn.IFS(B704&lt;=25,"20-25",B704&lt;=35,"26-35",B704&lt;=45,"36-45",B704&gt;45,"46+")</f>
        <v>26-35</v>
      </c>
      <c r="T704" t="str" cm="1">
        <f t="array" ref="T704">_xlfn.IFS(J704&lt;3500,"&lt;3.5K",J704&lt;5500,"3.5-5.5K",J704&lt;7500,"5.5-7.5K",J704&gt;=7500,"7.5K+")</f>
        <v>7.5K+</v>
      </c>
      <c r="U704">
        <f t="shared" si="10"/>
        <v>0</v>
      </c>
    </row>
    <row r="705" spans="1:21" x14ac:dyDescent="0.25">
      <c r="A705">
        <v>1912</v>
      </c>
      <c r="B705">
        <v>54</v>
      </c>
      <c r="C705" t="s">
        <v>16</v>
      </c>
      <c r="D705" t="s">
        <v>27</v>
      </c>
      <c r="E705" t="s">
        <v>43</v>
      </c>
      <c r="F705" t="s">
        <v>19</v>
      </c>
      <c r="G705" t="s">
        <v>37</v>
      </c>
      <c r="H705" t="s">
        <v>30</v>
      </c>
      <c r="I705">
        <v>20</v>
      </c>
      <c r="J705" s="2">
        <v>10839</v>
      </c>
      <c r="K705" t="s">
        <v>22</v>
      </c>
      <c r="L705">
        <v>3</v>
      </c>
      <c r="M705">
        <v>1</v>
      </c>
      <c r="N705">
        <v>25</v>
      </c>
      <c r="O705">
        <v>16</v>
      </c>
      <c r="P705">
        <v>28</v>
      </c>
      <c r="Q705" t="s">
        <v>22</v>
      </c>
      <c r="R705" t="str" cm="1">
        <f t="array" ref="R705">_xlfn.IFS(N705&lt;=1,"0-1 yrs",N705&lt;=4,"2-4 yrs",N705&lt;=9,"5-9 yrs",N705&gt;9,"10+ yrs")</f>
        <v>10+ yrs</v>
      </c>
      <c r="S705" t="str" cm="1">
        <f t="array" ref="S705">_xlfn.IFS(B705&lt;=25,"20-25",B705&lt;=35,"26-35",B705&lt;=45,"36-45",B705&gt;45,"46+")</f>
        <v>46+</v>
      </c>
      <c r="T705" t="str" cm="1">
        <f t="array" ref="T705">_xlfn.IFS(J705&lt;3500,"&lt;3.5K",J705&lt;5500,"3.5-5.5K",J705&lt;7500,"5.5-7.5K",J705&gt;=7500,"7.5K+")</f>
        <v>7.5K+</v>
      </c>
      <c r="U705">
        <f t="shared" si="10"/>
        <v>0</v>
      </c>
    </row>
    <row r="706" spans="1:21" x14ac:dyDescent="0.25">
      <c r="A706">
        <v>1952</v>
      </c>
      <c r="B706">
        <v>42</v>
      </c>
      <c r="C706" t="s">
        <v>16</v>
      </c>
      <c r="D706" t="s">
        <v>27</v>
      </c>
      <c r="E706" t="s">
        <v>43</v>
      </c>
      <c r="F706" t="s">
        <v>19</v>
      </c>
      <c r="G706" t="s">
        <v>37</v>
      </c>
      <c r="H706" t="s">
        <v>34</v>
      </c>
      <c r="I706">
        <v>3</v>
      </c>
      <c r="J706" s="2">
        <v>7238</v>
      </c>
      <c r="K706" t="s">
        <v>22</v>
      </c>
      <c r="L706">
        <v>1</v>
      </c>
      <c r="M706">
        <v>4</v>
      </c>
      <c r="N706">
        <v>15</v>
      </c>
      <c r="O706">
        <v>9</v>
      </c>
      <c r="P706">
        <v>16</v>
      </c>
      <c r="Q706" t="s">
        <v>22</v>
      </c>
      <c r="R706" t="str" cm="1">
        <f t="array" ref="R706">_xlfn.IFS(N706&lt;=1,"0-1 yrs",N706&lt;=4,"2-4 yrs",N706&lt;=9,"5-9 yrs",N706&gt;9,"10+ yrs")</f>
        <v>10+ yrs</v>
      </c>
      <c r="S706" t="str" cm="1">
        <f t="array" ref="S706">_xlfn.IFS(B706&lt;=25,"20-25",B706&lt;=35,"26-35",B706&lt;=45,"36-45",B706&gt;45,"46+")</f>
        <v>36-45</v>
      </c>
      <c r="T706" t="str" cm="1">
        <f t="array" ref="T706">_xlfn.IFS(J706&lt;3500,"&lt;3.5K",J706&lt;5500,"3.5-5.5K",J706&lt;7500,"5.5-7.5K",J706&gt;=7500,"7.5K+")</f>
        <v>5.5-7.5K</v>
      </c>
      <c r="U706">
        <f t="shared" si="10"/>
        <v>0</v>
      </c>
    </row>
    <row r="707" spans="1:21" x14ac:dyDescent="0.25">
      <c r="A707">
        <v>1004</v>
      </c>
      <c r="B707">
        <v>34</v>
      </c>
      <c r="C707" t="s">
        <v>16</v>
      </c>
      <c r="D707" t="s">
        <v>27</v>
      </c>
      <c r="E707" t="s">
        <v>31</v>
      </c>
      <c r="F707" t="s">
        <v>19</v>
      </c>
      <c r="G707" t="s">
        <v>33</v>
      </c>
      <c r="H707" t="s">
        <v>30</v>
      </c>
      <c r="I707">
        <v>12</v>
      </c>
      <c r="J707" s="2">
        <v>4237</v>
      </c>
      <c r="K707" t="s">
        <v>22</v>
      </c>
      <c r="L707">
        <v>3</v>
      </c>
      <c r="M707">
        <v>4</v>
      </c>
      <c r="N707">
        <v>3</v>
      </c>
      <c r="O707">
        <v>0</v>
      </c>
      <c r="P707">
        <v>12</v>
      </c>
      <c r="Q707" t="s">
        <v>22</v>
      </c>
      <c r="R707" t="str" cm="1">
        <f t="array" ref="R707">_xlfn.IFS(N707&lt;=1,"0-1 yrs",N707&lt;=4,"2-4 yrs",N707&lt;=9,"5-9 yrs",N707&gt;9,"10+ yrs")</f>
        <v>2-4 yrs</v>
      </c>
      <c r="S707" t="str" cm="1">
        <f t="array" ref="S707">_xlfn.IFS(B707&lt;=25,"20-25",B707&lt;=35,"26-35",B707&lt;=45,"36-45",B707&gt;45,"46+")</f>
        <v>26-35</v>
      </c>
      <c r="T707" t="str" cm="1">
        <f t="array" ref="T707">_xlfn.IFS(J707&lt;3500,"&lt;3.5K",J707&lt;5500,"3.5-5.5K",J707&lt;7500,"5.5-7.5K",J707&gt;=7500,"7.5K+")</f>
        <v>3.5-5.5K</v>
      </c>
      <c r="U707">
        <f t="shared" ref="U707:U770" si="11">IF(Q707="Yes",1,0)</f>
        <v>0</v>
      </c>
    </row>
    <row r="708" spans="1:21" x14ac:dyDescent="0.25">
      <c r="A708">
        <v>1822</v>
      </c>
      <c r="B708">
        <v>58</v>
      </c>
      <c r="C708" t="s">
        <v>23</v>
      </c>
      <c r="D708" t="s">
        <v>17</v>
      </c>
      <c r="E708" t="s">
        <v>35</v>
      </c>
      <c r="F708" t="s">
        <v>41</v>
      </c>
      <c r="G708" t="s">
        <v>37</v>
      </c>
      <c r="H708" t="s">
        <v>34</v>
      </c>
      <c r="I708">
        <v>9</v>
      </c>
      <c r="J708" s="2">
        <v>12395</v>
      </c>
      <c r="K708" t="s">
        <v>22</v>
      </c>
      <c r="L708">
        <v>1</v>
      </c>
      <c r="M708">
        <v>4</v>
      </c>
      <c r="N708">
        <v>9</v>
      </c>
      <c r="O708">
        <v>0</v>
      </c>
      <c r="P708">
        <v>30</v>
      </c>
      <c r="Q708" t="s">
        <v>22</v>
      </c>
      <c r="R708" t="str" cm="1">
        <f t="array" ref="R708">_xlfn.IFS(N708&lt;=1,"0-1 yrs",N708&lt;=4,"2-4 yrs",N708&lt;=9,"5-9 yrs",N708&gt;9,"10+ yrs")</f>
        <v>5-9 yrs</v>
      </c>
      <c r="S708" t="str" cm="1">
        <f t="array" ref="S708">_xlfn.IFS(B708&lt;=25,"20-25",B708&lt;=35,"26-35",B708&lt;=45,"36-45",B708&gt;45,"46+")</f>
        <v>46+</v>
      </c>
      <c r="T708" t="str" cm="1">
        <f t="array" ref="T708">_xlfn.IFS(J708&lt;3500,"&lt;3.5K",J708&lt;5500,"3.5-5.5K",J708&lt;7500,"5.5-7.5K",J708&gt;=7500,"7.5K+")</f>
        <v>7.5K+</v>
      </c>
      <c r="U708">
        <f t="shared" si="11"/>
        <v>0</v>
      </c>
    </row>
    <row r="709" spans="1:21" x14ac:dyDescent="0.25">
      <c r="A709">
        <v>1564</v>
      </c>
      <c r="B709">
        <v>36</v>
      </c>
      <c r="C709" t="s">
        <v>16</v>
      </c>
      <c r="D709" t="s">
        <v>17</v>
      </c>
      <c r="E709" t="s">
        <v>35</v>
      </c>
      <c r="F709" t="s">
        <v>19</v>
      </c>
      <c r="G709" t="s">
        <v>20</v>
      </c>
      <c r="H709" t="s">
        <v>21</v>
      </c>
      <c r="I709">
        <v>15</v>
      </c>
      <c r="J709" s="2">
        <v>6585</v>
      </c>
      <c r="K709" t="s">
        <v>22</v>
      </c>
      <c r="L709">
        <v>3</v>
      </c>
      <c r="M709">
        <v>2</v>
      </c>
      <c r="N709">
        <v>1</v>
      </c>
      <c r="O709">
        <v>1</v>
      </c>
      <c r="P709">
        <v>9</v>
      </c>
      <c r="Q709" t="s">
        <v>22</v>
      </c>
      <c r="R709" t="str" cm="1">
        <f t="array" ref="R709">_xlfn.IFS(N709&lt;=1,"0-1 yrs",N709&lt;=4,"2-4 yrs",N709&lt;=9,"5-9 yrs",N709&gt;9,"10+ yrs")</f>
        <v>0-1 yrs</v>
      </c>
      <c r="S709" t="str" cm="1">
        <f t="array" ref="S709">_xlfn.IFS(B709&lt;=25,"20-25",B709&lt;=35,"26-35",B709&lt;=45,"36-45",B709&gt;45,"46+")</f>
        <v>36-45</v>
      </c>
      <c r="T709" t="str" cm="1">
        <f t="array" ref="T709">_xlfn.IFS(J709&lt;3500,"&lt;3.5K",J709&lt;5500,"3.5-5.5K",J709&lt;7500,"5.5-7.5K",J709&gt;=7500,"7.5K+")</f>
        <v>5.5-7.5K</v>
      </c>
      <c r="U709">
        <f t="shared" si="11"/>
        <v>0</v>
      </c>
    </row>
    <row r="710" spans="1:21" x14ac:dyDescent="0.25">
      <c r="A710">
        <v>1386</v>
      </c>
      <c r="B710">
        <v>50</v>
      </c>
      <c r="C710" t="s">
        <v>16</v>
      </c>
      <c r="D710" t="s">
        <v>24</v>
      </c>
      <c r="E710" t="s">
        <v>46</v>
      </c>
      <c r="F710" t="s">
        <v>19</v>
      </c>
      <c r="G710" t="s">
        <v>37</v>
      </c>
      <c r="H710" t="s">
        <v>30</v>
      </c>
      <c r="I710">
        <v>23</v>
      </c>
      <c r="J710" s="2">
        <v>12040</v>
      </c>
      <c r="K710" t="s">
        <v>22</v>
      </c>
      <c r="L710">
        <v>2</v>
      </c>
      <c r="M710">
        <v>1</v>
      </c>
      <c r="N710">
        <v>5</v>
      </c>
      <c r="O710">
        <v>2</v>
      </c>
      <c r="P710">
        <v>30</v>
      </c>
      <c r="Q710" t="s">
        <v>22</v>
      </c>
      <c r="R710" t="str" cm="1">
        <f t="array" ref="R710">_xlfn.IFS(N710&lt;=1,"0-1 yrs",N710&lt;=4,"2-4 yrs",N710&lt;=9,"5-9 yrs",N710&gt;9,"10+ yrs")</f>
        <v>5-9 yrs</v>
      </c>
      <c r="S710" t="str" cm="1">
        <f t="array" ref="S710">_xlfn.IFS(B710&lt;=25,"20-25",B710&lt;=35,"26-35",B710&lt;=45,"36-45",B710&gt;45,"46+")</f>
        <v>46+</v>
      </c>
      <c r="T710" t="str" cm="1">
        <f t="array" ref="T710">_xlfn.IFS(J710&lt;3500,"&lt;3.5K",J710&lt;5500,"3.5-5.5K",J710&lt;7500,"5.5-7.5K",J710&gt;=7500,"7.5K+")</f>
        <v>7.5K+</v>
      </c>
      <c r="U710">
        <f t="shared" si="11"/>
        <v>0</v>
      </c>
    </row>
    <row r="711" spans="1:21" x14ac:dyDescent="0.25">
      <c r="A711">
        <v>1128</v>
      </c>
      <c r="B711">
        <v>45</v>
      </c>
      <c r="C711" t="s">
        <v>16</v>
      </c>
      <c r="D711" t="s">
        <v>17</v>
      </c>
      <c r="E711" t="s">
        <v>18</v>
      </c>
      <c r="F711" t="s">
        <v>29</v>
      </c>
      <c r="G711" t="s">
        <v>20</v>
      </c>
      <c r="H711" t="s">
        <v>34</v>
      </c>
      <c r="I711">
        <v>17</v>
      </c>
      <c r="J711" s="2">
        <v>12119</v>
      </c>
      <c r="K711" t="s">
        <v>22</v>
      </c>
      <c r="L711">
        <v>4</v>
      </c>
      <c r="M711">
        <v>2</v>
      </c>
      <c r="N711">
        <v>4</v>
      </c>
      <c r="O711">
        <v>2</v>
      </c>
      <c r="P711">
        <v>19</v>
      </c>
      <c r="Q711" t="s">
        <v>22</v>
      </c>
      <c r="R711" t="str" cm="1">
        <f t="array" ref="R711">_xlfn.IFS(N711&lt;=1,"0-1 yrs",N711&lt;=4,"2-4 yrs",N711&lt;=9,"5-9 yrs",N711&gt;9,"10+ yrs")</f>
        <v>2-4 yrs</v>
      </c>
      <c r="S711" t="str" cm="1">
        <f t="array" ref="S711">_xlfn.IFS(B711&lt;=25,"20-25",B711&lt;=35,"26-35",B711&lt;=45,"36-45",B711&gt;45,"46+")</f>
        <v>36-45</v>
      </c>
      <c r="T711" t="str" cm="1">
        <f t="array" ref="T711">_xlfn.IFS(J711&lt;3500,"&lt;3.5K",J711&lt;5500,"3.5-5.5K",J711&lt;7500,"5.5-7.5K",J711&gt;=7500,"7.5K+")</f>
        <v>7.5K+</v>
      </c>
      <c r="U711">
        <f t="shared" si="11"/>
        <v>0</v>
      </c>
    </row>
    <row r="712" spans="1:21" x14ac:dyDescent="0.25">
      <c r="A712">
        <v>1259</v>
      </c>
      <c r="B712">
        <v>42</v>
      </c>
      <c r="C712" t="s">
        <v>16</v>
      </c>
      <c r="D712" t="s">
        <v>17</v>
      </c>
      <c r="E712" t="s">
        <v>35</v>
      </c>
      <c r="F712" t="s">
        <v>19</v>
      </c>
      <c r="G712" t="s">
        <v>33</v>
      </c>
      <c r="H712" t="s">
        <v>30</v>
      </c>
      <c r="I712">
        <v>3</v>
      </c>
      <c r="J712" s="2">
        <v>5203</v>
      </c>
      <c r="K712" t="s">
        <v>22</v>
      </c>
      <c r="L712">
        <v>1</v>
      </c>
      <c r="M712">
        <v>4</v>
      </c>
      <c r="N712">
        <v>2</v>
      </c>
      <c r="O712">
        <v>1</v>
      </c>
      <c r="P712">
        <v>10</v>
      </c>
      <c r="Q712" t="s">
        <v>22</v>
      </c>
      <c r="R712" t="str" cm="1">
        <f t="array" ref="R712">_xlfn.IFS(N712&lt;=1,"0-1 yrs",N712&lt;=4,"2-4 yrs",N712&lt;=9,"5-9 yrs",N712&gt;9,"10+ yrs")</f>
        <v>2-4 yrs</v>
      </c>
      <c r="S712" t="str" cm="1">
        <f t="array" ref="S712">_xlfn.IFS(B712&lt;=25,"20-25",B712&lt;=35,"26-35",B712&lt;=45,"36-45",B712&gt;45,"46+")</f>
        <v>36-45</v>
      </c>
      <c r="T712" t="str" cm="1">
        <f t="array" ref="T712">_xlfn.IFS(J712&lt;3500,"&lt;3.5K",J712&lt;5500,"3.5-5.5K",J712&lt;7500,"5.5-7.5K",J712&gt;=7500,"7.5K+")</f>
        <v>3.5-5.5K</v>
      </c>
      <c r="U712">
        <f t="shared" si="11"/>
        <v>0</v>
      </c>
    </row>
    <row r="713" spans="1:21" x14ac:dyDescent="0.25">
      <c r="A713">
        <v>1074</v>
      </c>
      <c r="B713">
        <v>46</v>
      </c>
      <c r="C713" t="s">
        <v>23</v>
      </c>
      <c r="D713" t="s">
        <v>27</v>
      </c>
      <c r="E713" t="s">
        <v>43</v>
      </c>
      <c r="F713" t="s">
        <v>36</v>
      </c>
      <c r="G713" t="s">
        <v>37</v>
      </c>
      <c r="H713" t="s">
        <v>21</v>
      </c>
      <c r="I713">
        <v>8</v>
      </c>
      <c r="J713" s="2">
        <v>6787</v>
      </c>
      <c r="K713" t="s">
        <v>22</v>
      </c>
      <c r="L713">
        <v>3</v>
      </c>
      <c r="M713">
        <v>2</v>
      </c>
      <c r="N713">
        <v>13</v>
      </c>
      <c r="O713">
        <v>4</v>
      </c>
      <c r="P713">
        <v>16</v>
      </c>
      <c r="Q713" t="s">
        <v>22</v>
      </c>
      <c r="R713" t="str" cm="1">
        <f t="array" ref="R713">_xlfn.IFS(N713&lt;=1,"0-1 yrs",N713&lt;=4,"2-4 yrs",N713&lt;=9,"5-9 yrs",N713&gt;9,"10+ yrs")</f>
        <v>10+ yrs</v>
      </c>
      <c r="S713" t="str" cm="1">
        <f t="array" ref="S713">_xlfn.IFS(B713&lt;=25,"20-25",B713&lt;=35,"26-35",B713&lt;=45,"36-45",B713&gt;45,"46+")</f>
        <v>46+</v>
      </c>
      <c r="T713" t="str" cm="1">
        <f t="array" ref="T713">_xlfn.IFS(J713&lt;3500,"&lt;3.5K",J713&lt;5500,"3.5-5.5K",J713&lt;7500,"5.5-7.5K",J713&gt;=7500,"7.5K+")</f>
        <v>5.5-7.5K</v>
      </c>
      <c r="U713">
        <f t="shared" si="11"/>
        <v>0</v>
      </c>
    </row>
    <row r="714" spans="1:21" x14ac:dyDescent="0.25">
      <c r="A714">
        <v>1857</v>
      </c>
      <c r="B714">
        <v>54</v>
      </c>
      <c r="C714" t="s">
        <v>23</v>
      </c>
      <c r="D714" t="s">
        <v>17</v>
      </c>
      <c r="E714" t="s">
        <v>18</v>
      </c>
      <c r="F714" t="s">
        <v>38</v>
      </c>
      <c r="G714" t="s">
        <v>33</v>
      </c>
      <c r="H714" t="s">
        <v>34</v>
      </c>
      <c r="I714">
        <v>6</v>
      </c>
      <c r="J714" s="2">
        <v>12153</v>
      </c>
      <c r="K714" t="s">
        <v>22</v>
      </c>
      <c r="L714">
        <v>2</v>
      </c>
      <c r="M714">
        <v>3</v>
      </c>
      <c r="N714">
        <v>1</v>
      </c>
      <c r="O714">
        <v>1</v>
      </c>
      <c r="P714">
        <v>34</v>
      </c>
      <c r="Q714" t="s">
        <v>22</v>
      </c>
      <c r="R714" t="str" cm="1">
        <f t="array" ref="R714">_xlfn.IFS(N714&lt;=1,"0-1 yrs",N714&lt;=4,"2-4 yrs",N714&lt;=9,"5-9 yrs",N714&gt;9,"10+ yrs")</f>
        <v>0-1 yrs</v>
      </c>
      <c r="S714" t="str" cm="1">
        <f t="array" ref="S714">_xlfn.IFS(B714&lt;=25,"20-25",B714&lt;=35,"26-35",B714&lt;=45,"36-45",B714&gt;45,"46+")</f>
        <v>46+</v>
      </c>
      <c r="T714" t="str" cm="1">
        <f t="array" ref="T714">_xlfn.IFS(J714&lt;3500,"&lt;3.5K",J714&lt;5500,"3.5-5.5K",J714&lt;7500,"5.5-7.5K",J714&gt;=7500,"7.5K+")</f>
        <v>7.5K+</v>
      </c>
      <c r="U714">
        <f t="shared" si="11"/>
        <v>0</v>
      </c>
    </row>
    <row r="715" spans="1:21" x14ac:dyDescent="0.25">
      <c r="A715">
        <v>1261</v>
      </c>
      <c r="B715">
        <v>23</v>
      </c>
      <c r="C715" t="s">
        <v>23</v>
      </c>
      <c r="D715" t="s">
        <v>47</v>
      </c>
      <c r="E715" t="s">
        <v>53</v>
      </c>
      <c r="F715" t="s">
        <v>36</v>
      </c>
      <c r="G715" t="s">
        <v>37</v>
      </c>
      <c r="H715" t="s">
        <v>34</v>
      </c>
      <c r="I715">
        <v>11</v>
      </c>
      <c r="J715" s="2">
        <v>10178</v>
      </c>
      <c r="K715" t="s">
        <v>22</v>
      </c>
      <c r="L715">
        <v>1</v>
      </c>
      <c r="M715">
        <v>4</v>
      </c>
      <c r="N715">
        <v>3</v>
      </c>
      <c r="O715">
        <v>3</v>
      </c>
      <c r="P715">
        <v>3</v>
      </c>
      <c r="Q715" t="s">
        <v>22</v>
      </c>
      <c r="R715" t="str" cm="1">
        <f t="array" ref="R715">_xlfn.IFS(N715&lt;=1,"0-1 yrs",N715&lt;=4,"2-4 yrs",N715&lt;=9,"5-9 yrs",N715&gt;9,"10+ yrs")</f>
        <v>2-4 yrs</v>
      </c>
      <c r="S715" t="str" cm="1">
        <f t="array" ref="S715">_xlfn.IFS(B715&lt;=25,"20-25",B715&lt;=35,"26-35",B715&lt;=45,"36-45",B715&gt;45,"46+")</f>
        <v>20-25</v>
      </c>
      <c r="T715" t="str" cm="1">
        <f t="array" ref="T715">_xlfn.IFS(J715&lt;3500,"&lt;3.5K",J715&lt;5500,"3.5-5.5K",J715&lt;7500,"5.5-7.5K",J715&gt;=7500,"7.5K+")</f>
        <v>7.5K+</v>
      </c>
      <c r="U715">
        <f t="shared" si="11"/>
        <v>0</v>
      </c>
    </row>
    <row r="716" spans="1:21" x14ac:dyDescent="0.25">
      <c r="A716">
        <v>1828</v>
      </c>
      <c r="B716">
        <v>22</v>
      </c>
      <c r="C716" t="s">
        <v>16</v>
      </c>
      <c r="D716" t="s">
        <v>17</v>
      </c>
      <c r="E716" t="s">
        <v>40</v>
      </c>
      <c r="F716" t="s">
        <v>38</v>
      </c>
      <c r="G716" t="s">
        <v>20</v>
      </c>
      <c r="H716" t="s">
        <v>34</v>
      </c>
      <c r="I716">
        <v>10</v>
      </c>
      <c r="J716" s="2">
        <v>6652</v>
      </c>
      <c r="K716" t="s">
        <v>22</v>
      </c>
      <c r="L716">
        <v>4</v>
      </c>
      <c r="M716">
        <v>2</v>
      </c>
      <c r="N716">
        <v>0</v>
      </c>
      <c r="O716">
        <v>0</v>
      </c>
      <c r="P716">
        <v>0</v>
      </c>
      <c r="Q716" t="s">
        <v>42</v>
      </c>
      <c r="R716" t="str" cm="1">
        <f t="array" ref="R716">_xlfn.IFS(N716&lt;=1,"0-1 yrs",N716&lt;=4,"2-4 yrs",N716&lt;=9,"5-9 yrs",N716&gt;9,"10+ yrs")</f>
        <v>0-1 yrs</v>
      </c>
      <c r="S716" t="str" cm="1">
        <f t="array" ref="S716">_xlfn.IFS(B716&lt;=25,"20-25",B716&lt;=35,"26-35",B716&lt;=45,"36-45",B716&gt;45,"46+")</f>
        <v>20-25</v>
      </c>
      <c r="T716" t="str" cm="1">
        <f t="array" ref="T716">_xlfn.IFS(J716&lt;3500,"&lt;3.5K",J716&lt;5500,"3.5-5.5K",J716&lt;7500,"5.5-7.5K",J716&gt;=7500,"7.5K+")</f>
        <v>5.5-7.5K</v>
      </c>
      <c r="U716">
        <f t="shared" si="11"/>
        <v>1</v>
      </c>
    </row>
    <row r="717" spans="1:21" x14ac:dyDescent="0.25">
      <c r="A717">
        <v>1818</v>
      </c>
      <c r="B717">
        <v>22</v>
      </c>
      <c r="C717" t="s">
        <v>23</v>
      </c>
      <c r="D717" t="s">
        <v>24</v>
      </c>
      <c r="E717" t="s">
        <v>52</v>
      </c>
      <c r="F717" t="s">
        <v>32</v>
      </c>
      <c r="G717" t="s">
        <v>20</v>
      </c>
      <c r="H717" t="s">
        <v>30</v>
      </c>
      <c r="I717">
        <v>22</v>
      </c>
      <c r="J717" s="2">
        <v>5382</v>
      </c>
      <c r="K717" t="s">
        <v>22</v>
      </c>
      <c r="L717">
        <v>4</v>
      </c>
      <c r="M717">
        <v>3</v>
      </c>
      <c r="N717">
        <v>0</v>
      </c>
      <c r="O717">
        <v>0</v>
      </c>
      <c r="P717">
        <v>2</v>
      </c>
      <c r="Q717" t="s">
        <v>22</v>
      </c>
      <c r="R717" t="str" cm="1">
        <f t="array" ref="R717">_xlfn.IFS(N717&lt;=1,"0-1 yrs",N717&lt;=4,"2-4 yrs",N717&lt;=9,"5-9 yrs",N717&gt;9,"10+ yrs")</f>
        <v>0-1 yrs</v>
      </c>
      <c r="S717" t="str" cm="1">
        <f t="array" ref="S717">_xlfn.IFS(B717&lt;=25,"20-25",B717&lt;=35,"26-35",B717&lt;=45,"36-45",B717&gt;45,"46+")</f>
        <v>20-25</v>
      </c>
      <c r="T717" t="str" cm="1">
        <f t="array" ref="T717">_xlfn.IFS(J717&lt;3500,"&lt;3.5K",J717&lt;5500,"3.5-5.5K",J717&lt;7500,"5.5-7.5K",J717&gt;=7500,"7.5K+")</f>
        <v>3.5-5.5K</v>
      </c>
      <c r="U717">
        <f t="shared" si="11"/>
        <v>0</v>
      </c>
    </row>
    <row r="718" spans="1:21" x14ac:dyDescent="0.25">
      <c r="A718">
        <v>1551</v>
      </c>
      <c r="B718">
        <v>38</v>
      </c>
      <c r="C718" t="s">
        <v>23</v>
      </c>
      <c r="D718" t="s">
        <v>17</v>
      </c>
      <c r="E718" t="s">
        <v>40</v>
      </c>
      <c r="F718" t="s">
        <v>29</v>
      </c>
      <c r="G718" t="s">
        <v>33</v>
      </c>
      <c r="H718" t="s">
        <v>21</v>
      </c>
      <c r="I718">
        <v>14</v>
      </c>
      <c r="J718" s="2">
        <v>6931</v>
      </c>
      <c r="K718" t="s">
        <v>22</v>
      </c>
      <c r="L718">
        <v>4</v>
      </c>
      <c r="M718">
        <v>4</v>
      </c>
      <c r="N718">
        <v>13</v>
      </c>
      <c r="O718">
        <v>3</v>
      </c>
      <c r="P718">
        <v>16</v>
      </c>
      <c r="Q718" t="s">
        <v>22</v>
      </c>
      <c r="R718" t="str" cm="1">
        <f t="array" ref="R718">_xlfn.IFS(N718&lt;=1,"0-1 yrs",N718&lt;=4,"2-4 yrs",N718&lt;=9,"5-9 yrs",N718&gt;9,"10+ yrs")</f>
        <v>10+ yrs</v>
      </c>
      <c r="S718" t="str" cm="1">
        <f t="array" ref="S718">_xlfn.IFS(B718&lt;=25,"20-25",B718&lt;=35,"26-35",B718&lt;=45,"36-45",B718&gt;45,"46+")</f>
        <v>36-45</v>
      </c>
      <c r="T718" t="str" cm="1">
        <f t="array" ref="T718">_xlfn.IFS(J718&lt;3500,"&lt;3.5K",J718&lt;5500,"3.5-5.5K",J718&lt;7500,"5.5-7.5K",J718&gt;=7500,"7.5K+")</f>
        <v>5.5-7.5K</v>
      </c>
      <c r="U718">
        <f t="shared" si="11"/>
        <v>0</v>
      </c>
    </row>
    <row r="719" spans="1:21" x14ac:dyDescent="0.25">
      <c r="A719">
        <v>1471</v>
      </c>
      <c r="B719">
        <v>24</v>
      </c>
      <c r="C719" t="s">
        <v>16</v>
      </c>
      <c r="D719" t="s">
        <v>24</v>
      </c>
      <c r="E719" t="s">
        <v>25</v>
      </c>
      <c r="F719" t="s">
        <v>29</v>
      </c>
      <c r="G719" t="s">
        <v>20</v>
      </c>
      <c r="H719" t="s">
        <v>30</v>
      </c>
      <c r="I719">
        <v>13</v>
      </c>
      <c r="J719" s="2">
        <v>8133</v>
      </c>
      <c r="K719" t="s">
        <v>42</v>
      </c>
      <c r="L719">
        <v>4</v>
      </c>
      <c r="M719">
        <v>3</v>
      </c>
      <c r="N719">
        <v>0</v>
      </c>
      <c r="O719">
        <v>0</v>
      </c>
      <c r="P719">
        <v>0</v>
      </c>
      <c r="Q719" t="s">
        <v>42</v>
      </c>
      <c r="R719" t="str" cm="1">
        <f t="array" ref="R719">_xlfn.IFS(N719&lt;=1,"0-1 yrs",N719&lt;=4,"2-4 yrs",N719&lt;=9,"5-9 yrs",N719&gt;9,"10+ yrs")</f>
        <v>0-1 yrs</v>
      </c>
      <c r="S719" t="str" cm="1">
        <f t="array" ref="S719">_xlfn.IFS(B719&lt;=25,"20-25",B719&lt;=35,"26-35",B719&lt;=45,"36-45",B719&gt;45,"46+")</f>
        <v>20-25</v>
      </c>
      <c r="T719" t="str" cm="1">
        <f t="array" ref="T719">_xlfn.IFS(J719&lt;3500,"&lt;3.5K",J719&lt;5500,"3.5-5.5K",J719&lt;7500,"5.5-7.5K",J719&gt;=7500,"7.5K+")</f>
        <v>7.5K+</v>
      </c>
      <c r="U719">
        <f t="shared" si="11"/>
        <v>1</v>
      </c>
    </row>
    <row r="720" spans="1:21" x14ac:dyDescent="0.25">
      <c r="A720">
        <v>1582</v>
      </c>
      <c r="B720">
        <v>39</v>
      </c>
      <c r="C720" t="s">
        <v>16</v>
      </c>
      <c r="D720" t="s">
        <v>47</v>
      </c>
      <c r="E720" t="s">
        <v>50</v>
      </c>
      <c r="F720" t="s">
        <v>36</v>
      </c>
      <c r="G720" t="s">
        <v>20</v>
      </c>
      <c r="H720" t="s">
        <v>34</v>
      </c>
      <c r="I720">
        <v>8</v>
      </c>
      <c r="J720" s="2">
        <v>7991</v>
      </c>
      <c r="K720" t="s">
        <v>22</v>
      </c>
      <c r="M720">
        <v>2</v>
      </c>
      <c r="N720">
        <v>0</v>
      </c>
      <c r="O720">
        <v>0</v>
      </c>
      <c r="P720">
        <v>8</v>
      </c>
      <c r="Q720" t="s">
        <v>42</v>
      </c>
      <c r="R720" t="str" cm="1">
        <f t="array" ref="R720">_xlfn.IFS(N720&lt;=1,"0-1 yrs",N720&lt;=4,"2-4 yrs",N720&lt;=9,"5-9 yrs",N720&gt;9,"10+ yrs")</f>
        <v>0-1 yrs</v>
      </c>
      <c r="S720" t="str" cm="1">
        <f t="array" ref="S720">_xlfn.IFS(B720&lt;=25,"20-25",B720&lt;=35,"26-35",B720&lt;=45,"36-45",B720&gt;45,"46+")</f>
        <v>36-45</v>
      </c>
      <c r="T720" t="str" cm="1">
        <f t="array" ref="T720">_xlfn.IFS(J720&lt;3500,"&lt;3.5K",J720&lt;5500,"3.5-5.5K",J720&lt;7500,"5.5-7.5K",J720&gt;=7500,"7.5K+")</f>
        <v>7.5K+</v>
      </c>
      <c r="U720">
        <f t="shared" si="11"/>
        <v>1</v>
      </c>
    </row>
    <row r="721" spans="1:21" x14ac:dyDescent="0.25">
      <c r="A721">
        <v>1783</v>
      </c>
      <c r="B721">
        <v>22</v>
      </c>
      <c r="C721" t="s">
        <v>16</v>
      </c>
      <c r="D721" t="s">
        <v>27</v>
      </c>
      <c r="E721" t="s">
        <v>44</v>
      </c>
      <c r="F721" t="s">
        <v>32</v>
      </c>
      <c r="G721" t="s">
        <v>37</v>
      </c>
      <c r="H721" t="s">
        <v>21</v>
      </c>
      <c r="I721">
        <v>21</v>
      </c>
      <c r="J721" s="2">
        <v>7420</v>
      </c>
      <c r="K721" t="s">
        <v>22</v>
      </c>
      <c r="L721">
        <v>2</v>
      </c>
      <c r="M721">
        <v>1</v>
      </c>
      <c r="N721">
        <v>0</v>
      </c>
      <c r="O721">
        <v>0</v>
      </c>
      <c r="P721">
        <v>0</v>
      </c>
      <c r="Q721" t="s">
        <v>42</v>
      </c>
      <c r="R721" t="str" cm="1">
        <f t="array" ref="R721">_xlfn.IFS(N721&lt;=1,"0-1 yrs",N721&lt;=4,"2-4 yrs",N721&lt;=9,"5-9 yrs",N721&gt;9,"10+ yrs")</f>
        <v>0-1 yrs</v>
      </c>
      <c r="S721" t="str" cm="1">
        <f t="array" ref="S721">_xlfn.IFS(B721&lt;=25,"20-25",B721&lt;=35,"26-35",B721&lt;=45,"36-45",B721&gt;45,"46+")</f>
        <v>20-25</v>
      </c>
      <c r="T721" t="str" cm="1">
        <f t="array" ref="T721">_xlfn.IFS(J721&lt;3500,"&lt;3.5K",J721&lt;5500,"3.5-5.5K",J721&lt;7500,"5.5-7.5K",J721&gt;=7500,"7.5K+")</f>
        <v>5.5-7.5K</v>
      </c>
      <c r="U721">
        <f t="shared" si="11"/>
        <v>1</v>
      </c>
    </row>
    <row r="722" spans="1:21" x14ac:dyDescent="0.25">
      <c r="A722">
        <v>1496</v>
      </c>
      <c r="B722">
        <v>45</v>
      </c>
      <c r="C722" t="s">
        <v>23</v>
      </c>
      <c r="D722" t="s">
        <v>27</v>
      </c>
      <c r="E722" t="s">
        <v>31</v>
      </c>
      <c r="F722" t="s">
        <v>41</v>
      </c>
      <c r="G722" t="s">
        <v>37</v>
      </c>
      <c r="H722" t="s">
        <v>21</v>
      </c>
      <c r="I722">
        <v>23</v>
      </c>
      <c r="J722" s="2">
        <v>10558</v>
      </c>
      <c r="K722" t="s">
        <v>22</v>
      </c>
      <c r="L722">
        <v>1</v>
      </c>
      <c r="M722">
        <v>1</v>
      </c>
      <c r="N722">
        <v>1</v>
      </c>
      <c r="O722">
        <v>1</v>
      </c>
      <c r="P722">
        <v>12</v>
      </c>
      <c r="Q722" t="s">
        <v>22</v>
      </c>
      <c r="R722" t="str" cm="1">
        <f t="array" ref="R722">_xlfn.IFS(N722&lt;=1,"0-1 yrs",N722&lt;=4,"2-4 yrs",N722&lt;=9,"5-9 yrs",N722&gt;9,"10+ yrs")</f>
        <v>0-1 yrs</v>
      </c>
      <c r="S722" t="str" cm="1">
        <f t="array" ref="S722">_xlfn.IFS(B722&lt;=25,"20-25",B722&lt;=35,"26-35",B722&lt;=45,"36-45",B722&gt;45,"46+")</f>
        <v>36-45</v>
      </c>
      <c r="T722" t="str" cm="1">
        <f t="array" ref="T722">_xlfn.IFS(J722&lt;3500,"&lt;3.5K",J722&lt;5500,"3.5-5.5K",J722&lt;7500,"5.5-7.5K",J722&gt;=7500,"7.5K+")</f>
        <v>7.5K+</v>
      </c>
      <c r="U722">
        <f t="shared" si="11"/>
        <v>0</v>
      </c>
    </row>
    <row r="723" spans="1:21" x14ac:dyDescent="0.25">
      <c r="A723">
        <v>1402</v>
      </c>
      <c r="B723">
        <v>50</v>
      </c>
      <c r="C723" t="s">
        <v>16</v>
      </c>
      <c r="D723" t="s">
        <v>24</v>
      </c>
      <c r="E723" t="s">
        <v>45</v>
      </c>
      <c r="F723" t="s">
        <v>36</v>
      </c>
      <c r="G723" t="s">
        <v>33</v>
      </c>
      <c r="H723" t="s">
        <v>30</v>
      </c>
      <c r="I723">
        <v>17</v>
      </c>
      <c r="J723" s="2">
        <v>11816</v>
      </c>
      <c r="K723" t="s">
        <v>22</v>
      </c>
      <c r="L723">
        <v>4</v>
      </c>
      <c r="M723">
        <v>4</v>
      </c>
      <c r="N723">
        <v>13</v>
      </c>
      <c r="O723">
        <v>0</v>
      </c>
      <c r="P723">
        <v>25</v>
      </c>
      <c r="Q723" t="s">
        <v>22</v>
      </c>
      <c r="R723" t="str" cm="1">
        <f t="array" ref="R723">_xlfn.IFS(N723&lt;=1,"0-1 yrs",N723&lt;=4,"2-4 yrs",N723&lt;=9,"5-9 yrs",N723&gt;9,"10+ yrs")</f>
        <v>10+ yrs</v>
      </c>
      <c r="S723" t="str" cm="1">
        <f t="array" ref="S723">_xlfn.IFS(B723&lt;=25,"20-25",B723&lt;=35,"26-35",B723&lt;=45,"36-45",B723&gt;45,"46+")</f>
        <v>46+</v>
      </c>
      <c r="T723" t="str" cm="1">
        <f t="array" ref="T723">_xlfn.IFS(J723&lt;3500,"&lt;3.5K",J723&lt;5500,"3.5-5.5K",J723&lt;7500,"5.5-7.5K",J723&gt;=7500,"7.5K+")</f>
        <v>7.5K+</v>
      </c>
      <c r="U723">
        <f t="shared" si="11"/>
        <v>0</v>
      </c>
    </row>
    <row r="724" spans="1:21" x14ac:dyDescent="0.25">
      <c r="A724">
        <v>1252</v>
      </c>
      <c r="B724">
        <v>54</v>
      </c>
      <c r="C724" t="s">
        <v>23</v>
      </c>
      <c r="D724" t="s">
        <v>24</v>
      </c>
      <c r="E724" t="s">
        <v>25</v>
      </c>
      <c r="F724" t="s">
        <v>19</v>
      </c>
      <c r="G724" t="s">
        <v>20</v>
      </c>
      <c r="H724" t="s">
        <v>30</v>
      </c>
      <c r="I724">
        <v>13</v>
      </c>
      <c r="J724" s="2">
        <v>12286</v>
      </c>
      <c r="K724" t="s">
        <v>22</v>
      </c>
      <c r="L724">
        <v>1</v>
      </c>
      <c r="M724">
        <v>1</v>
      </c>
      <c r="N724">
        <v>1</v>
      </c>
      <c r="O724">
        <v>0</v>
      </c>
      <c r="P724">
        <v>25</v>
      </c>
      <c r="Q724" t="s">
        <v>42</v>
      </c>
      <c r="R724" t="str" cm="1">
        <f t="array" ref="R724">_xlfn.IFS(N724&lt;=1,"0-1 yrs",N724&lt;=4,"2-4 yrs",N724&lt;=9,"5-9 yrs",N724&gt;9,"10+ yrs")</f>
        <v>0-1 yrs</v>
      </c>
      <c r="S724" t="str" cm="1">
        <f t="array" ref="S724">_xlfn.IFS(B724&lt;=25,"20-25",B724&lt;=35,"26-35",B724&lt;=45,"36-45",B724&gt;45,"46+")</f>
        <v>46+</v>
      </c>
      <c r="T724" t="str" cm="1">
        <f t="array" ref="T724">_xlfn.IFS(J724&lt;3500,"&lt;3.5K",J724&lt;5500,"3.5-5.5K",J724&lt;7500,"5.5-7.5K",J724&gt;=7500,"7.5K+")</f>
        <v>7.5K+</v>
      </c>
      <c r="U724">
        <f t="shared" si="11"/>
        <v>1</v>
      </c>
    </row>
    <row r="725" spans="1:21" x14ac:dyDescent="0.25">
      <c r="A725">
        <v>1384</v>
      </c>
      <c r="B725">
        <v>48</v>
      </c>
      <c r="C725" t="s">
        <v>23</v>
      </c>
      <c r="D725" t="s">
        <v>47</v>
      </c>
      <c r="E725" t="s">
        <v>53</v>
      </c>
      <c r="F725" t="s">
        <v>41</v>
      </c>
      <c r="G725" t="s">
        <v>33</v>
      </c>
      <c r="H725" t="s">
        <v>21</v>
      </c>
      <c r="I725">
        <v>26</v>
      </c>
      <c r="J725" s="2">
        <v>12191</v>
      </c>
      <c r="K725" t="s">
        <v>42</v>
      </c>
      <c r="L725">
        <v>4</v>
      </c>
      <c r="M725">
        <v>2</v>
      </c>
      <c r="N725">
        <v>6</v>
      </c>
      <c r="O725">
        <v>5</v>
      </c>
      <c r="P725">
        <v>20</v>
      </c>
      <c r="Q725" t="s">
        <v>22</v>
      </c>
      <c r="R725" t="str" cm="1">
        <f t="array" ref="R725">_xlfn.IFS(N725&lt;=1,"0-1 yrs",N725&lt;=4,"2-4 yrs",N725&lt;=9,"5-9 yrs",N725&gt;9,"10+ yrs")</f>
        <v>5-9 yrs</v>
      </c>
      <c r="S725" t="str" cm="1">
        <f t="array" ref="S725">_xlfn.IFS(B725&lt;=25,"20-25",B725&lt;=35,"26-35",B725&lt;=45,"36-45",B725&gt;45,"46+")</f>
        <v>46+</v>
      </c>
      <c r="T725" t="str" cm="1">
        <f t="array" ref="T725">_xlfn.IFS(J725&lt;3500,"&lt;3.5K",J725&lt;5500,"3.5-5.5K",J725&lt;7500,"5.5-7.5K",J725&gt;=7500,"7.5K+")</f>
        <v>7.5K+</v>
      </c>
      <c r="U725">
        <f t="shared" si="11"/>
        <v>0</v>
      </c>
    </row>
    <row r="726" spans="1:21" x14ac:dyDescent="0.25">
      <c r="A726">
        <v>1664</v>
      </c>
      <c r="B726">
        <v>24</v>
      </c>
      <c r="C726" t="s">
        <v>23</v>
      </c>
      <c r="D726" t="s">
        <v>24</v>
      </c>
      <c r="E726" t="s">
        <v>45</v>
      </c>
      <c r="F726" t="s">
        <v>41</v>
      </c>
      <c r="G726" t="s">
        <v>20</v>
      </c>
      <c r="H726" t="s">
        <v>21</v>
      </c>
      <c r="I726">
        <v>13</v>
      </c>
      <c r="J726" s="2">
        <v>7284</v>
      </c>
      <c r="K726" t="s">
        <v>42</v>
      </c>
      <c r="L726">
        <v>3</v>
      </c>
      <c r="M726">
        <v>2</v>
      </c>
      <c r="N726">
        <v>2</v>
      </c>
      <c r="O726">
        <v>0</v>
      </c>
      <c r="P726">
        <v>4</v>
      </c>
      <c r="Q726" t="s">
        <v>22</v>
      </c>
      <c r="R726" t="str" cm="1">
        <f t="array" ref="R726">_xlfn.IFS(N726&lt;=1,"0-1 yrs",N726&lt;=4,"2-4 yrs",N726&lt;=9,"5-9 yrs",N726&gt;9,"10+ yrs")</f>
        <v>2-4 yrs</v>
      </c>
      <c r="S726" t="str" cm="1">
        <f t="array" ref="S726">_xlfn.IFS(B726&lt;=25,"20-25",B726&lt;=35,"26-35",B726&lt;=45,"36-45",B726&gt;45,"46+")</f>
        <v>20-25</v>
      </c>
      <c r="T726" t="str" cm="1">
        <f t="array" ref="T726">_xlfn.IFS(J726&lt;3500,"&lt;3.5K",J726&lt;5500,"3.5-5.5K",J726&lt;7500,"5.5-7.5K",J726&gt;=7500,"7.5K+")</f>
        <v>5.5-7.5K</v>
      </c>
      <c r="U726">
        <f t="shared" si="11"/>
        <v>0</v>
      </c>
    </row>
    <row r="727" spans="1:21" x14ac:dyDescent="0.25">
      <c r="A727">
        <v>1188</v>
      </c>
      <c r="B727">
        <v>43</v>
      </c>
      <c r="C727" t="s">
        <v>23</v>
      </c>
      <c r="D727" t="s">
        <v>24</v>
      </c>
      <c r="E727" t="s">
        <v>25</v>
      </c>
      <c r="F727" t="s">
        <v>32</v>
      </c>
      <c r="G727" t="s">
        <v>20</v>
      </c>
      <c r="H727" t="s">
        <v>34</v>
      </c>
      <c r="I727">
        <v>26</v>
      </c>
      <c r="J727" s="2">
        <v>11894</v>
      </c>
      <c r="K727" t="s">
        <v>22</v>
      </c>
      <c r="L727">
        <v>4</v>
      </c>
      <c r="M727">
        <v>3</v>
      </c>
      <c r="N727">
        <v>9</v>
      </c>
      <c r="O727">
        <v>0</v>
      </c>
      <c r="P727">
        <v>13</v>
      </c>
      <c r="Q727" t="s">
        <v>22</v>
      </c>
      <c r="R727" t="str" cm="1">
        <f t="array" ref="R727">_xlfn.IFS(N727&lt;=1,"0-1 yrs",N727&lt;=4,"2-4 yrs",N727&lt;=9,"5-9 yrs",N727&gt;9,"10+ yrs")</f>
        <v>5-9 yrs</v>
      </c>
      <c r="S727" t="str" cm="1">
        <f t="array" ref="S727">_xlfn.IFS(B727&lt;=25,"20-25",B727&lt;=35,"26-35",B727&lt;=45,"36-45",B727&gt;45,"46+")</f>
        <v>36-45</v>
      </c>
      <c r="T727" t="str" cm="1">
        <f t="array" ref="T727">_xlfn.IFS(J727&lt;3500,"&lt;3.5K",J727&lt;5500,"3.5-5.5K",J727&lt;7500,"5.5-7.5K",J727&gt;=7500,"7.5K+")</f>
        <v>7.5K+</v>
      </c>
      <c r="U727">
        <f t="shared" si="11"/>
        <v>0</v>
      </c>
    </row>
    <row r="728" spans="1:21" x14ac:dyDescent="0.25">
      <c r="A728">
        <v>1829</v>
      </c>
      <c r="B728">
        <v>31</v>
      </c>
      <c r="C728" t="s">
        <v>23</v>
      </c>
      <c r="D728" t="s">
        <v>17</v>
      </c>
      <c r="E728" t="s">
        <v>35</v>
      </c>
      <c r="F728" t="s">
        <v>36</v>
      </c>
      <c r="G728" t="s">
        <v>33</v>
      </c>
      <c r="H728" t="s">
        <v>21</v>
      </c>
      <c r="I728">
        <v>13</v>
      </c>
      <c r="J728" s="2">
        <v>8815</v>
      </c>
      <c r="K728" t="s">
        <v>22</v>
      </c>
      <c r="L728">
        <v>3</v>
      </c>
      <c r="M728">
        <v>1</v>
      </c>
      <c r="N728">
        <v>1</v>
      </c>
      <c r="O728">
        <v>1</v>
      </c>
      <c r="P728">
        <v>10</v>
      </c>
      <c r="Q728" t="s">
        <v>22</v>
      </c>
      <c r="R728" t="str" cm="1">
        <f t="array" ref="R728">_xlfn.IFS(N728&lt;=1,"0-1 yrs",N728&lt;=4,"2-4 yrs",N728&lt;=9,"5-9 yrs",N728&gt;9,"10+ yrs")</f>
        <v>0-1 yrs</v>
      </c>
      <c r="S728" t="str" cm="1">
        <f t="array" ref="S728">_xlfn.IFS(B728&lt;=25,"20-25",B728&lt;=35,"26-35",B728&lt;=45,"36-45",B728&gt;45,"46+")</f>
        <v>26-35</v>
      </c>
      <c r="T728" t="str" cm="1">
        <f t="array" ref="T728">_xlfn.IFS(J728&lt;3500,"&lt;3.5K",J728&lt;5500,"3.5-5.5K",J728&lt;7500,"5.5-7.5K",J728&gt;=7500,"7.5K+")</f>
        <v>7.5K+</v>
      </c>
      <c r="U728">
        <f t="shared" si="11"/>
        <v>0</v>
      </c>
    </row>
    <row r="729" spans="1:21" x14ac:dyDescent="0.25">
      <c r="A729">
        <v>1921</v>
      </c>
      <c r="B729">
        <v>21</v>
      </c>
      <c r="C729" t="s">
        <v>23</v>
      </c>
      <c r="D729" t="s">
        <v>17</v>
      </c>
      <c r="E729" t="s">
        <v>35</v>
      </c>
      <c r="F729" t="s">
        <v>29</v>
      </c>
      <c r="G729" t="s">
        <v>33</v>
      </c>
      <c r="H729" t="s">
        <v>34</v>
      </c>
      <c r="I729">
        <v>22</v>
      </c>
      <c r="J729" s="2">
        <v>2926</v>
      </c>
      <c r="K729" t="s">
        <v>42</v>
      </c>
      <c r="L729">
        <v>3</v>
      </c>
      <c r="M729">
        <v>3</v>
      </c>
      <c r="N729">
        <v>0</v>
      </c>
      <c r="O729">
        <v>0</v>
      </c>
      <c r="P729">
        <v>0</v>
      </c>
      <c r="Q729" t="s">
        <v>42</v>
      </c>
      <c r="R729" t="str" cm="1">
        <f t="array" ref="R729">_xlfn.IFS(N729&lt;=1,"0-1 yrs",N729&lt;=4,"2-4 yrs",N729&lt;=9,"5-9 yrs",N729&gt;9,"10+ yrs")</f>
        <v>0-1 yrs</v>
      </c>
      <c r="S729" t="str" cm="1">
        <f t="array" ref="S729">_xlfn.IFS(B729&lt;=25,"20-25",B729&lt;=35,"26-35",B729&lt;=45,"36-45",B729&gt;45,"46+")</f>
        <v>20-25</v>
      </c>
      <c r="T729" t="str" cm="1">
        <f t="array" ref="T729">_xlfn.IFS(J729&lt;3500,"&lt;3.5K",J729&lt;5500,"3.5-5.5K",J729&lt;7500,"5.5-7.5K",J729&gt;=7500,"7.5K+")</f>
        <v>&lt;3.5K</v>
      </c>
      <c r="U729">
        <f t="shared" si="11"/>
        <v>1</v>
      </c>
    </row>
    <row r="730" spans="1:21" x14ac:dyDescent="0.25">
      <c r="A730">
        <v>1764</v>
      </c>
      <c r="B730">
        <v>42</v>
      </c>
      <c r="C730" t="s">
        <v>23</v>
      </c>
      <c r="D730" t="s">
        <v>17</v>
      </c>
      <c r="E730" t="s">
        <v>40</v>
      </c>
      <c r="F730" t="s">
        <v>36</v>
      </c>
      <c r="G730" t="s">
        <v>20</v>
      </c>
      <c r="H730" t="s">
        <v>34</v>
      </c>
      <c r="I730">
        <v>18</v>
      </c>
      <c r="J730" s="2">
        <v>6974</v>
      </c>
      <c r="K730" t="s">
        <v>22</v>
      </c>
      <c r="L730">
        <v>1</v>
      </c>
      <c r="M730">
        <v>3</v>
      </c>
      <c r="N730">
        <v>3</v>
      </c>
      <c r="O730">
        <v>3</v>
      </c>
      <c r="P730">
        <v>8</v>
      </c>
      <c r="Q730" t="s">
        <v>22</v>
      </c>
      <c r="R730" t="str" cm="1">
        <f t="array" ref="R730">_xlfn.IFS(N730&lt;=1,"0-1 yrs",N730&lt;=4,"2-4 yrs",N730&lt;=9,"5-9 yrs",N730&gt;9,"10+ yrs")</f>
        <v>2-4 yrs</v>
      </c>
      <c r="S730" t="str" cm="1">
        <f t="array" ref="S730">_xlfn.IFS(B730&lt;=25,"20-25",B730&lt;=35,"26-35",B730&lt;=45,"36-45",B730&gt;45,"46+")</f>
        <v>36-45</v>
      </c>
      <c r="T730" t="str" cm="1">
        <f t="array" ref="T730">_xlfn.IFS(J730&lt;3500,"&lt;3.5K",J730&lt;5500,"3.5-5.5K",J730&lt;7500,"5.5-7.5K",J730&gt;=7500,"7.5K+")</f>
        <v>5.5-7.5K</v>
      </c>
      <c r="U730">
        <f t="shared" si="11"/>
        <v>0</v>
      </c>
    </row>
    <row r="731" spans="1:21" x14ac:dyDescent="0.25">
      <c r="A731">
        <v>1211</v>
      </c>
      <c r="B731">
        <v>52</v>
      </c>
      <c r="C731" t="s">
        <v>16</v>
      </c>
      <c r="D731" t="s">
        <v>47</v>
      </c>
      <c r="E731" t="s">
        <v>50</v>
      </c>
      <c r="F731" t="s">
        <v>32</v>
      </c>
      <c r="G731" t="s">
        <v>33</v>
      </c>
      <c r="H731" t="s">
        <v>34</v>
      </c>
      <c r="I731">
        <v>4</v>
      </c>
      <c r="J731" s="2">
        <v>12017</v>
      </c>
      <c r="K731" t="s">
        <v>42</v>
      </c>
      <c r="L731">
        <v>4</v>
      </c>
      <c r="M731">
        <v>2</v>
      </c>
      <c r="N731">
        <v>5</v>
      </c>
      <c r="O731">
        <v>0</v>
      </c>
      <c r="P731">
        <v>32</v>
      </c>
      <c r="Q731" t="s">
        <v>22</v>
      </c>
      <c r="R731" t="str" cm="1">
        <f t="array" ref="R731">_xlfn.IFS(N731&lt;=1,"0-1 yrs",N731&lt;=4,"2-4 yrs",N731&lt;=9,"5-9 yrs",N731&gt;9,"10+ yrs")</f>
        <v>5-9 yrs</v>
      </c>
      <c r="S731" t="str" cm="1">
        <f t="array" ref="S731">_xlfn.IFS(B731&lt;=25,"20-25",B731&lt;=35,"26-35",B731&lt;=45,"36-45",B731&gt;45,"46+")</f>
        <v>46+</v>
      </c>
      <c r="T731" t="str" cm="1">
        <f t="array" ref="T731">_xlfn.IFS(J731&lt;3500,"&lt;3.5K",J731&lt;5500,"3.5-5.5K",J731&lt;7500,"5.5-7.5K",J731&gt;=7500,"7.5K+")</f>
        <v>7.5K+</v>
      </c>
      <c r="U731">
        <f t="shared" si="11"/>
        <v>0</v>
      </c>
    </row>
    <row r="732" spans="1:21" x14ac:dyDescent="0.25">
      <c r="A732">
        <v>1890</v>
      </c>
      <c r="B732">
        <v>52</v>
      </c>
      <c r="C732" t="s">
        <v>16</v>
      </c>
      <c r="D732" t="s">
        <v>17</v>
      </c>
      <c r="E732" t="s">
        <v>35</v>
      </c>
      <c r="F732" t="s">
        <v>26</v>
      </c>
      <c r="G732" t="s">
        <v>37</v>
      </c>
      <c r="H732" t="s">
        <v>21</v>
      </c>
      <c r="I732">
        <v>22</v>
      </c>
      <c r="J732" s="2">
        <v>10375</v>
      </c>
      <c r="K732" t="s">
        <v>22</v>
      </c>
      <c r="L732">
        <v>4</v>
      </c>
      <c r="M732">
        <v>4</v>
      </c>
      <c r="N732">
        <v>5</v>
      </c>
      <c r="O732">
        <v>2</v>
      </c>
      <c r="P732">
        <v>32</v>
      </c>
      <c r="Q732" t="s">
        <v>22</v>
      </c>
      <c r="R732" t="str" cm="1">
        <f t="array" ref="R732">_xlfn.IFS(N732&lt;=1,"0-1 yrs",N732&lt;=4,"2-4 yrs",N732&lt;=9,"5-9 yrs",N732&gt;9,"10+ yrs")</f>
        <v>5-9 yrs</v>
      </c>
      <c r="S732" t="str" cm="1">
        <f t="array" ref="S732">_xlfn.IFS(B732&lt;=25,"20-25",B732&lt;=35,"26-35",B732&lt;=45,"36-45",B732&gt;45,"46+")</f>
        <v>46+</v>
      </c>
      <c r="T732" t="str" cm="1">
        <f t="array" ref="T732">_xlfn.IFS(J732&lt;3500,"&lt;3.5K",J732&lt;5500,"3.5-5.5K",J732&lt;7500,"5.5-7.5K",J732&gt;=7500,"7.5K+")</f>
        <v>7.5K+</v>
      </c>
      <c r="U732">
        <f t="shared" si="11"/>
        <v>0</v>
      </c>
    </row>
    <row r="733" spans="1:21" x14ac:dyDescent="0.25">
      <c r="A733">
        <v>1654</v>
      </c>
      <c r="B733">
        <v>28</v>
      </c>
      <c r="C733" t="s">
        <v>16</v>
      </c>
      <c r="D733" t="s">
        <v>24</v>
      </c>
      <c r="E733" t="s">
        <v>25</v>
      </c>
      <c r="F733" t="s">
        <v>19</v>
      </c>
      <c r="G733" t="s">
        <v>33</v>
      </c>
      <c r="H733" t="s">
        <v>21</v>
      </c>
      <c r="I733">
        <v>8</v>
      </c>
      <c r="J733" s="2">
        <v>10148</v>
      </c>
      <c r="K733" t="s">
        <v>22</v>
      </c>
      <c r="L733">
        <v>1</v>
      </c>
      <c r="M733">
        <v>1</v>
      </c>
      <c r="N733">
        <v>0</v>
      </c>
      <c r="O733">
        <v>0</v>
      </c>
      <c r="P733">
        <v>0</v>
      </c>
      <c r="Q733" t="s">
        <v>22</v>
      </c>
      <c r="R733" t="str" cm="1">
        <f t="array" ref="R733">_xlfn.IFS(N733&lt;=1,"0-1 yrs",N733&lt;=4,"2-4 yrs",N733&lt;=9,"5-9 yrs",N733&gt;9,"10+ yrs")</f>
        <v>0-1 yrs</v>
      </c>
      <c r="S733" t="str" cm="1">
        <f t="array" ref="S733">_xlfn.IFS(B733&lt;=25,"20-25",B733&lt;=35,"26-35",B733&lt;=45,"36-45",B733&gt;45,"46+")</f>
        <v>26-35</v>
      </c>
      <c r="T733" t="str" cm="1">
        <f t="array" ref="T733">_xlfn.IFS(J733&lt;3500,"&lt;3.5K",J733&lt;5500,"3.5-5.5K",J733&lt;7500,"5.5-7.5K",J733&gt;=7500,"7.5K+")</f>
        <v>7.5K+</v>
      </c>
      <c r="U733">
        <f t="shared" si="11"/>
        <v>0</v>
      </c>
    </row>
    <row r="734" spans="1:21" x14ac:dyDescent="0.25">
      <c r="A734">
        <v>1299</v>
      </c>
      <c r="B734">
        <v>43</v>
      </c>
      <c r="C734" t="s">
        <v>16</v>
      </c>
      <c r="D734" t="s">
        <v>38</v>
      </c>
      <c r="E734" t="s">
        <v>49</v>
      </c>
      <c r="F734" t="s">
        <v>26</v>
      </c>
      <c r="G734" t="s">
        <v>37</v>
      </c>
      <c r="H734" t="s">
        <v>30</v>
      </c>
      <c r="I734">
        <v>24</v>
      </c>
      <c r="J734" s="2">
        <v>10907</v>
      </c>
      <c r="K734" t="s">
        <v>22</v>
      </c>
      <c r="L734">
        <v>4</v>
      </c>
      <c r="M734">
        <v>3</v>
      </c>
      <c r="N734">
        <v>13</v>
      </c>
      <c r="O734">
        <v>3</v>
      </c>
      <c r="P734">
        <v>23</v>
      </c>
      <c r="Q734" t="s">
        <v>22</v>
      </c>
      <c r="R734" t="str" cm="1">
        <f t="array" ref="R734">_xlfn.IFS(N734&lt;=1,"0-1 yrs",N734&lt;=4,"2-4 yrs",N734&lt;=9,"5-9 yrs",N734&gt;9,"10+ yrs")</f>
        <v>10+ yrs</v>
      </c>
      <c r="S734" t="str" cm="1">
        <f t="array" ref="S734">_xlfn.IFS(B734&lt;=25,"20-25",B734&lt;=35,"26-35",B734&lt;=45,"36-45",B734&gt;45,"46+")</f>
        <v>36-45</v>
      </c>
      <c r="T734" t="str" cm="1">
        <f t="array" ref="T734">_xlfn.IFS(J734&lt;3500,"&lt;3.5K",J734&lt;5500,"3.5-5.5K",J734&lt;7500,"5.5-7.5K",J734&gt;=7500,"7.5K+")</f>
        <v>7.5K+</v>
      </c>
      <c r="U734">
        <f t="shared" si="11"/>
        <v>0</v>
      </c>
    </row>
    <row r="735" spans="1:21" x14ac:dyDescent="0.25">
      <c r="A735">
        <v>1741</v>
      </c>
      <c r="B735">
        <v>42</v>
      </c>
      <c r="C735" t="s">
        <v>16</v>
      </c>
      <c r="D735" t="s">
        <v>17</v>
      </c>
      <c r="E735" t="s">
        <v>40</v>
      </c>
      <c r="F735" t="s">
        <v>29</v>
      </c>
      <c r="G735" t="s">
        <v>20</v>
      </c>
      <c r="H735" t="s">
        <v>21</v>
      </c>
      <c r="I735">
        <v>12</v>
      </c>
      <c r="J735" s="2">
        <v>6628</v>
      </c>
      <c r="K735" t="s">
        <v>22</v>
      </c>
      <c r="L735">
        <v>1</v>
      </c>
      <c r="M735">
        <v>2</v>
      </c>
      <c r="N735">
        <v>3</v>
      </c>
      <c r="O735">
        <v>2</v>
      </c>
      <c r="P735">
        <v>8</v>
      </c>
      <c r="Q735" t="s">
        <v>22</v>
      </c>
      <c r="R735" t="str" cm="1">
        <f t="array" ref="R735">_xlfn.IFS(N735&lt;=1,"0-1 yrs",N735&lt;=4,"2-4 yrs",N735&lt;=9,"5-9 yrs",N735&gt;9,"10+ yrs")</f>
        <v>2-4 yrs</v>
      </c>
      <c r="S735" t="str" cm="1">
        <f t="array" ref="S735">_xlfn.IFS(B735&lt;=25,"20-25",B735&lt;=35,"26-35",B735&lt;=45,"36-45",B735&gt;45,"46+")</f>
        <v>36-45</v>
      </c>
      <c r="T735" t="str" cm="1">
        <f t="array" ref="T735">_xlfn.IFS(J735&lt;3500,"&lt;3.5K",J735&lt;5500,"3.5-5.5K",J735&lt;7500,"5.5-7.5K",J735&gt;=7500,"7.5K+")</f>
        <v>5.5-7.5K</v>
      </c>
      <c r="U735">
        <f t="shared" si="11"/>
        <v>0</v>
      </c>
    </row>
    <row r="736" spans="1:21" x14ac:dyDescent="0.25">
      <c r="A736">
        <v>1121</v>
      </c>
      <c r="B736">
        <v>25</v>
      </c>
      <c r="C736" t="s">
        <v>23</v>
      </c>
      <c r="D736" t="s">
        <v>17</v>
      </c>
      <c r="E736" t="s">
        <v>40</v>
      </c>
      <c r="F736" t="s">
        <v>38</v>
      </c>
      <c r="G736" t="s">
        <v>20</v>
      </c>
      <c r="H736" t="s">
        <v>21</v>
      </c>
      <c r="I736">
        <v>21</v>
      </c>
      <c r="J736" s="2">
        <v>6665</v>
      </c>
      <c r="K736" t="s">
        <v>22</v>
      </c>
      <c r="L736">
        <v>4</v>
      </c>
      <c r="M736">
        <v>1</v>
      </c>
      <c r="N736">
        <v>4</v>
      </c>
      <c r="O736">
        <v>2</v>
      </c>
      <c r="P736">
        <v>5</v>
      </c>
      <c r="Q736" t="s">
        <v>22</v>
      </c>
      <c r="R736" t="str" cm="1">
        <f t="array" ref="R736">_xlfn.IFS(N736&lt;=1,"0-1 yrs",N736&lt;=4,"2-4 yrs",N736&lt;=9,"5-9 yrs",N736&gt;9,"10+ yrs")</f>
        <v>2-4 yrs</v>
      </c>
      <c r="S736" t="str" cm="1">
        <f t="array" ref="S736">_xlfn.IFS(B736&lt;=25,"20-25",B736&lt;=35,"26-35",B736&lt;=45,"36-45",B736&gt;45,"46+")</f>
        <v>20-25</v>
      </c>
      <c r="T736" t="str" cm="1">
        <f t="array" ref="T736">_xlfn.IFS(J736&lt;3500,"&lt;3.5K",J736&lt;5500,"3.5-5.5K",J736&lt;7500,"5.5-7.5K",J736&gt;=7500,"7.5K+")</f>
        <v>5.5-7.5K</v>
      </c>
      <c r="U736">
        <f t="shared" si="11"/>
        <v>0</v>
      </c>
    </row>
    <row r="737" spans="1:21" x14ac:dyDescent="0.25">
      <c r="A737">
        <v>1178</v>
      </c>
      <c r="B737">
        <v>47</v>
      </c>
      <c r="C737" t="s">
        <v>16</v>
      </c>
      <c r="D737" t="s">
        <v>17</v>
      </c>
      <c r="E737" t="s">
        <v>18</v>
      </c>
      <c r="F737" t="s">
        <v>38</v>
      </c>
      <c r="G737" t="s">
        <v>33</v>
      </c>
      <c r="H737" t="s">
        <v>30</v>
      </c>
      <c r="I737">
        <v>7</v>
      </c>
      <c r="J737" s="2">
        <v>12976</v>
      </c>
      <c r="K737" t="s">
        <v>22</v>
      </c>
      <c r="L737">
        <v>4</v>
      </c>
      <c r="M737">
        <v>1</v>
      </c>
      <c r="N737">
        <v>6</v>
      </c>
      <c r="O737">
        <v>3</v>
      </c>
      <c r="P737">
        <v>16</v>
      </c>
      <c r="Q737" t="s">
        <v>22</v>
      </c>
      <c r="R737" t="str" cm="1">
        <f t="array" ref="R737">_xlfn.IFS(N737&lt;=1,"0-1 yrs",N737&lt;=4,"2-4 yrs",N737&lt;=9,"5-9 yrs",N737&gt;9,"10+ yrs")</f>
        <v>5-9 yrs</v>
      </c>
      <c r="S737" t="str" cm="1">
        <f t="array" ref="S737">_xlfn.IFS(B737&lt;=25,"20-25",B737&lt;=35,"26-35",B737&lt;=45,"36-45",B737&gt;45,"46+")</f>
        <v>46+</v>
      </c>
      <c r="T737" t="str" cm="1">
        <f t="array" ref="T737">_xlfn.IFS(J737&lt;3500,"&lt;3.5K",J737&lt;5500,"3.5-5.5K",J737&lt;7500,"5.5-7.5K",J737&gt;=7500,"7.5K+")</f>
        <v>7.5K+</v>
      </c>
      <c r="U737">
        <f t="shared" si="11"/>
        <v>0</v>
      </c>
    </row>
    <row r="738" spans="1:21" x14ac:dyDescent="0.25">
      <c r="A738">
        <v>1533</v>
      </c>
      <c r="B738">
        <v>45</v>
      </c>
      <c r="C738" t="s">
        <v>16</v>
      </c>
      <c r="D738" t="s">
        <v>27</v>
      </c>
      <c r="E738" t="s">
        <v>44</v>
      </c>
      <c r="F738" t="s">
        <v>41</v>
      </c>
      <c r="G738" t="s">
        <v>20</v>
      </c>
      <c r="H738" t="s">
        <v>34</v>
      </c>
      <c r="I738">
        <v>28</v>
      </c>
      <c r="J738" s="2">
        <v>8117</v>
      </c>
      <c r="K738" t="s">
        <v>22</v>
      </c>
      <c r="L738">
        <v>4</v>
      </c>
      <c r="M738">
        <v>2</v>
      </c>
      <c r="N738">
        <v>0</v>
      </c>
      <c r="O738">
        <v>0</v>
      </c>
      <c r="P738">
        <v>16</v>
      </c>
      <c r="Q738" t="s">
        <v>22</v>
      </c>
      <c r="R738" t="str" cm="1">
        <f t="array" ref="R738">_xlfn.IFS(N738&lt;=1,"0-1 yrs",N738&lt;=4,"2-4 yrs",N738&lt;=9,"5-9 yrs",N738&gt;9,"10+ yrs")</f>
        <v>0-1 yrs</v>
      </c>
      <c r="S738" t="str" cm="1">
        <f t="array" ref="S738">_xlfn.IFS(B738&lt;=25,"20-25",B738&lt;=35,"26-35",B738&lt;=45,"36-45",B738&gt;45,"46+")</f>
        <v>36-45</v>
      </c>
      <c r="T738" t="str" cm="1">
        <f t="array" ref="T738">_xlfn.IFS(J738&lt;3500,"&lt;3.5K",J738&lt;5500,"3.5-5.5K",J738&lt;7500,"5.5-7.5K",J738&gt;=7500,"7.5K+")</f>
        <v>7.5K+</v>
      </c>
      <c r="U738">
        <f t="shared" si="11"/>
        <v>0</v>
      </c>
    </row>
    <row r="739" spans="1:21" x14ac:dyDescent="0.25">
      <c r="A739">
        <v>1596</v>
      </c>
      <c r="B739">
        <v>32</v>
      </c>
      <c r="C739" t="s">
        <v>16</v>
      </c>
      <c r="D739" t="s">
        <v>47</v>
      </c>
      <c r="E739" t="s">
        <v>48</v>
      </c>
      <c r="F739" t="s">
        <v>32</v>
      </c>
      <c r="G739" t="s">
        <v>20</v>
      </c>
      <c r="H739" t="s">
        <v>34</v>
      </c>
      <c r="I739">
        <v>14</v>
      </c>
      <c r="J739" s="2">
        <v>4018</v>
      </c>
      <c r="K739" t="s">
        <v>22</v>
      </c>
      <c r="L739">
        <v>3</v>
      </c>
      <c r="M739">
        <v>1</v>
      </c>
      <c r="N739">
        <v>5</v>
      </c>
      <c r="O739">
        <v>4</v>
      </c>
      <c r="P739">
        <v>9</v>
      </c>
      <c r="Q739" t="s">
        <v>22</v>
      </c>
      <c r="R739" t="str" cm="1">
        <f t="array" ref="R739">_xlfn.IFS(N739&lt;=1,"0-1 yrs",N739&lt;=4,"2-4 yrs",N739&lt;=9,"5-9 yrs",N739&gt;9,"10+ yrs")</f>
        <v>5-9 yrs</v>
      </c>
      <c r="S739" t="str" cm="1">
        <f t="array" ref="S739">_xlfn.IFS(B739&lt;=25,"20-25",B739&lt;=35,"26-35",B739&lt;=45,"36-45",B739&gt;45,"46+")</f>
        <v>26-35</v>
      </c>
      <c r="T739" t="str" cm="1">
        <f t="array" ref="T739">_xlfn.IFS(J739&lt;3500,"&lt;3.5K",J739&lt;5500,"3.5-5.5K",J739&lt;7500,"5.5-7.5K",J739&gt;=7500,"7.5K+")</f>
        <v>3.5-5.5K</v>
      </c>
      <c r="U739">
        <f t="shared" si="11"/>
        <v>0</v>
      </c>
    </row>
    <row r="740" spans="1:21" x14ac:dyDescent="0.25">
      <c r="A740">
        <v>1474</v>
      </c>
      <c r="B740">
        <v>60</v>
      </c>
      <c r="C740" t="s">
        <v>16</v>
      </c>
      <c r="D740" t="s">
        <v>24</v>
      </c>
      <c r="E740" t="s">
        <v>46</v>
      </c>
      <c r="F740" t="s">
        <v>32</v>
      </c>
      <c r="G740" t="s">
        <v>20</v>
      </c>
      <c r="H740" t="s">
        <v>21</v>
      </c>
      <c r="I740">
        <v>5</v>
      </c>
      <c r="J740" s="2">
        <v>13642</v>
      </c>
      <c r="K740" t="s">
        <v>42</v>
      </c>
      <c r="L740">
        <v>2</v>
      </c>
      <c r="M740">
        <v>4</v>
      </c>
      <c r="N740">
        <v>9</v>
      </c>
      <c r="O740">
        <v>2</v>
      </c>
      <c r="P740">
        <v>37</v>
      </c>
      <c r="Q740" t="s">
        <v>42</v>
      </c>
      <c r="R740" t="str" cm="1">
        <f t="array" ref="R740">_xlfn.IFS(N740&lt;=1,"0-1 yrs",N740&lt;=4,"2-4 yrs",N740&lt;=9,"5-9 yrs",N740&gt;9,"10+ yrs")</f>
        <v>5-9 yrs</v>
      </c>
      <c r="S740" t="str" cm="1">
        <f t="array" ref="S740">_xlfn.IFS(B740&lt;=25,"20-25",B740&lt;=35,"26-35",B740&lt;=45,"36-45",B740&gt;45,"46+")</f>
        <v>46+</v>
      </c>
      <c r="T740" t="str" cm="1">
        <f t="array" ref="T740">_xlfn.IFS(J740&lt;3500,"&lt;3.5K",J740&lt;5500,"3.5-5.5K",J740&lt;7500,"5.5-7.5K",J740&gt;=7500,"7.5K+")</f>
        <v>7.5K+</v>
      </c>
      <c r="U740">
        <f t="shared" si="11"/>
        <v>1</v>
      </c>
    </row>
    <row r="741" spans="1:21" x14ac:dyDescent="0.25">
      <c r="A741">
        <v>1210</v>
      </c>
      <c r="B741">
        <v>48</v>
      </c>
      <c r="C741" t="s">
        <v>23</v>
      </c>
      <c r="D741" t="s">
        <v>47</v>
      </c>
      <c r="E741" t="s">
        <v>48</v>
      </c>
      <c r="F741" t="s">
        <v>36</v>
      </c>
      <c r="G741" t="s">
        <v>37</v>
      </c>
      <c r="H741" t="s">
        <v>34</v>
      </c>
      <c r="I741">
        <v>28</v>
      </c>
      <c r="J741" s="2">
        <v>10885</v>
      </c>
      <c r="K741" t="s">
        <v>42</v>
      </c>
      <c r="L741">
        <v>3</v>
      </c>
      <c r="M741">
        <v>1</v>
      </c>
      <c r="N741">
        <v>3</v>
      </c>
      <c r="O741">
        <v>0</v>
      </c>
      <c r="P741">
        <v>22</v>
      </c>
      <c r="Q741" t="s">
        <v>22</v>
      </c>
      <c r="R741" t="str" cm="1">
        <f t="array" ref="R741">_xlfn.IFS(N741&lt;=1,"0-1 yrs",N741&lt;=4,"2-4 yrs",N741&lt;=9,"5-9 yrs",N741&gt;9,"10+ yrs")</f>
        <v>2-4 yrs</v>
      </c>
      <c r="S741" t="str" cm="1">
        <f t="array" ref="S741">_xlfn.IFS(B741&lt;=25,"20-25",B741&lt;=35,"26-35",B741&lt;=45,"36-45",B741&gt;45,"46+")</f>
        <v>46+</v>
      </c>
      <c r="T741" t="str" cm="1">
        <f t="array" ref="T741">_xlfn.IFS(J741&lt;3500,"&lt;3.5K",J741&lt;5500,"3.5-5.5K",J741&lt;7500,"5.5-7.5K",J741&gt;=7500,"7.5K+")</f>
        <v>7.5K+</v>
      </c>
      <c r="U741">
        <f t="shared" si="11"/>
        <v>0</v>
      </c>
    </row>
    <row r="742" spans="1:21" x14ac:dyDescent="0.25">
      <c r="A742">
        <v>1867</v>
      </c>
      <c r="B742">
        <v>59</v>
      </c>
      <c r="C742" t="s">
        <v>23</v>
      </c>
      <c r="D742" t="s">
        <v>27</v>
      </c>
      <c r="E742" t="s">
        <v>43</v>
      </c>
      <c r="F742" t="s">
        <v>36</v>
      </c>
      <c r="G742" t="s">
        <v>37</v>
      </c>
      <c r="H742" t="s">
        <v>21</v>
      </c>
      <c r="I742">
        <v>24</v>
      </c>
      <c r="J742" s="2">
        <v>10548</v>
      </c>
      <c r="K742" t="s">
        <v>22</v>
      </c>
      <c r="L742">
        <v>2</v>
      </c>
      <c r="M742">
        <v>3</v>
      </c>
      <c r="N742">
        <v>3</v>
      </c>
      <c r="O742">
        <v>0</v>
      </c>
      <c r="P742">
        <v>25</v>
      </c>
      <c r="Q742" t="s">
        <v>22</v>
      </c>
      <c r="R742" t="str" cm="1">
        <f t="array" ref="R742">_xlfn.IFS(N742&lt;=1,"0-1 yrs",N742&lt;=4,"2-4 yrs",N742&lt;=9,"5-9 yrs",N742&gt;9,"10+ yrs")</f>
        <v>2-4 yrs</v>
      </c>
      <c r="S742" t="str" cm="1">
        <f t="array" ref="S742">_xlfn.IFS(B742&lt;=25,"20-25",B742&lt;=35,"26-35",B742&lt;=45,"36-45",B742&gt;45,"46+")</f>
        <v>46+</v>
      </c>
      <c r="T742" t="str" cm="1">
        <f t="array" ref="T742">_xlfn.IFS(J742&lt;3500,"&lt;3.5K",J742&lt;5500,"3.5-5.5K",J742&lt;7500,"5.5-7.5K",J742&gt;=7500,"7.5K+")</f>
        <v>7.5K+</v>
      </c>
      <c r="U742">
        <f t="shared" si="11"/>
        <v>0</v>
      </c>
    </row>
    <row r="743" spans="1:21" x14ac:dyDescent="0.25">
      <c r="A743">
        <v>1903</v>
      </c>
      <c r="B743">
        <v>47</v>
      </c>
      <c r="C743" t="s">
        <v>23</v>
      </c>
      <c r="D743" t="s">
        <v>47</v>
      </c>
      <c r="E743" t="s">
        <v>53</v>
      </c>
      <c r="F743" t="s">
        <v>38</v>
      </c>
      <c r="G743" t="s">
        <v>20</v>
      </c>
      <c r="H743" t="s">
        <v>21</v>
      </c>
      <c r="I743">
        <v>14</v>
      </c>
      <c r="J743" s="2">
        <v>13081</v>
      </c>
      <c r="K743" t="s">
        <v>22</v>
      </c>
      <c r="L743">
        <v>3</v>
      </c>
      <c r="M743">
        <v>1</v>
      </c>
      <c r="N743">
        <v>18</v>
      </c>
      <c r="O743">
        <v>5</v>
      </c>
      <c r="P743">
        <v>22</v>
      </c>
      <c r="Q743" t="s">
        <v>22</v>
      </c>
      <c r="R743" t="str" cm="1">
        <f t="array" ref="R743">_xlfn.IFS(N743&lt;=1,"0-1 yrs",N743&lt;=4,"2-4 yrs",N743&lt;=9,"5-9 yrs",N743&gt;9,"10+ yrs")</f>
        <v>10+ yrs</v>
      </c>
      <c r="S743" t="str" cm="1">
        <f t="array" ref="S743">_xlfn.IFS(B743&lt;=25,"20-25",B743&lt;=35,"26-35",B743&lt;=45,"36-45",B743&gt;45,"46+")</f>
        <v>46+</v>
      </c>
      <c r="T743" t="str" cm="1">
        <f t="array" ref="T743">_xlfn.IFS(J743&lt;3500,"&lt;3.5K",J743&lt;5500,"3.5-5.5K",J743&lt;7500,"5.5-7.5K",J743&gt;=7500,"7.5K+")</f>
        <v>7.5K+</v>
      </c>
      <c r="U743">
        <f t="shared" si="11"/>
        <v>0</v>
      </c>
    </row>
    <row r="744" spans="1:21" x14ac:dyDescent="0.25">
      <c r="A744">
        <v>1556</v>
      </c>
      <c r="B744">
        <v>49</v>
      </c>
      <c r="C744" t="s">
        <v>23</v>
      </c>
      <c r="D744" t="s">
        <v>24</v>
      </c>
      <c r="E744" t="s">
        <v>46</v>
      </c>
      <c r="F744" t="s">
        <v>38</v>
      </c>
      <c r="G744" t="s">
        <v>20</v>
      </c>
      <c r="H744" t="s">
        <v>30</v>
      </c>
      <c r="I744">
        <v>7</v>
      </c>
      <c r="J744" s="2">
        <v>8659</v>
      </c>
      <c r="K744" t="s">
        <v>22</v>
      </c>
      <c r="L744">
        <v>2</v>
      </c>
      <c r="M744">
        <v>2</v>
      </c>
      <c r="N744">
        <v>15</v>
      </c>
      <c r="O744">
        <v>7</v>
      </c>
      <c r="P744">
        <v>29</v>
      </c>
      <c r="Q744" t="s">
        <v>22</v>
      </c>
      <c r="R744" t="str" cm="1">
        <f t="array" ref="R744">_xlfn.IFS(N744&lt;=1,"0-1 yrs",N744&lt;=4,"2-4 yrs",N744&lt;=9,"5-9 yrs",N744&gt;9,"10+ yrs")</f>
        <v>10+ yrs</v>
      </c>
      <c r="S744" t="str" cm="1">
        <f t="array" ref="S744">_xlfn.IFS(B744&lt;=25,"20-25",B744&lt;=35,"26-35",B744&lt;=45,"36-45",B744&gt;45,"46+")</f>
        <v>46+</v>
      </c>
      <c r="T744" t="str" cm="1">
        <f t="array" ref="T744">_xlfn.IFS(J744&lt;3500,"&lt;3.5K",J744&lt;5500,"3.5-5.5K",J744&lt;7500,"5.5-7.5K",J744&gt;=7500,"7.5K+")</f>
        <v>7.5K+</v>
      </c>
      <c r="U744">
        <f t="shared" si="11"/>
        <v>0</v>
      </c>
    </row>
    <row r="745" spans="1:21" x14ac:dyDescent="0.25">
      <c r="A745">
        <v>1730</v>
      </c>
      <c r="B745">
        <v>29</v>
      </c>
      <c r="C745" t="s">
        <v>23</v>
      </c>
      <c r="D745" t="s">
        <v>47</v>
      </c>
      <c r="E745" t="s">
        <v>53</v>
      </c>
      <c r="F745" t="s">
        <v>19</v>
      </c>
      <c r="G745" t="s">
        <v>33</v>
      </c>
      <c r="H745" t="s">
        <v>30</v>
      </c>
      <c r="I745">
        <v>2</v>
      </c>
      <c r="J745" s="2">
        <v>10385</v>
      </c>
      <c r="K745" t="s">
        <v>22</v>
      </c>
      <c r="L745">
        <v>4</v>
      </c>
      <c r="M745">
        <v>1</v>
      </c>
      <c r="N745">
        <v>2</v>
      </c>
      <c r="O745">
        <v>2</v>
      </c>
      <c r="P745">
        <v>9</v>
      </c>
      <c r="Q745" t="s">
        <v>22</v>
      </c>
      <c r="R745" t="str" cm="1">
        <f t="array" ref="R745">_xlfn.IFS(N745&lt;=1,"0-1 yrs",N745&lt;=4,"2-4 yrs",N745&lt;=9,"5-9 yrs",N745&gt;9,"10+ yrs")</f>
        <v>2-4 yrs</v>
      </c>
      <c r="S745" t="str" cm="1">
        <f t="array" ref="S745">_xlfn.IFS(B745&lt;=25,"20-25",B745&lt;=35,"26-35",B745&lt;=45,"36-45",B745&gt;45,"46+")</f>
        <v>26-35</v>
      </c>
      <c r="T745" t="str" cm="1">
        <f t="array" ref="T745">_xlfn.IFS(J745&lt;3500,"&lt;3.5K",J745&lt;5500,"3.5-5.5K",J745&lt;7500,"5.5-7.5K",J745&gt;=7500,"7.5K+")</f>
        <v>7.5K+</v>
      </c>
      <c r="U745">
        <f t="shared" si="11"/>
        <v>0</v>
      </c>
    </row>
    <row r="746" spans="1:21" x14ac:dyDescent="0.25">
      <c r="A746">
        <v>1876</v>
      </c>
      <c r="B746">
        <v>28</v>
      </c>
      <c r="C746" t="s">
        <v>16</v>
      </c>
      <c r="D746" t="s">
        <v>24</v>
      </c>
      <c r="E746" t="s">
        <v>46</v>
      </c>
      <c r="F746" t="s">
        <v>41</v>
      </c>
      <c r="G746" t="s">
        <v>20</v>
      </c>
      <c r="H746" t="s">
        <v>34</v>
      </c>
      <c r="I746">
        <v>7</v>
      </c>
      <c r="J746" s="2">
        <v>4732</v>
      </c>
      <c r="K746" t="s">
        <v>22</v>
      </c>
      <c r="L746">
        <v>3</v>
      </c>
      <c r="M746">
        <v>2</v>
      </c>
      <c r="N746">
        <v>0</v>
      </c>
      <c r="O746">
        <v>0</v>
      </c>
      <c r="P746">
        <v>0</v>
      </c>
      <c r="Q746" t="s">
        <v>22</v>
      </c>
      <c r="R746" t="str" cm="1">
        <f t="array" ref="R746">_xlfn.IFS(N746&lt;=1,"0-1 yrs",N746&lt;=4,"2-4 yrs",N746&lt;=9,"5-9 yrs",N746&gt;9,"10+ yrs")</f>
        <v>0-1 yrs</v>
      </c>
      <c r="S746" t="str" cm="1">
        <f t="array" ref="S746">_xlfn.IFS(B746&lt;=25,"20-25",B746&lt;=35,"26-35",B746&lt;=45,"36-45",B746&gt;45,"46+")</f>
        <v>26-35</v>
      </c>
      <c r="T746" t="str" cm="1">
        <f t="array" ref="T746">_xlfn.IFS(J746&lt;3500,"&lt;3.5K",J746&lt;5500,"3.5-5.5K",J746&lt;7500,"5.5-7.5K",J746&gt;=7500,"7.5K+")</f>
        <v>3.5-5.5K</v>
      </c>
      <c r="U746">
        <f t="shared" si="11"/>
        <v>0</v>
      </c>
    </row>
    <row r="747" spans="1:21" x14ac:dyDescent="0.25">
      <c r="A747">
        <v>1703</v>
      </c>
      <c r="B747">
        <v>51</v>
      </c>
      <c r="C747" t="s">
        <v>23</v>
      </c>
      <c r="D747" t="s">
        <v>55</v>
      </c>
      <c r="E747" t="s">
        <v>49</v>
      </c>
      <c r="F747" t="s">
        <v>26</v>
      </c>
      <c r="G747" t="s">
        <v>37</v>
      </c>
      <c r="H747" t="s">
        <v>21</v>
      </c>
      <c r="I747">
        <v>4</v>
      </c>
      <c r="J747" s="2">
        <v>12324</v>
      </c>
      <c r="K747" t="s">
        <v>22</v>
      </c>
      <c r="L747">
        <v>2</v>
      </c>
      <c r="M747">
        <v>3</v>
      </c>
      <c r="N747">
        <v>6</v>
      </c>
      <c r="O747">
        <v>2</v>
      </c>
      <c r="P747">
        <v>15</v>
      </c>
      <c r="Q747" t="s">
        <v>22</v>
      </c>
      <c r="R747" t="str" cm="1">
        <f t="array" ref="R747">_xlfn.IFS(N747&lt;=1,"0-1 yrs",N747&lt;=4,"2-4 yrs",N747&lt;=9,"5-9 yrs",N747&gt;9,"10+ yrs")</f>
        <v>5-9 yrs</v>
      </c>
      <c r="S747" t="str" cm="1">
        <f t="array" ref="S747">_xlfn.IFS(B747&lt;=25,"20-25",B747&lt;=35,"26-35",B747&lt;=45,"36-45",B747&gt;45,"46+")</f>
        <v>46+</v>
      </c>
      <c r="T747" t="str" cm="1">
        <f t="array" ref="T747">_xlfn.IFS(J747&lt;3500,"&lt;3.5K",J747&lt;5500,"3.5-5.5K",J747&lt;7500,"5.5-7.5K",J747&gt;=7500,"7.5K+")</f>
        <v>7.5K+</v>
      </c>
      <c r="U747">
        <f t="shared" si="11"/>
        <v>0</v>
      </c>
    </row>
    <row r="748" spans="1:21" x14ac:dyDescent="0.25">
      <c r="A748">
        <v>1704</v>
      </c>
      <c r="B748">
        <v>51</v>
      </c>
      <c r="C748" t="s">
        <v>16</v>
      </c>
      <c r="D748" t="s">
        <v>17</v>
      </c>
      <c r="E748" t="s">
        <v>40</v>
      </c>
      <c r="F748" t="s">
        <v>38</v>
      </c>
      <c r="G748" t="s">
        <v>33</v>
      </c>
      <c r="H748" t="s">
        <v>21</v>
      </c>
      <c r="I748">
        <v>19</v>
      </c>
      <c r="J748" s="2">
        <v>9777</v>
      </c>
      <c r="K748" t="s">
        <v>22</v>
      </c>
      <c r="L748">
        <v>1</v>
      </c>
      <c r="M748">
        <v>4</v>
      </c>
      <c r="N748">
        <v>19</v>
      </c>
      <c r="O748">
        <v>8</v>
      </c>
      <c r="P748">
        <v>22</v>
      </c>
      <c r="Q748" t="s">
        <v>22</v>
      </c>
      <c r="R748" t="str" cm="1">
        <f t="array" ref="R748">_xlfn.IFS(N748&lt;=1,"0-1 yrs",N748&lt;=4,"2-4 yrs",N748&lt;=9,"5-9 yrs",N748&gt;9,"10+ yrs")</f>
        <v>10+ yrs</v>
      </c>
      <c r="S748" t="str" cm="1">
        <f t="array" ref="S748">_xlfn.IFS(B748&lt;=25,"20-25",B748&lt;=35,"26-35",B748&lt;=45,"36-45",B748&gt;45,"46+")</f>
        <v>46+</v>
      </c>
      <c r="T748" t="str" cm="1">
        <f t="array" ref="T748">_xlfn.IFS(J748&lt;3500,"&lt;3.5K",J748&lt;5500,"3.5-5.5K",J748&lt;7500,"5.5-7.5K",J748&gt;=7500,"7.5K+")</f>
        <v>7.5K+</v>
      </c>
      <c r="U748">
        <f t="shared" si="11"/>
        <v>0</v>
      </c>
    </row>
    <row r="749" spans="1:21" x14ac:dyDescent="0.25">
      <c r="A749">
        <v>1195</v>
      </c>
      <c r="B749">
        <v>25</v>
      </c>
      <c r="C749" t="s">
        <v>16</v>
      </c>
      <c r="D749" t="s">
        <v>17</v>
      </c>
      <c r="E749" t="s">
        <v>18</v>
      </c>
      <c r="F749" t="s">
        <v>26</v>
      </c>
      <c r="G749" t="s">
        <v>33</v>
      </c>
      <c r="H749" t="s">
        <v>21</v>
      </c>
      <c r="I749">
        <v>10</v>
      </c>
      <c r="J749" s="2">
        <v>10777</v>
      </c>
      <c r="K749" t="s">
        <v>22</v>
      </c>
      <c r="L749">
        <v>2</v>
      </c>
      <c r="M749">
        <v>2</v>
      </c>
      <c r="N749">
        <v>1</v>
      </c>
      <c r="O749">
        <v>0</v>
      </c>
      <c r="P749">
        <v>1</v>
      </c>
      <c r="Q749" t="s">
        <v>22</v>
      </c>
      <c r="R749" t="str" cm="1">
        <f t="array" ref="R749">_xlfn.IFS(N749&lt;=1,"0-1 yrs",N749&lt;=4,"2-4 yrs",N749&lt;=9,"5-9 yrs",N749&gt;9,"10+ yrs")</f>
        <v>0-1 yrs</v>
      </c>
      <c r="S749" t="str" cm="1">
        <f t="array" ref="S749">_xlfn.IFS(B749&lt;=25,"20-25",B749&lt;=35,"26-35",B749&lt;=45,"36-45",B749&gt;45,"46+")</f>
        <v>20-25</v>
      </c>
      <c r="T749" t="str" cm="1">
        <f t="array" ref="T749">_xlfn.IFS(J749&lt;3500,"&lt;3.5K",J749&lt;5500,"3.5-5.5K",J749&lt;7500,"5.5-7.5K",J749&gt;=7500,"7.5K+")</f>
        <v>7.5K+</v>
      </c>
      <c r="U749">
        <f t="shared" si="11"/>
        <v>0</v>
      </c>
    </row>
    <row r="750" spans="1:21" x14ac:dyDescent="0.25">
      <c r="A750">
        <v>1303</v>
      </c>
      <c r="B750">
        <v>27</v>
      </c>
      <c r="C750" t="s">
        <v>23</v>
      </c>
      <c r="D750" t="s">
        <v>17</v>
      </c>
      <c r="E750" t="s">
        <v>18</v>
      </c>
      <c r="F750" t="s">
        <v>38</v>
      </c>
      <c r="G750" t="s">
        <v>37</v>
      </c>
      <c r="H750" t="s">
        <v>30</v>
      </c>
      <c r="I750">
        <v>26</v>
      </c>
      <c r="J750" s="2">
        <v>7537</v>
      </c>
      <c r="K750" t="s">
        <v>22</v>
      </c>
      <c r="L750">
        <v>2</v>
      </c>
      <c r="M750">
        <v>4</v>
      </c>
      <c r="N750">
        <v>2</v>
      </c>
      <c r="O750">
        <v>0</v>
      </c>
      <c r="P750">
        <v>2</v>
      </c>
      <c r="Q750" t="s">
        <v>22</v>
      </c>
      <c r="R750" t="str" cm="1">
        <f t="array" ref="R750">_xlfn.IFS(N750&lt;=1,"0-1 yrs",N750&lt;=4,"2-4 yrs",N750&lt;=9,"5-9 yrs",N750&gt;9,"10+ yrs")</f>
        <v>2-4 yrs</v>
      </c>
      <c r="S750" t="str" cm="1">
        <f t="array" ref="S750">_xlfn.IFS(B750&lt;=25,"20-25",B750&lt;=35,"26-35",B750&lt;=45,"36-45",B750&gt;45,"46+")</f>
        <v>26-35</v>
      </c>
      <c r="T750" t="str" cm="1">
        <f t="array" ref="T750">_xlfn.IFS(J750&lt;3500,"&lt;3.5K",J750&lt;5500,"3.5-5.5K",J750&lt;7500,"5.5-7.5K",J750&gt;=7500,"7.5K+")</f>
        <v>7.5K+</v>
      </c>
      <c r="U750">
        <f t="shared" si="11"/>
        <v>0</v>
      </c>
    </row>
    <row r="751" spans="1:21" x14ac:dyDescent="0.25">
      <c r="A751">
        <v>1807</v>
      </c>
      <c r="B751">
        <v>40</v>
      </c>
      <c r="C751" t="s">
        <v>16</v>
      </c>
      <c r="D751" t="s">
        <v>24</v>
      </c>
      <c r="E751" t="s">
        <v>45</v>
      </c>
      <c r="F751" t="s">
        <v>29</v>
      </c>
      <c r="G751" t="s">
        <v>33</v>
      </c>
      <c r="H751" t="s">
        <v>30</v>
      </c>
      <c r="I751">
        <v>27</v>
      </c>
      <c r="J751" s="2">
        <v>10177</v>
      </c>
      <c r="K751" t="s">
        <v>22</v>
      </c>
      <c r="L751">
        <v>4</v>
      </c>
      <c r="M751">
        <v>4</v>
      </c>
      <c r="N751">
        <v>3</v>
      </c>
      <c r="O751">
        <v>3</v>
      </c>
      <c r="P751">
        <v>13</v>
      </c>
      <c r="Q751" t="s">
        <v>22</v>
      </c>
      <c r="R751" t="str" cm="1">
        <f t="array" ref="R751">_xlfn.IFS(N751&lt;=1,"0-1 yrs",N751&lt;=4,"2-4 yrs",N751&lt;=9,"5-9 yrs",N751&gt;9,"10+ yrs")</f>
        <v>2-4 yrs</v>
      </c>
      <c r="S751" t="str" cm="1">
        <f t="array" ref="S751">_xlfn.IFS(B751&lt;=25,"20-25",B751&lt;=35,"26-35",B751&lt;=45,"36-45",B751&gt;45,"46+")</f>
        <v>36-45</v>
      </c>
      <c r="T751" t="str" cm="1">
        <f t="array" ref="T751">_xlfn.IFS(J751&lt;3500,"&lt;3.5K",J751&lt;5500,"3.5-5.5K",J751&lt;7500,"5.5-7.5K",J751&gt;=7500,"7.5K+")</f>
        <v>7.5K+</v>
      </c>
      <c r="U751">
        <f t="shared" si="11"/>
        <v>0</v>
      </c>
    </row>
    <row r="752" spans="1:21" x14ac:dyDescent="0.25">
      <c r="A752">
        <v>1143</v>
      </c>
      <c r="B752">
        <v>24</v>
      </c>
      <c r="C752" t="s">
        <v>23</v>
      </c>
      <c r="D752" t="s">
        <v>24</v>
      </c>
      <c r="E752" t="s">
        <v>25</v>
      </c>
      <c r="F752" t="s">
        <v>38</v>
      </c>
      <c r="G752" t="s">
        <v>33</v>
      </c>
      <c r="H752" t="s">
        <v>30</v>
      </c>
      <c r="I752">
        <v>17</v>
      </c>
      <c r="J752" s="2">
        <v>9120</v>
      </c>
      <c r="K752" t="s">
        <v>22</v>
      </c>
      <c r="L752">
        <v>2</v>
      </c>
      <c r="M752">
        <v>2</v>
      </c>
      <c r="N752">
        <v>2</v>
      </c>
      <c r="O752">
        <v>2</v>
      </c>
      <c r="P752">
        <v>2</v>
      </c>
      <c r="Q752" t="s">
        <v>22</v>
      </c>
      <c r="R752" t="str" cm="1">
        <f t="array" ref="R752">_xlfn.IFS(N752&lt;=1,"0-1 yrs",N752&lt;=4,"2-4 yrs",N752&lt;=9,"5-9 yrs",N752&gt;9,"10+ yrs")</f>
        <v>2-4 yrs</v>
      </c>
      <c r="S752" t="str" cm="1">
        <f t="array" ref="S752">_xlfn.IFS(B752&lt;=25,"20-25",B752&lt;=35,"26-35",B752&lt;=45,"36-45",B752&gt;45,"46+")</f>
        <v>20-25</v>
      </c>
      <c r="T752" t="str" cm="1">
        <f t="array" ref="T752">_xlfn.IFS(J752&lt;3500,"&lt;3.5K",J752&lt;5500,"3.5-5.5K",J752&lt;7500,"5.5-7.5K",J752&gt;=7500,"7.5K+")</f>
        <v>7.5K+</v>
      </c>
      <c r="U752">
        <f t="shared" si="11"/>
        <v>0</v>
      </c>
    </row>
    <row r="753" spans="1:21" x14ac:dyDescent="0.25">
      <c r="A753">
        <v>1628</v>
      </c>
      <c r="B753">
        <v>24</v>
      </c>
      <c r="C753" t="s">
        <v>16</v>
      </c>
      <c r="D753" t="s">
        <v>47</v>
      </c>
      <c r="E753" t="s">
        <v>48</v>
      </c>
      <c r="F753" t="s">
        <v>26</v>
      </c>
      <c r="G753" t="s">
        <v>20</v>
      </c>
      <c r="H753" t="s">
        <v>34</v>
      </c>
      <c r="I753">
        <v>12</v>
      </c>
      <c r="J753" s="2">
        <v>7610</v>
      </c>
      <c r="K753" t="s">
        <v>22</v>
      </c>
      <c r="L753">
        <v>1</v>
      </c>
      <c r="M753">
        <v>3</v>
      </c>
      <c r="N753">
        <v>0</v>
      </c>
      <c r="O753">
        <v>0</v>
      </c>
      <c r="P753">
        <v>0</v>
      </c>
      <c r="Q753" t="s">
        <v>22</v>
      </c>
      <c r="R753" t="str" cm="1">
        <f t="array" ref="R753">_xlfn.IFS(N753&lt;=1,"0-1 yrs",N753&lt;=4,"2-4 yrs",N753&lt;=9,"5-9 yrs",N753&gt;9,"10+ yrs")</f>
        <v>0-1 yrs</v>
      </c>
      <c r="S753" t="str" cm="1">
        <f t="array" ref="S753">_xlfn.IFS(B753&lt;=25,"20-25",B753&lt;=35,"26-35",B753&lt;=45,"36-45",B753&gt;45,"46+")</f>
        <v>20-25</v>
      </c>
      <c r="T753" t="str" cm="1">
        <f t="array" ref="T753">_xlfn.IFS(J753&lt;3500,"&lt;3.5K",J753&lt;5500,"3.5-5.5K",J753&lt;7500,"5.5-7.5K",J753&gt;=7500,"7.5K+")</f>
        <v>7.5K+</v>
      </c>
      <c r="U753">
        <f t="shared" si="11"/>
        <v>0</v>
      </c>
    </row>
    <row r="754" spans="1:21" x14ac:dyDescent="0.25">
      <c r="A754">
        <v>1193</v>
      </c>
      <c r="B754">
        <v>28</v>
      </c>
      <c r="C754" t="s">
        <v>23</v>
      </c>
      <c r="D754" t="s">
        <v>24</v>
      </c>
      <c r="E754" t="s">
        <v>25</v>
      </c>
      <c r="F754" t="s">
        <v>32</v>
      </c>
      <c r="G754" t="s">
        <v>20</v>
      </c>
      <c r="H754" t="s">
        <v>21</v>
      </c>
      <c r="I754">
        <v>1</v>
      </c>
      <c r="J754" s="2">
        <v>10823</v>
      </c>
      <c r="K754" t="s">
        <v>22</v>
      </c>
      <c r="L754">
        <v>2</v>
      </c>
      <c r="M754">
        <v>1</v>
      </c>
      <c r="N754">
        <v>0</v>
      </c>
      <c r="O754">
        <v>0</v>
      </c>
      <c r="P754">
        <v>0</v>
      </c>
      <c r="Q754" t="s">
        <v>22</v>
      </c>
      <c r="R754" t="str" cm="1">
        <f t="array" ref="R754">_xlfn.IFS(N754&lt;=1,"0-1 yrs",N754&lt;=4,"2-4 yrs",N754&lt;=9,"5-9 yrs",N754&gt;9,"10+ yrs")</f>
        <v>0-1 yrs</v>
      </c>
      <c r="S754" t="str" cm="1">
        <f t="array" ref="S754">_xlfn.IFS(B754&lt;=25,"20-25",B754&lt;=35,"26-35",B754&lt;=45,"36-45",B754&gt;45,"46+")</f>
        <v>26-35</v>
      </c>
      <c r="T754" t="str" cm="1">
        <f t="array" ref="T754">_xlfn.IFS(J754&lt;3500,"&lt;3.5K",J754&lt;5500,"3.5-5.5K",J754&lt;7500,"5.5-7.5K",J754&gt;=7500,"7.5K+")</f>
        <v>7.5K+</v>
      </c>
      <c r="U754">
        <f t="shared" si="11"/>
        <v>0</v>
      </c>
    </row>
    <row r="755" spans="1:21" x14ac:dyDescent="0.25">
      <c r="A755">
        <v>1675</v>
      </c>
      <c r="B755">
        <v>45</v>
      </c>
      <c r="C755" t="s">
        <v>16</v>
      </c>
      <c r="D755" t="s">
        <v>24</v>
      </c>
      <c r="E755" t="s">
        <v>25</v>
      </c>
      <c r="F755" t="s">
        <v>29</v>
      </c>
      <c r="G755" t="s">
        <v>33</v>
      </c>
      <c r="H755" t="s">
        <v>21</v>
      </c>
      <c r="I755">
        <v>26</v>
      </c>
      <c r="J755" s="2">
        <v>8604</v>
      </c>
      <c r="K755" t="s">
        <v>42</v>
      </c>
      <c r="L755">
        <v>1</v>
      </c>
      <c r="M755">
        <v>2</v>
      </c>
      <c r="N755">
        <v>3</v>
      </c>
      <c r="O755">
        <v>2</v>
      </c>
      <c r="P755">
        <v>18</v>
      </c>
      <c r="Q755" t="s">
        <v>22</v>
      </c>
      <c r="R755" t="str" cm="1">
        <f t="array" ref="R755">_xlfn.IFS(N755&lt;=1,"0-1 yrs",N755&lt;=4,"2-4 yrs",N755&lt;=9,"5-9 yrs",N755&gt;9,"10+ yrs")</f>
        <v>2-4 yrs</v>
      </c>
      <c r="S755" t="str" cm="1">
        <f t="array" ref="S755">_xlfn.IFS(B755&lt;=25,"20-25",B755&lt;=35,"26-35",B755&lt;=45,"36-45",B755&gt;45,"46+")</f>
        <v>36-45</v>
      </c>
      <c r="T755" t="str" cm="1">
        <f t="array" ref="T755">_xlfn.IFS(J755&lt;3500,"&lt;3.5K",J755&lt;5500,"3.5-5.5K",J755&lt;7500,"5.5-7.5K",J755&gt;=7500,"7.5K+")</f>
        <v>7.5K+</v>
      </c>
      <c r="U755">
        <f t="shared" si="11"/>
        <v>0</v>
      </c>
    </row>
    <row r="756" spans="1:21" x14ac:dyDescent="0.25">
      <c r="A756">
        <v>1686</v>
      </c>
      <c r="B756">
        <v>30</v>
      </c>
      <c r="C756" t="s">
        <v>23</v>
      </c>
      <c r="D756" t="s">
        <v>24</v>
      </c>
      <c r="E756" t="s">
        <v>25</v>
      </c>
      <c r="F756" t="s">
        <v>36</v>
      </c>
      <c r="G756" t="s">
        <v>37</v>
      </c>
      <c r="H756" t="s">
        <v>30</v>
      </c>
      <c r="I756">
        <v>19</v>
      </c>
      <c r="J756" s="2">
        <v>13887</v>
      </c>
      <c r="K756" t="s">
        <v>22</v>
      </c>
      <c r="L756">
        <v>4</v>
      </c>
      <c r="M756">
        <v>3</v>
      </c>
      <c r="N756">
        <v>7</v>
      </c>
      <c r="O756">
        <v>7</v>
      </c>
      <c r="P756">
        <v>9</v>
      </c>
      <c r="Q756" t="s">
        <v>22</v>
      </c>
      <c r="R756" t="str" cm="1">
        <f t="array" ref="R756">_xlfn.IFS(N756&lt;=1,"0-1 yrs",N756&lt;=4,"2-4 yrs",N756&lt;=9,"5-9 yrs",N756&gt;9,"10+ yrs")</f>
        <v>5-9 yrs</v>
      </c>
      <c r="S756" t="str" cm="1">
        <f t="array" ref="S756">_xlfn.IFS(B756&lt;=25,"20-25",B756&lt;=35,"26-35",B756&lt;=45,"36-45",B756&gt;45,"46+")</f>
        <v>26-35</v>
      </c>
      <c r="T756" t="str" cm="1">
        <f t="array" ref="T756">_xlfn.IFS(J756&lt;3500,"&lt;3.5K",J756&lt;5500,"3.5-5.5K",J756&lt;7500,"5.5-7.5K",J756&gt;=7500,"7.5K+")</f>
        <v>7.5K+</v>
      </c>
      <c r="U756">
        <f t="shared" si="11"/>
        <v>0</v>
      </c>
    </row>
    <row r="757" spans="1:21" x14ac:dyDescent="0.25">
      <c r="A757">
        <v>1435</v>
      </c>
      <c r="B757">
        <v>38</v>
      </c>
      <c r="C757" t="s">
        <v>16</v>
      </c>
      <c r="D757" t="s">
        <v>24</v>
      </c>
      <c r="E757" t="s">
        <v>46</v>
      </c>
      <c r="F757" t="s">
        <v>29</v>
      </c>
      <c r="G757" t="s">
        <v>37</v>
      </c>
      <c r="H757" t="s">
        <v>30</v>
      </c>
      <c r="I757">
        <v>26</v>
      </c>
      <c r="J757" s="2">
        <v>8394</v>
      </c>
      <c r="K757" t="s">
        <v>22</v>
      </c>
      <c r="L757">
        <v>4</v>
      </c>
      <c r="M757">
        <v>3</v>
      </c>
      <c r="N757">
        <v>12</v>
      </c>
      <c r="O757">
        <v>3</v>
      </c>
      <c r="P757">
        <v>14</v>
      </c>
      <c r="Q757" t="s">
        <v>22</v>
      </c>
      <c r="R757" t="str" cm="1">
        <f t="array" ref="R757">_xlfn.IFS(N757&lt;=1,"0-1 yrs",N757&lt;=4,"2-4 yrs",N757&lt;=9,"5-9 yrs",N757&gt;9,"10+ yrs")</f>
        <v>10+ yrs</v>
      </c>
      <c r="S757" t="str" cm="1">
        <f t="array" ref="S757">_xlfn.IFS(B757&lt;=25,"20-25",B757&lt;=35,"26-35",B757&lt;=45,"36-45",B757&gt;45,"46+")</f>
        <v>36-45</v>
      </c>
      <c r="T757" t="str" cm="1">
        <f t="array" ref="T757">_xlfn.IFS(J757&lt;3500,"&lt;3.5K",J757&lt;5500,"3.5-5.5K",J757&lt;7500,"5.5-7.5K",J757&gt;=7500,"7.5K+")</f>
        <v>7.5K+</v>
      </c>
      <c r="U757">
        <f t="shared" si="11"/>
        <v>0</v>
      </c>
    </row>
    <row r="758" spans="1:21" x14ac:dyDescent="0.25">
      <c r="A758">
        <v>1613</v>
      </c>
      <c r="B758">
        <v>40</v>
      </c>
      <c r="C758" t="s">
        <v>16</v>
      </c>
      <c r="D758" t="s">
        <v>24</v>
      </c>
      <c r="E758" t="s">
        <v>45</v>
      </c>
      <c r="F758" t="s">
        <v>26</v>
      </c>
      <c r="G758" t="s">
        <v>37</v>
      </c>
      <c r="H758" t="s">
        <v>34</v>
      </c>
      <c r="I758">
        <v>22</v>
      </c>
      <c r="J758" s="2">
        <v>11843</v>
      </c>
      <c r="K758" t="s">
        <v>42</v>
      </c>
      <c r="L758">
        <v>2</v>
      </c>
      <c r="M758">
        <v>3</v>
      </c>
      <c r="N758">
        <v>7</v>
      </c>
      <c r="O758">
        <v>7</v>
      </c>
      <c r="P758">
        <v>20</v>
      </c>
      <c r="Q758" t="s">
        <v>22</v>
      </c>
      <c r="R758" t="str" cm="1">
        <f t="array" ref="R758">_xlfn.IFS(N758&lt;=1,"0-1 yrs",N758&lt;=4,"2-4 yrs",N758&lt;=9,"5-9 yrs",N758&gt;9,"10+ yrs")</f>
        <v>5-9 yrs</v>
      </c>
      <c r="S758" t="str" cm="1">
        <f t="array" ref="S758">_xlfn.IFS(B758&lt;=25,"20-25",B758&lt;=35,"26-35",B758&lt;=45,"36-45",B758&gt;45,"46+")</f>
        <v>36-45</v>
      </c>
      <c r="T758" t="str" cm="1">
        <f t="array" ref="T758">_xlfn.IFS(J758&lt;3500,"&lt;3.5K",J758&lt;5500,"3.5-5.5K",J758&lt;7500,"5.5-7.5K",J758&gt;=7500,"7.5K+")</f>
        <v>7.5K+</v>
      </c>
      <c r="U758">
        <f t="shared" si="11"/>
        <v>0</v>
      </c>
    </row>
    <row r="759" spans="1:21" x14ac:dyDescent="0.25">
      <c r="A759">
        <v>1271</v>
      </c>
      <c r="B759">
        <v>23</v>
      </c>
      <c r="C759" t="s">
        <v>23</v>
      </c>
      <c r="D759" t="s">
        <v>27</v>
      </c>
      <c r="E759" t="s">
        <v>43</v>
      </c>
      <c r="F759" t="s">
        <v>29</v>
      </c>
      <c r="G759" t="s">
        <v>33</v>
      </c>
      <c r="H759" t="s">
        <v>30</v>
      </c>
      <c r="I759">
        <v>28</v>
      </c>
      <c r="J759" s="2">
        <v>5009</v>
      </c>
      <c r="K759" t="s">
        <v>42</v>
      </c>
      <c r="L759">
        <v>3</v>
      </c>
      <c r="M759">
        <v>4</v>
      </c>
      <c r="N759">
        <v>0</v>
      </c>
      <c r="O759">
        <v>0</v>
      </c>
      <c r="P759">
        <v>0</v>
      </c>
      <c r="Q759" t="s">
        <v>22</v>
      </c>
      <c r="R759" t="str" cm="1">
        <f t="array" ref="R759">_xlfn.IFS(N759&lt;=1,"0-1 yrs",N759&lt;=4,"2-4 yrs",N759&lt;=9,"5-9 yrs",N759&gt;9,"10+ yrs")</f>
        <v>0-1 yrs</v>
      </c>
      <c r="S759" t="str" cm="1">
        <f t="array" ref="S759">_xlfn.IFS(B759&lt;=25,"20-25",B759&lt;=35,"26-35",B759&lt;=45,"36-45",B759&gt;45,"46+")</f>
        <v>20-25</v>
      </c>
      <c r="T759" t="str" cm="1">
        <f t="array" ref="T759">_xlfn.IFS(J759&lt;3500,"&lt;3.5K",J759&lt;5500,"3.5-5.5K",J759&lt;7500,"5.5-7.5K",J759&gt;=7500,"7.5K+")</f>
        <v>3.5-5.5K</v>
      </c>
      <c r="U759">
        <f t="shared" si="11"/>
        <v>0</v>
      </c>
    </row>
    <row r="760" spans="1:21" x14ac:dyDescent="0.25">
      <c r="A760">
        <v>1989</v>
      </c>
      <c r="B760">
        <v>54</v>
      </c>
      <c r="C760" t="s">
        <v>16</v>
      </c>
      <c r="D760" t="s">
        <v>27</v>
      </c>
      <c r="E760" t="s">
        <v>28</v>
      </c>
      <c r="F760" t="s">
        <v>26</v>
      </c>
      <c r="G760" t="s">
        <v>37</v>
      </c>
      <c r="H760" t="s">
        <v>30</v>
      </c>
      <c r="I760">
        <v>21</v>
      </c>
      <c r="J760" s="2">
        <v>14974</v>
      </c>
      <c r="K760" t="s">
        <v>22</v>
      </c>
      <c r="L760">
        <v>2</v>
      </c>
      <c r="M760">
        <v>3</v>
      </c>
      <c r="N760">
        <v>2</v>
      </c>
      <c r="O760">
        <v>2</v>
      </c>
      <c r="P760">
        <v>19</v>
      </c>
      <c r="Q760" t="s">
        <v>22</v>
      </c>
      <c r="R760" t="str" cm="1">
        <f t="array" ref="R760">_xlfn.IFS(N760&lt;=1,"0-1 yrs",N760&lt;=4,"2-4 yrs",N760&lt;=9,"5-9 yrs",N760&gt;9,"10+ yrs")</f>
        <v>2-4 yrs</v>
      </c>
      <c r="S760" t="str" cm="1">
        <f t="array" ref="S760">_xlfn.IFS(B760&lt;=25,"20-25",B760&lt;=35,"26-35",B760&lt;=45,"36-45",B760&gt;45,"46+")</f>
        <v>46+</v>
      </c>
      <c r="T760" t="str" cm="1">
        <f t="array" ref="T760">_xlfn.IFS(J760&lt;3500,"&lt;3.5K",J760&lt;5500,"3.5-5.5K",J760&lt;7500,"5.5-7.5K",J760&gt;=7500,"7.5K+")</f>
        <v>7.5K+</v>
      </c>
      <c r="U760">
        <f t="shared" si="11"/>
        <v>0</v>
      </c>
    </row>
    <row r="761" spans="1:21" x14ac:dyDescent="0.25">
      <c r="A761">
        <v>1422</v>
      </c>
      <c r="B761">
        <v>31</v>
      </c>
      <c r="C761" t="s">
        <v>23</v>
      </c>
      <c r="D761" t="s">
        <v>17</v>
      </c>
      <c r="E761" t="s">
        <v>18</v>
      </c>
      <c r="F761" t="s">
        <v>19</v>
      </c>
      <c r="G761" t="s">
        <v>33</v>
      </c>
      <c r="H761" t="s">
        <v>34</v>
      </c>
      <c r="I761">
        <v>24</v>
      </c>
      <c r="J761" s="2">
        <v>10244</v>
      </c>
      <c r="K761" t="s">
        <v>22</v>
      </c>
      <c r="L761">
        <v>4</v>
      </c>
      <c r="M761">
        <v>3</v>
      </c>
      <c r="N761">
        <v>1</v>
      </c>
      <c r="O761">
        <v>0</v>
      </c>
      <c r="P761">
        <v>7</v>
      </c>
      <c r="Q761" t="s">
        <v>22</v>
      </c>
      <c r="R761" t="str" cm="1">
        <f t="array" ref="R761">_xlfn.IFS(N761&lt;=1,"0-1 yrs",N761&lt;=4,"2-4 yrs",N761&lt;=9,"5-9 yrs",N761&gt;9,"10+ yrs")</f>
        <v>0-1 yrs</v>
      </c>
      <c r="S761" t="str" cm="1">
        <f t="array" ref="S761">_xlfn.IFS(B761&lt;=25,"20-25",B761&lt;=35,"26-35",B761&lt;=45,"36-45",B761&gt;45,"46+")</f>
        <v>26-35</v>
      </c>
      <c r="T761" t="str" cm="1">
        <f t="array" ref="T761">_xlfn.IFS(J761&lt;3500,"&lt;3.5K",J761&lt;5500,"3.5-5.5K",J761&lt;7500,"5.5-7.5K",J761&gt;=7500,"7.5K+")</f>
        <v>7.5K+</v>
      </c>
      <c r="U761">
        <f t="shared" si="11"/>
        <v>0</v>
      </c>
    </row>
    <row r="762" spans="1:21" x14ac:dyDescent="0.25">
      <c r="A762">
        <v>1693</v>
      </c>
      <c r="B762">
        <v>46</v>
      </c>
      <c r="C762" t="s">
        <v>16</v>
      </c>
      <c r="D762" t="s">
        <v>47</v>
      </c>
      <c r="E762" t="s">
        <v>50</v>
      </c>
      <c r="F762" t="s">
        <v>38</v>
      </c>
      <c r="G762" t="s">
        <v>20</v>
      </c>
      <c r="H762" t="s">
        <v>21</v>
      </c>
      <c r="I762">
        <v>17</v>
      </c>
      <c r="J762" s="2">
        <v>9479</v>
      </c>
      <c r="K762" t="s">
        <v>22</v>
      </c>
      <c r="L762">
        <v>1</v>
      </c>
      <c r="M762">
        <v>3</v>
      </c>
      <c r="N762">
        <v>25</v>
      </c>
      <c r="O762">
        <v>23</v>
      </c>
      <c r="P762">
        <v>26</v>
      </c>
      <c r="Q762" t="s">
        <v>22</v>
      </c>
      <c r="R762" t="str" cm="1">
        <f t="array" ref="R762">_xlfn.IFS(N762&lt;=1,"0-1 yrs",N762&lt;=4,"2-4 yrs",N762&lt;=9,"5-9 yrs",N762&gt;9,"10+ yrs")</f>
        <v>10+ yrs</v>
      </c>
      <c r="S762" t="str" cm="1">
        <f t="array" ref="S762">_xlfn.IFS(B762&lt;=25,"20-25",B762&lt;=35,"26-35",B762&lt;=45,"36-45",B762&gt;45,"46+")</f>
        <v>46+</v>
      </c>
      <c r="T762" t="str" cm="1">
        <f t="array" ref="T762">_xlfn.IFS(J762&lt;3500,"&lt;3.5K",J762&lt;5500,"3.5-5.5K",J762&lt;7500,"5.5-7.5K",J762&gt;=7500,"7.5K+")</f>
        <v>7.5K+</v>
      </c>
      <c r="U762">
        <f t="shared" si="11"/>
        <v>0</v>
      </c>
    </row>
    <row r="763" spans="1:21" x14ac:dyDescent="0.25">
      <c r="A763">
        <v>1531</v>
      </c>
      <c r="B763">
        <v>30</v>
      </c>
      <c r="C763" t="s">
        <v>23</v>
      </c>
      <c r="D763" t="s">
        <v>17</v>
      </c>
      <c r="E763" t="s">
        <v>40</v>
      </c>
      <c r="F763" t="s">
        <v>36</v>
      </c>
      <c r="G763" t="s">
        <v>37</v>
      </c>
      <c r="H763" t="s">
        <v>30</v>
      </c>
      <c r="I763">
        <v>18</v>
      </c>
      <c r="J763" s="2">
        <v>4161</v>
      </c>
      <c r="K763" t="s">
        <v>22</v>
      </c>
      <c r="L763">
        <v>1</v>
      </c>
      <c r="M763">
        <v>2</v>
      </c>
      <c r="N763">
        <v>2</v>
      </c>
      <c r="O763">
        <v>2</v>
      </c>
      <c r="P763">
        <v>4</v>
      </c>
      <c r="Q763" t="s">
        <v>22</v>
      </c>
      <c r="R763" t="str" cm="1">
        <f t="array" ref="R763">_xlfn.IFS(N763&lt;=1,"0-1 yrs",N763&lt;=4,"2-4 yrs",N763&lt;=9,"5-9 yrs",N763&gt;9,"10+ yrs")</f>
        <v>2-4 yrs</v>
      </c>
      <c r="S763" t="str" cm="1">
        <f t="array" ref="S763">_xlfn.IFS(B763&lt;=25,"20-25",B763&lt;=35,"26-35",B763&lt;=45,"36-45",B763&gt;45,"46+")</f>
        <v>26-35</v>
      </c>
      <c r="T763" t="str" cm="1">
        <f t="array" ref="T763">_xlfn.IFS(J763&lt;3500,"&lt;3.5K",J763&lt;5500,"3.5-5.5K",J763&lt;7500,"5.5-7.5K",J763&gt;=7500,"7.5K+")</f>
        <v>3.5-5.5K</v>
      </c>
      <c r="U763">
        <f t="shared" si="11"/>
        <v>0</v>
      </c>
    </row>
    <row r="764" spans="1:21" x14ac:dyDescent="0.25">
      <c r="A764">
        <v>1344</v>
      </c>
      <c r="B764">
        <v>20</v>
      </c>
      <c r="C764" t="s">
        <v>16</v>
      </c>
      <c r="D764" t="s">
        <v>17</v>
      </c>
      <c r="E764" t="s">
        <v>35</v>
      </c>
      <c r="F764" t="s">
        <v>29</v>
      </c>
      <c r="G764" t="s">
        <v>33</v>
      </c>
      <c r="H764" t="s">
        <v>34</v>
      </c>
      <c r="I764">
        <v>17</v>
      </c>
      <c r="J764" s="2">
        <v>6142</v>
      </c>
      <c r="K764" t="s">
        <v>22</v>
      </c>
      <c r="L764">
        <v>1</v>
      </c>
      <c r="M764">
        <v>3</v>
      </c>
      <c r="N764">
        <v>0</v>
      </c>
      <c r="O764">
        <v>0</v>
      </c>
      <c r="P764">
        <v>0</v>
      </c>
      <c r="Q764" t="s">
        <v>22</v>
      </c>
      <c r="R764" t="str" cm="1">
        <f t="array" ref="R764">_xlfn.IFS(N764&lt;=1,"0-1 yrs",N764&lt;=4,"2-4 yrs",N764&lt;=9,"5-9 yrs",N764&gt;9,"10+ yrs")</f>
        <v>0-1 yrs</v>
      </c>
      <c r="S764" t="str" cm="1">
        <f t="array" ref="S764">_xlfn.IFS(B764&lt;=25,"20-25",B764&lt;=35,"26-35",B764&lt;=45,"36-45",B764&gt;45,"46+")</f>
        <v>20-25</v>
      </c>
      <c r="T764" t="str" cm="1">
        <f t="array" ref="T764">_xlfn.IFS(J764&lt;3500,"&lt;3.5K",J764&lt;5500,"3.5-5.5K",J764&lt;7500,"5.5-7.5K",J764&gt;=7500,"7.5K+")</f>
        <v>5.5-7.5K</v>
      </c>
      <c r="U764">
        <f t="shared" si="11"/>
        <v>0</v>
      </c>
    </row>
    <row r="765" spans="1:21" x14ac:dyDescent="0.25">
      <c r="A765">
        <v>1197</v>
      </c>
      <c r="B765">
        <v>24</v>
      </c>
      <c r="C765" t="s">
        <v>23</v>
      </c>
      <c r="D765" t="s">
        <v>17</v>
      </c>
      <c r="E765" t="s">
        <v>35</v>
      </c>
      <c r="F765" t="s">
        <v>26</v>
      </c>
      <c r="G765" t="s">
        <v>20</v>
      </c>
      <c r="H765" t="s">
        <v>21</v>
      </c>
      <c r="I765">
        <v>21</v>
      </c>
      <c r="J765" s="2">
        <v>5434</v>
      </c>
      <c r="K765" t="s">
        <v>22</v>
      </c>
      <c r="L765">
        <v>1</v>
      </c>
      <c r="M765">
        <v>4</v>
      </c>
      <c r="N765">
        <v>1</v>
      </c>
      <c r="O765">
        <v>0</v>
      </c>
      <c r="P765">
        <v>1</v>
      </c>
      <c r="Q765" t="s">
        <v>22</v>
      </c>
      <c r="R765" t="str" cm="1">
        <f t="array" ref="R765">_xlfn.IFS(N765&lt;=1,"0-1 yrs",N765&lt;=4,"2-4 yrs",N765&lt;=9,"5-9 yrs",N765&gt;9,"10+ yrs")</f>
        <v>0-1 yrs</v>
      </c>
      <c r="S765" t="str" cm="1">
        <f t="array" ref="S765">_xlfn.IFS(B765&lt;=25,"20-25",B765&lt;=35,"26-35",B765&lt;=45,"36-45",B765&gt;45,"46+")</f>
        <v>20-25</v>
      </c>
      <c r="T765" t="str" cm="1">
        <f t="array" ref="T765">_xlfn.IFS(J765&lt;3500,"&lt;3.5K",J765&lt;5500,"3.5-5.5K",J765&lt;7500,"5.5-7.5K",J765&gt;=7500,"7.5K+")</f>
        <v>3.5-5.5K</v>
      </c>
      <c r="U765">
        <f t="shared" si="11"/>
        <v>0</v>
      </c>
    </row>
    <row r="766" spans="1:21" x14ac:dyDescent="0.25">
      <c r="A766">
        <v>1314</v>
      </c>
      <c r="B766">
        <v>20</v>
      </c>
      <c r="C766" t="s">
        <v>23</v>
      </c>
      <c r="D766" t="s">
        <v>24</v>
      </c>
      <c r="E766" t="s">
        <v>25</v>
      </c>
      <c r="F766" t="s">
        <v>19</v>
      </c>
      <c r="G766" t="s">
        <v>33</v>
      </c>
      <c r="H766" t="s">
        <v>21</v>
      </c>
      <c r="I766">
        <v>9</v>
      </c>
      <c r="J766" s="2">
        <v>9171</v>
      </c>
      <c r="K766" t="s">
        <v>22</v>
      </c>
      <c r="L766">
        <v>3</v>
      </c>
      <c r="M766">
        <v>3</v>
      </c>
      <c r="N766">
        <v>0</v>
      </c>
      <c r="O766">
        <v>0</v>
      </c>
      <c r="P766">
        <v>0</v>
      </c>
      <c r="Q766" t="s">
        <v>42</v>
      </c>
      <c r="R766" t="str" cm="1">
        <f t="array" ref="R766">_xlfn.IFS(N766&lt;=1,"0-1 yrs",N766&lt;=4,"2-4 yrs",N766&lt;=9,"5-9 yrs",N766&gt;9,"10+ yrs")</f>
        <v>0-1 yrs</v>
      </c>
      <c r="S766" t="str" cm="1">
        <f t="array" ref="S766">_xlfn.IFS(B766&lt;=25,"20-25",B766&lt;=35,"26-35",B766&lt;=45,"36-45",B766&gt;45,"46+")</f>
        <v>20-25</v>
      </c>
      <c r="T766" t="str" cm="1">
        <f t="array" ref="T766">_xlfn.IFS(J766&lt;3500,"&lt;3.5K",J766&lt;5500,"3.5-5.5K",J766&lt;7500,"5.5-7.5K",J766&gt;=7500,"7.5K+")</f>
        <v>7.5K+</v>
      </c>
      <c r="U766">
        <f t="shared" si="11"/>
        <v>1</v>
      </c>
    </row>
    <row r="767" spans="1:21" x14ac:dyDescent="0.25">
      <c r="A767">
        <v>1357</v>
      </c>
      <c r="B767">
        <v>44</v>
      </c>
      <c r="C767" t="s">
        <v>23</v>
      </c>
      <c r="D767" t="s">
        <v>17</v>
      </c>
      <c r="E767" t="s">
        <v>18</v>
      </c>
      <c r="F767" t="s">
        <v>29</v>
      </c>
      <c r="G767" t="s">
        <v>20</v>
      </c>
      <c r="H767" t="s">
        <v>21</v>
      </c>
      <c r="I767">
        <v>14</v>
      </c>
      <c r="J767" s="2">
        <v>10586</v>
      </c>
      <c r="K767" t="s">
        <v>22</v>
      </c>
      <c r="L767">
        <v>4</v>
      </c>
      <c r="M767">
        <v>2</v>
      </c>
      <c r="N767">
        <v>10</v>
      </c>
      <c r="O767">
        <v>10</v>
      </c>
      <c r="P767">
        <v>12</v>
      </c>
      <c r="Q767" t="s">
        <v>22</v>
      </c>
      <c r="R767" t="str" cm="1">
        <f t="array" ref="R767">_xlfn.IFS(N767&lt;=1,"0-1 yrs",N767&lt;=4,"2-4 yrs",N767&lt;=9,"5-9 yrs",N767&gt;9,"10+ yrs")</f>
        <v>10+ yrs</v>
      </c>
      <c r="S767" t="str" cm="1">
        <f t="array" ref="S767">_xlfn.IFS(B767&lt;=25,"20-25",B767&lt;=35,"26-35",B767&lt;=45,"36-45",B767&gt;45,"46+")</f>
        <v>36-45</v>
      </c>
      <c r="T767" t="str" cm="1">
        <f t="array" ref="T767">_xlfn.IFS(J767&lt;3500,"&lt;3.5K",J767&lt;5500,"3.5-5.5K",J767&lt;7500,"5.5-7.5K",J767&gt;=7500,"7.5K+")</f>
        <v>7.5K+</v>
      </c>
      <c r="U767">
        <f t="shared" si="11"/>
        <v>0</v>
      </c>
    </row>
    <row r="768" spans="1:21" x14ac:dyDescent="0.25">
      <c r="A768">
        <v>1196</v>
      </c>
      <c r="B768">
        <v>51</v>
      </c>
      <c r="C768" t="s">
        <v>16</v>
      </c>
      <c r="D768" t="s">
        <v>24</v>
      </c>
      <c r="E768" t="s">
        <v>52</v>
      </c>
      <c r="F768" t="s">
        <v>19</v>
      </c>
      <c r="G768" t="s">
        <v>37</v>
      </c>
      <c r="H768" t="s">
        <v>30</v>
      </c>
      <c r="I768">
        <v>27</v>
      </c>
      <c r="J768" s="2">
        <v>9690</v>
      </c>
      <c r="K768" t="s">
        <v>22</v>
      </c>
      <c r="L768">
        <v>3</v>
      </c>
      <c r="M768">
        <v>2</v>
      </c>
      <c r="N768">
        <v>0</v>
      </c>
      <c r="O768">
        <v>0</v>
      </c>
      <c r="P768">
        <v>25</v>
      </c>
      <c r="Q768" t="s">
        <v>22</v>
      </c>
      <c r="R768" t="str" cm="1">
        <f t="array" ref="R768">_xlfn.IFS(N768&lt;=1,"0-1 yrs",N768&lt;=4,"2-4 yrs",N768&lt;=9,"5-9 yrs",N768&gt;9,"10+ yrs")</f>
        <v>0-1 yrs</v>
      </c>
      <c r="S768" t="str" cm="1">
        <f t="array" ref="S768">_xlfn.IFS(B768&lt;=25,"20-25",B768&lt;=35,"26-35",B768&lt;=45,"36-45",B768&gt;45,"46+")</f>
        <v>46+</v>
      </c>
      <c r="T768" t="str" cm="1">
        <f t="array" ref="T768">_xlfn.IFS(J768&lt;3500,"&lt;3.5K",J768&lt;5500,"3.5-5.5K",J768&lt;7500,"5.5-7.5K",J768&gt;=7500,"7.5K+")</f>
        <v>7.5K+</v>
      </c>
      <c r="U768">
        <f t="shared" si="11"/>
        <v>0</v>
      </c>
    </row>
    <row r="769" spans="1:21" x14ac:dyDescent="0.25">
      <c r="A769">
        <v>1884</v>
      </c>
      <c r="B769">
        <v>58</v>
      </c>
      <c r="C769" t="s">
        <v>16</v>
      </c>
      <c r="D769" t="s">
        <v>17</v>
      </c>
      <c r="E769" t="s">
        <v>35</v>
      </c>
      <c r="F769" t="s">
        <v>41</v>
      </c>
      <c r="G769" t="s">
        <v>20</v>
      </c>
      <c r="H769" t="s">
        <v>21</v>
      </c>
      <c r="I769">
        <v>3</v>
      </c>
      <c r="J769" s="2">
        <v>10298</v>
      </c>
      <c r="K769" t="s">
        <v>22</v>
      </c>
      <c r="L769">
        <v>2</v>
      </c>
      <c r="M769">
        <v>1</v>
      </c>
      <c r="N769">
        <v>3</v>
      </c>
      <c r="O769">
        <v>0</v>
      </c>
      <c r="P769">
        <v>33</v>
      </c>
      <c r="Q769" t="s">
        <v>42</v>
      </c>
      <c r="R769" t="str" cm="1">
        <f t="array" ref="R769">_xlfn.IFS(N769&lt;=1,"0-1 yrs",N769&lt;=4,"2-4 yrs",N769&lt;=9,"5-9 yrs",N769&gt;9,"10+ yrs")</f>
        <v>2-4 yrs</v>
      </c>
      <c r="S769" t="str" cm="1">
        <f t="array" ref="S769">_xlfn.IFS(B769&lt;=25,"20-25",B769&lt;=35,"26-35",B769&lt;=45,"36-45",B769&gt;45,"46+")</f>
        <v>46+</v>
      </c>
      <c r="T769" t="str" cm="1">
        <f t="array" ref="T769">_xlfn.IFS(J769&lt;3500,"&lt;3.5K",J769&lt;5500,"3.5-5.5K",J769&lt;7500,"5.5-7.5K",J769&gt;=7500,"7.5K+")</f>
        <v>7.5K+</v>
      </c>
      <c r="U769">
        <f t="shared" si="11"/>
        <v>1</v>
      </c>
    </row>
    <row r="770" spans="1:21" x14ac:dyDescent="0.25">
      <c r="A770">
        <v>1246</v>
      </c>
      <c r="B770">
        <v>49</v>
      </c>
      <c r="C770" t="s">
        <v>23</v>
      </c>
      <c r="D770" t="s">
        <v>17</v>
      </c>
      <c r="E770" t="s">
        <v>35</v>
      </c>
      <c r="F770" t="s">
        <v>29</v>
      </c>
      <c r="G770" t="s">
        <v>20</v>
      </c>
      <c r="H770" t="s">
        <v>21</v>
      </c>
      <c r="I770">
        <v>28</v>
      </c>
      <c r="J770" s="2">
        <v>8969</v>
      </c>
      <c r="K770" t="s">
        <v>22</v>
      </c>
      <c r="L770">
        <v>4</v>
      </c>
      <c r="M770">
        <v>2</v>
      </c>
      <c r="N770">
        <v>20</v>
      </c>
      <c r="O770">
        <v>18</v>
      </c>
      <c r="P770">
        <v>28</v>
      </c>
      <c r="Q770" t="s">
        <v>22</v>
      </c>
      <c r="R770" t="str" cm="1">
        <f t="array" ref="R770">_xlfn.IFS(N770&lt;=1,"0-1 yrs",N770&lt;=4,"2-4 yrs",N770&lt;=9,"5-9 yrs",N770&gt;9,"10+ yrs")</f>
        <v>10+ yrs</v>
      </c>
      <c r="S770" t="str" cm="1">
        <f t="array" ref="S770">_xlfn.IFS(B770&lt;=25,"20-25",B770&lt;=35,"26-35",B770&lt;=45,"36-45",B770&gt;45,"46+")</f>
        <v>46+</v>
      </c>
      <c r="T770" t="str" cm="1">
        <f t="array" ref="T770">_xlfn.IFS(J770&lt;3500,"&lt;3.5K",J770&lt;5500,"3.5-5.5K",J770&lt;7500,"5.5-7.5K",J770&gt;=7500,"7.5K+")</f>
        <v>7.5K+</v>
      </c>
      <c r="U770">
        <f t="shared" si="11"/>
        <v>0</v>
      </c>
    </row>
    <row r="771" spans="1:21" x14ac:dyDescent="0.25">
      <c r="A771">
        <v>1332</v>
      </c>
      <c r="B771">
        <v>39</v>
      </c>
      <c r="C771" t="s">
        <v>23</v>
      </c>
      <c r="D771" t="s">
        <v>17</v>
      </c>
      <c r="E771" t="s">
        <v>18</v>
      </c>
      <c r="F771" t="s">
        <v>36</v>
      </c>
      <c r="G771" t="s">
        <v>20</v>
      </c>
      <c r="H771" t="s">
        <v>34</v>
      </c>
      <c r="I771">
        <v>26</v>
      </c>
      <c r="J771" s="2">
        <v>14716</v>
      </c>
      <c r="K771" t="s">
        <v>42</v>
      </c>
      <c r="L771">
        <v>4</v>
      </c>
      <c r="M771">
        <v>3</v>
      </c>
      <c r="N771">
        <v>6</v>
      </c>
      <c r="O771">
        <v>0</v>
      </c>
      <c r="P771">
        <v>18</v>
      </c>
      <c r="Q771" t="s">
        <v>22</v>
      </c>
      <c r="R771" t="str" cm="1">
        <f t="array" ref="R771">_xlfn.IFS(N771&lt;=1,"0-1 yrs",N771&lt;=4,"2-4 yrs",N771&lt;=9,"5-9 yrs",N771&gt;9,"10+ yrs")</f>
        <v>5-9 yrs</v>
      </c>
      <c r="S771" t="str" cm="1">
        <f t="array" ref="S771">_xlfn.IFS(B771&lt;=25,"20-25",B771&lt;=35,"26-35",B771&lt;=45,"36-45",B771&gt;45,"46+")</f>
        <v>36-45</v>
      </c>
      <c r="T771" t="str" cm="1">
        <f t="array" ref="T771">_xlfn.IFS(J771&lt;3500,"&lt;3.5K",J771&lt;5500,"3.5-5.5K",J771&lt;7500,"5.5-7.5K",J771&gt;=7500,"7.5K+")</f>
        <v>7.5K+</v>
      </c>
      <c r="U771">
        <f t="shared" ref="U771:U834" si="12">IF(Q771="Yes",1,0)</f>
        <v>0</v>
      </c>
    </row>
    <row r="772" spans="1:21" x14ac:dyDescent="0.25">
      <c r="A772">
        <v>1321</v>
      </c>
      <c r="B772">
        <v>46</v>
      </c>
      <c r="C772" t="s">
        <v>16</v>
      </c>
      <c r="D772" t="s">
        <v>24</v>
      </c>
      <c r="E772" t="s">
        <v>45</v>
      </c>
      <c r="F772" t="s">
        <v>41</v>
      </c>
      <c r="G772" t="s">
        <v>37</v>
      </c>
      <c r="H772" t="s">
        <v>34</v>
      </c>
      <c r="I772">
        <v>4</v>
      </c>
      <c r="J772" s="2">
        <v>12664</v>
      </c>
      <c r="K772" t="s">
        <v>42</v>
      </c>
      <c r="L772">
        <v>1</v>
      </c>
      <c r="M772">
        <v>2</v>
      </c>
      <c r="N772">
        <v>4</v>
      </c>
      <c r="O772">
        <v>1</v>
      </c>
      <c r="P772">
        <v>26</v>
      </c>
      <c r="Q772" t="s">
        <v>42</v>
      </c>
      <c r="R772" t="str" cm="1">
        <f t="array" ref="R772">_xlfn.IFS(N772&lt;=1,"0-1 yrs",N772&lt;=4,"2-4 yrs",N772&lt;=9,"5-9 yrs",N772&gt;9,"10+ yrs")</f>
        <v>2-4 yrs</v>
      </c>
      <c r="S772" t="str" cm="1">
        <f t="array" ref="S772">_xlfn.IFS(B772&lt;=25,"20-25",B772&lt;=35,"26-35",B772&lt;=45,"36-45",B772&gt;45,"46+")</f>
        <v>46+</v>
      </c>
      <c r="T772" t="str" cm="1">
        <f t="array" ref="T772">_xlfn.IFS(J772&lt;3500,"&lt;3.5K",J772&lt;5500,"3.5-5.5K",J772&lt;7500,"5.5-7.5K",J772&gt;=7500,"7.5K+")</f>
        <v>7.5K+</v>
      </c>
      <c r="U772">
        <f t="shared" si="12"/>
        <v>1</v>
      </c>
    </row>
    <row r="773" spans="1:21" x14ac:dyDescent="0.25">
      <c r="A773">
        <v>1234</v>
      </c>
      <c r="B773">
        <v>36</v>
      </c>
      <c r="C773" t="s">
        <v>23</v>
      </c>
      <c r="D773" t="s">
        <v>47</v>
      </c>
      <c r="E773" t="s">
        <v>50</v>
      </c>
      <c r="F773" t="s">
        <v>41</v>
      </c>
      <c r="G773" t="s">
        <v>33</v>
      </c>
      <c r="H773" t="s">
        <v>21</v>
      </c>
      <c r="I773">
        <v>20</v>
      </c>
      <c r="J773" s="2">
        <v>8242</v>
      </c>
      <c r="K773" t="s">
        <v>42</v>
      </c>
      <c r="L773">
        <v>3</v>
      </c>
      <c r="M773">
        <v>4</v>
      </c>
      <c r="N773">
        <v>7</v>
      </c>
      <c r="O773">
        <v>0</v>
      </c>
      <c r="P773">
        <v>7</v>
      </c>
      <c r="Q773" t="s">
        <v>22</v>
      </c>
      <c r="R773" t="str" cm="1">
        <f t="array" ref="R773">_xlfn.IFS(N773&lt;=1,"0-1 yrs",N773&lt;=4,"2-4 yrs",N773&lt;=9,"5-9 yrs",N773&gt;9,"10+ yrs")</f>
        <v>5-9 yrs</v>
      </c>
      <c r="S773" t="str" cm="1">
        <f t="array" ref="S773">_xlfn.IFS(B773&lt;=25,"20-25",B773&lt;=35,"26-35",B773&lt;=45,"36-45",B773&gt;45,"46+")</f>
        <v>36-45</v>
      </c>
      <c r="T773" t="str" cm="1">
        <f t="array" ref="T773">_xlfn.IFS(J773&lt;3500,"&lt;3.5K",J773&lt;5500,"3.5-5.5K",J773&lt;7500,"5.5-7.5K",J773&gt;=7500,"7.5K+")</f>
        <v>7.5K+</v>
      </c>
      <c r="U773">
        <f t="shared" si="12"/>
        <v>0</v>
      </c>
    </row>
    <row r="774" spans="1:21" x14ac:dyDescent="0.25">
      <c r="A774">
        <v>1886</v>
      </c>
      <c r="B774">
        <v>26</v>
      </c>
      <c r="C774" t="s">
        <v>23</v>
      </c>
      <c r="D774" t="s">
        <v>47</v>
      </c>
      <c r="E774" t="s">
        <v>53</v>
      </c>
      <c r="F774" t="s">
        <v>32</v>
      </c>
      <c r="G774" t="s">
        <v>37</v>
      </c>
      <c r="H774" t="s">
        <v>34</v>
      </c>
      <c r="I774">
        <v>26</v>
      </c>
      <c r="J774" s="2">
        <v>9723</v>
      </c>
      <c r="K774" t="s">
        <v>22</v>
      </c>
      <c r="L774">
        <v>2</v>
      </c>
      <c r="M774">
        <v>2</v>
      </c>
      <c r="N774">
        <v>0</v>
      </c>
      <c r="O774">
        <v>0</v>
      </c>
      <c r="P774">
        <v>0</v>
      </c>
      <c r="Q774" t="s">
        <v>22</v>
      </c>
      <c r="R774" t="str" cm="1">
        <f t="array" ref="R774">_xlfn.IFS(N774&lt;=1,"0-1 yrs",N774&lt;=4,"2-4 yrs",N774&lt;=9,"5-9 yrs",N774&gt;9,"10+ yrs")</f>
        <v>0-1 yrs</v>
      </c>
      <c r="S774" t="str" cm="1">
        <f t="array" ref="S774">_xlfn.IFS(B774&lt;=25,"20-25",B774&lt;=35,"26-35",B774&lt;=45,"36-45",B774&gt;45,"46+")</f>
        <v>26-35</v>
      </c>
      <c r="T774" t="str" cm="1">
        <f t="array" ref="T774">_xlfn.IFS(J774&lt;3500,"&lt;3.5K",J774&lt;5500,"3.5-5.5K",J774&lt;7500,"5.5-7.5K",J774&gt;=7500,"7.5K+")</f>
        <v>7.5K+</v>
      </c>
      <c r="U774">
        <f t="shared" si="12"/>
        <v>0</v>
      </c>
    </row>
    <row r="775" spans="1:21" x14ac:dyDescent="0.25">
      <c r="A775">
        <v>1609</v>
      </c>
      <c r="B775">
        <v>25</v>
      </c>
      <c r="C775" t="s">
        <v>23</v>
      </c>
      <c r="D775" t="s">
        <v>17</v>
      </c>
      <c r="E775" t="s">
        <v>18</v>
      </c>
      <c r="F775" t="s">
        <v>38</v>
      </c>
      <c r="G775" t="s">
        <v>20</v>
      </c>
      <c r="H775" t="s">
        <v>30</v>
      </c>
      <c r="I775">
        <v>8</v>
      </c>
      <c r="J775" s="2">
        <v>12327</v>
      </c>
      <c r="K775" t="s">
        <v>22</v>
      </c>
      <c r="L775">
        <v>3</v>
      </c>
      <c r="M775">
        <v>4</v>
      </c>
      <c r="N775">
        <v>0</v>
      </c>
      <c r="O775">
        <v>0</v>
      </c>
      <c r="P775">
        <v>5</v>
      </c>
      <c r="Q775" t="s">
        <v>22</v>
      </c>
      <c r="R775" t="str" cm="1">
        <f t="array" ref="R775">_xlfn.IFS(N775&lt;=1,"0-1 yrs",N775&lt;=4,"2-4 yrs",N775&lt;=9,"5-9 yrs",N775&gt;9,"10+ yrs")</f>
        <v>0-1 yrs</v>
      </c>
      <c r="S775" t="str" cm="1">
        <f t="array" ref="S775">_xlfn.IFS(B775&lt;=25,"20-25",B775&lt;=35,"26-35",B775&lt;=45,"36-45",B775&gt;45,"46+")</f>
        <v>20-25</v>
      </c>
      <c r="T775" t="str" cm="1">
        <f t="array" ref="T775">_xlfn.IFS(J775&lt;3500,"&lt;3.5K",J775&lt;5500,"3.5-5.5K",J775&lt;7500,"5.5-7.5K",J775&gt;=7500,"7.5K+")</f>
        <v>7.5K+</v>
      </c>
      <c r="U775">
        <f t="shared" si="12"/>
        <v>0</v>
      </c>
    </row>
    <row r="776" spans="1:21" x14ac:dyDescent="0.25">
      <c r="A776">
        <v>1296</v>
      </c>
      <c r="B776">
        <v>25</v>
      </c>
      <c r="C776" t="s">
        <v>23</v>
      </c>
      <c r="D776" t="s">
        <v>55</v>
      </c>
      <c r="E776" t="s">
        <v>49</v>
      </c>
      <c r="F776" t="s">
        <v>26</v>
      </c>
      <c r="G776" t="s">
        <v>33</v>
      </c>
      <c r="H776" t="s">
        <v>30</v>
      </c>
      <c r="I776">
        <v>26</v>
      </c>
      <c r="J776" s="2">
        <v>10530</v>
      </c>
      <c r="K776" t="s">
        <v>22</v>
      </c>
      <c r="L776">
        <v>2</v>
      </c>
      <c r="M776">
        <v>4</v>
      </c>
      <c r="N776">
        <v>1</v>
      </c>
      <c r="O776">
        <v>1</v>
      </c>
      <c r="P776">
        <v>2</v>
      </c>
      <c r="Q776" t="s">
        <v>22</v>
      </c>
      <c r="R776" t="str" cm="1">
        <f t="array" ref="R776">_xlfn.IFS(N776&lt;=1,"0-1 yrs",N776&lt;=4,"2-4 yrs",N776&lt;=9,"5-9 yrs",N776&gt;9,"10+ yrs")</f>
        <v>0-1 yrs</v>
      </c>
      <c r="S776" t="str" cm="1">
        <f t="array" ref="S776">_xlfn.IFS(B776&lt;=25,"20-25",B776&lt;=35,"26-35",B776&lt;=45,"36-45",B776&gt;45,"46+")</f>
        <v>20-25</v>
      </c>
      <c r="T776" t="str" cm="1">
        <f t="array" ref="T776">_xlfn.IFS(J776&lt;3500,"&lt;3.5K",J776&lt;5500,"3.5-5.5K",J776&lt;7500,"5.5-7.5K",J776&gt;=7500,"7.5K+")</f>
        <v>7.5K+</v>
      </c>
      <c r="U776">
        <f t="shared" si="12"/>
        <v>0</v>
      </c>
    </row>
    <row r="777" spans="1:21" x14ac:dyDescent="0.25">
      <c r="A777">
        <v>1278</v>
      </c>
      <c r="B777">
        <v>51</v>
      </c>
      <c r="C777" t="s">
        <v>23</v>
      </c>
      <c r="D777" t="s">
        <v>24</v>
      </c>
      <c r="E777" t="s">
        <v>45</v>
      </c>
      <c r="F777" t="s">
        <v>36</v>
      </c>
      <c r="G777" t="s">
        <v>37</v>
      </c>
      <c r="H777" t="s">
        <v>34</v>
      </c>
      <c r="I777">
        <v>25</v>
      </c>
      <c r="J777" s="2">
        <v>11994</v>
      </c>
      <c r="K777" t="s">
        <v>22</v>
      </c>
      <c r="L777">
        <v>1</v>
      </c>
      <c r="M777">
        <v>2</v>
      </c>
      <c r="N777">
        <v>6</v>
      </c>
      <c r="O777">
        <v>2</v>
      </c>
      <c r="P777">
        <v>31</v>
      </c>
      <c r="Q777" t="s">
        <v>22</v>
      </c>
      <c r="R777" t="str" cm="1">
        <f t="array" ref="R777">_xlfn.IFS(N777&lt;=1,"0-1 yrs",N777&lt;=4,"2-4 yrs",N777&lt;=9,"5-9 yrs",N777&gt;9,"10+ yrs")</f>
        <v>5-9 yrs</v>
      </c>
      <c r="S777" t="str" cm="1">
        <f t="array" ref="S777">_xlfn.IFS(B777&lt;=25,"20-25",B777&lt;=35,"26-35",B777&lt;=45,"36-45",B777&gt;45,"46+")</f>
        <v>46+</v>
      </c>
      <c r="T777" t="str" cm="1">
        <f t="array" ref="T777">_xlfn.IFS(J777&lt;3500,"&lt;3.5K",J777&lt;5500,"3.5-5.5K",J777&lt;7500,"5.5-7.5K",J777&gt;=7500,"7.5K+")</f>
        <v>7.5K+</v>
      </c>
      <c r="U777">
        <f t="shared" si="12"/>
        <v>0</v>
      </c>
    </row>
    <row r="778" spans="1:21" x14ac:dyDescent="0.25">
      <c r="A778">
        <v>1275</v>
      </c>
      <c r="B778">
        <v>51</v>
      </c>
      <c r="C778" t="s">
        <v>16</v>
      </c>
      <c r="D778" t="s">
        <v>38</v>
      </c>
      <c r="E778" t="s">
        <v>49</v>
      </c>
      <c r="F778" t="s">
        <v>41</v>
      </c>
      <c r="G778" t="s">
        <v>37</v>
      </c>
      <c r="H778" t="s">
        <v>30</v>
      </c>
      <c r="I778">
        <v>26</v>
      </c>
      <c r="J778" s="2">
        <v>11625</v>
      </c>
      <c r="K778" t="s">
        <v>22</v>
      </c>
      <c r="L778">
        <v>2</v>
      </c>
      <c r="M778">
        <v>2</v>
      </c>
      <c r="N778">
        <v>2</v>
      </c>
      <c r="O778">
        <v>2</v>
      </c>
      <c r="P778">
        <v>28</v>
      </c>
      <c r="Q778" t="s">
        <v>22</v>
      </c>
      <c r="R778" t="str" cm="1">
        <f t="array" ref="R778">_xlfn.IFS(N778&lt;=1,"0-1 yrs",N778&lt;=4,"2-4 yrs",N778&lt;=9,"5-9 yrs",N778&gt;9,"10+ yrs")</f>
        <v>2-4 yrs</v>
      </c>
      <c r="S778" t="str" cm="1">
        <f t="array" ref="S778">_xlfn.IFS(B778&lt;=25,"20-25",B778&lt;=35,"26-35",B778&lt;=45,"36-45",B778&gt;45,"46+")</f>
        <v>46+</v>
      </c>
      <c r="T778" t="str" cm="1">
        <f t="array" ref="T778">_xlfn.IFS(J778&lt;3500,"&lt;3.5K",J778&lt;5500,"3.5-5.5K",J778&lt;7500,"5.5-7.5K",J778&gt;=7500,"7.5K+")</f>
        <v>7.5K+</v>
      </c>
      <c r="U778">
        <f t="shared" si="12"/>
        <v>0</v>
      </c>
    </row>
    <row r="779" spans="1:21" x14ac:dyDescent="0.25">
      <c r="A779">
        <v>1645</v>
      </c>
      <c r="B779">
        <v>60</v>
      </c>
      <c r="C779" t="s">
        <v>23</v>
      </c>
      <c r="D779" t="s">
        <v>24</v>
      </c>
      <c r="E779" t="s">
        <v>25</v>
      </c>
      <c r="F779" t="s">
        <v>19</v>
      </c>
      <c r="G779" t="s">
        <v>37</v>
      </c>
      <c r="H779" t="s">
        <v>21</v>
      </c>
      <c r="I779">
        <v>9</v>
      </c>
      <c r="J779" s="2">
        <v>15996</v>
      </c>
      <c r="K779" t="s">
        <v>22</v>
      </c>
      <c r="L779">
        <v>4</v>
      </c>
      <c r="M779">
        <v>1</v>
      </c>
      <c r="N779">
        <v>13</v>
      </c>
      <c r="O779">
        <v>7</v>
      </c>
      <c r="P779">
        <v>39</v>
      </c>
      <c r="Q779" t="s">
        <v>22</v>
      </c>
      <c r="R779" t="str" cm="1">
        <f t="array" ref="R779">_xlfn.IFS(N779&lt;=1,"0-1 yrs",N779&lt;=4,"2-4 yrs",N779&lt;=9,"5-9 yrs",N779&gt;9,"10+ yrs")</f>
        <v>10+ yrs</v>
      </c>
      <c r="S779" t="str" cm="1">
        <f t="array" ref="S779">_xlfn.IFS(B779&lt;=25,"20-25",B779&lt;=35,"26-35",B779&lt;=45,"36-45",B779&gt;45,"46+")</f>
        <v>46+</v>
      </c>
      <c r="T779" t="str" cm="1">
        <f t="array" ref="T779">_xlfn.IFS(J779&lt;3500,"&lt;3.5K",J779&lt;5500,"3.5-5.5K",J779&lt;7500,"5.5-7.5K",J779&gt;=7500,"7.5K+")</f>
        <v>7.5K+</v>
      </c>
      <c r="U779">
        <f t="shared" si="12"/>
        <v>0</v>
      </c>
    </row>
    <row r="780" spans="1:21" x14ac:dyDescent="0.25">
      <c r="A780">
        <v>1258</v>
      </c>
      <c r="B780">
        <v>46</v>
      </c>
      <c r="C780" t="s">
        <v>23</v>
      </c>
      <c r="D780" t="s">
        <v>27</v>
      </c>
      <c r="E780" t="s">
        <v>28</v>
      </c>
      <c r="F780" t="s">
        <v>29</v>
      </c>
      <c r="G780" t="s">
        <v>37</v>
      </c>
      <c r="H780" t="s">
        <v>21</v>
      </c>
      <c r="I780">
        <v>19</v>
      </c>
      <c r="J780" s="2">
        <v>10468</v>
      </c>
      <c r="K780" t="s">
        <v>22</v>
      </c>
      <c r="L780">
        <v>2</v>
      </c>
      <c r="M780">
        <v>1</v>
      </c>
      <c r="N780">
        <v>3</v>
      </c>
      <c r="O780">
        <v>1</v>
      </c>
      <c r="P780">
        <v>16</v>
      </c>
      <c r="Q780" t="s">
        <v>22</v>
      </c>
      <c r="R780" t="str" cm="1">
        <f t="array" ref="R780">_xlfn.IFS(N780&lt;=1,"0-1 yrs",N780&lt;=4,"2-4 yrs",N780&lt;=9,"5-9 yrs",N780&gt;9,"10+ yrs")</f>
        <v>2-4 yrs</v>
      </c>
      <c r="S780" t="str" cm="1">
        <f t="array" ref="S780">_xlfn.IFS(B780&lt;=25,"20-25",B780&lt;=35,"26-35",B780&lt;=45,"36-45",B780&gt;45,"46+")</f>
        <v>46+</v>
      </c>
      <c r="T780" t="str" cm="1">
        <f t="array" ref="T780">_xlfn.IFS(J780&lt;3500,"&lt;3.5K",J780&lt;5500,"3.5-5.5K",J780&lt;7500,"5.5-7.5K",J780&gt;=7500,"7.5K+")</f>
        <v>7.5K+</v>
      </c>
      <c r="U780">
        <f t="shared" si="12"/>
        <v>0</v>
      </c>
    </row>
    <row r="781" spans="1:21" x14ac:dyDescent="0.25">
      <c r="A781">
        <v>1065</v>
      </c>
      <c r="B781">
        <v>56</v>
      </c>
      <c r="C781" t="s">
        <v>16</v>
      </c>
      <c r="D781" t="s">
        <v>17</v>
      </c>
      <c r="E781" t="s">
        <v>35</v>
      </c>
      <c r="F781" t="s">
        <v>38</v>
      </c>
      <c r="G781" t="s">
        <v>20</v>
      </c>
      <c r="H781" t="s">
        <v>21</v>
      </c>
      <c r="I781">
        <v>5</v>
      </c>
      <c r="J781" s="2">
        <v>9797</v>
      </c>
      <c r="K781" t="s">
        <v>22</v>
      </c>
      <c r="L781">
        <v>2</v>
      </c>
      <c r="M781">
        <v>4</v>
      </c>
      <c r="N781">
        <v>5</v>
      </c>
      <c r="O781">
        <v>0</v>
      </c>
      <c r="P781">
        <v>30</v>
      </c>
      <c r="Q781" t="s">
        <v>22</v>
      </c>
      <c r="R781" t="str" cm="1">
        <f t="array" ref="R781">_xlfn.IFS(N781&lt;=1,"0-1 yrs",N781&lt;=4,"2-4 yrs",N781&lt;=9,"5-9 yrs",N781&gt;9,"10+ yrs")</f>
        <v>5-9 yrs</v>
      </c>
      <c r="S781" t="str" cm="1">
        <f t="array" ref="S781">_xlfn.IFS(B781&lt;=25,"20-25",B781&lt;=35,"26-35",B781&lt;=45,"36-45",B781&gt;45,"46+")</f>
        <v>46+</v>
      </c>
      <c r="T781" t="str" cm="1">
        <f t="array" ref="T781">_xlfn.IFS(J781&lt;3500,"&lt;3.5K",J781&lt;5500,"3.5-5.5K",J781&lt;7500,"5.5-7.5K",J781&gt;=7500,"7.5K+")</f>
        <v>7.5K+</v>
      </c>
      <c r="U781">
        <f t="shared" si="12"/>
        <v>0</v>
      </c>
    </row>
    <row r="782" spans="1:21" x14ac:dyDescent="0.25">
      <c r="A782">
        <v>1647</v>
      </c>
      <c r="B782">
        <v>26</v>
      </c>
      <c r="C782" t="s">
        <v>23</v>
      </c>
      <c r="D782" t="s">
        <v>24</v>
      </c>
      <c r="E782" t="s">
        <v>46</v>
      </c>
      <c r="F782" t="s">
        <v>29</v>
      </c>
      <c r="G782" t="s">
        <v>37</v>
      </c>
      <c r="H782" t="s">
        <v>30</v>
      </c>
      <c r="I782">
        <v>12</v>
      </c>
      <c r="J782" s="2">
        <v>3747</v>
      </c>
      <c r="K782" t="s">
        <v>22</v>
      </c>
      <c r="L782">
        <v>3</v>
      </c>
      <c r="M782">
        <v>3</v>
      </c>
      <c r="N782">
        <v>0</v>
      </c>
      <c r="O782">
        <v>0</v>
      </c>
      <c r="P782">
        <v>0</v>
      </c>
      <c r="Q782" t="s">
        <v>22</v>
      </c>
      <c r="R782" t="str" cm="1">
        <f t="array" ref="R782">_xlfn.IFS(N782&lt;=1,"0-1 yrs",N782&lt;=4,"2-4 yrs",N782&lt;=9,"5-9 yrs",N782&gt;9,"10+ yrs")</f>
        <v>0-1 yrs</v>
      </c>
      <c r="S782" t="str" cm="1">
        <f t="array" ref="S782">_xlfn.IFS(B782&lt;=25,"20-25",B782&lt;=35,"26-35",B782&lt;=45,"36-45",B782&gt;45,"46+")</f>
        <v>26-35</v>
      </c>
      <c r="T782" t="str" cm="1">
        <f t="array" ref="T782">_xlfn.IFS(J782&lt;3500,"&lt;3.5K",J782&lt;5500,"3.5-5.5K",J782&lt;7500,"5.5-7.5K",J782&gt;=7500,"7.5K+")</f>
        <v>3.5-5.5K</v>
      </c>
      <c r="U782">
        <f t="shared" si="12"/>
        <v>0</v>
      </c>
    </row>
    <row r="783" spans="1:21" x14ac:dyDescent="0.25">
      <c r="A783">
        <v>1632</v>
      </c>
      <c r="B783">
        <v>58</v>
      </c>
      <c r="C783" t="s">
        <v>16</v>
      </c>
      <c r="D783" t="s">
        <v>27</v>
      </c>
      <c r="E783" t="s">
        <v>43</v>
      </c>
      <c r="F783" t="s">
        <v>26</v>
      </c>
      <c r="G783" t="s">
        <v>33</v>
      </c>
      <c r="H783" t="s">
        <v>21</v>
      </c>
      <c r="I783">
        <v>17</v>
      </c>
      <c r="J783" s="2">
        <v>12081</v>
      </c>
      <c r="K783" t="s">
        <v>22</v>
      </c>
      <c r="L783">
        <v>3</v>
      </c>
      <c r="M783">
        <v>3</v>
      </c>
      <c r="N783">
        <v>14</v>
      </c>
      <c r="O783">
        <v>5</v>
      </c>
      <c r="P783">
        <v>29</v>
      </c>
      <c r="Q783" t="s">
        <v>22</v>
      </c>
      <c r="R783" t="str" cm="1">
        <f t="array" ref="R783">_xlfn.IFS(N783&lt;=1,"0-1 yrs",N783&lt;=4,"2-4 yrs",N783&lt;=9,"5-9 yrs",N783&gt;9,"10+ yrs")</f>
        <v>10+ yrs</v>
      </c>
      <c r="S783" t="str" cm="1">
        <f t="array" ref="S783">_xlfn.IFS(B783&lt;=25,"20-25",B783&lt;=35,"26-35",B783&lt;=45,"36-45",B783&gt;45,"46+")</f>
        <v>46+</v>
      </c>
      <c r="T783" t="str" cm="1">
        <f t="array" ref="T783">_xlfn.IFS(J783&lt;3500,"&lt;3.5K",J783&lt;5500,"3.5-5.5K",J783&lt;7500,"5.5-7.5K",J783&gt;=7500,"7.5K+")</f>
        <v>7.5K+</v>
      </c>
      <c r="U783">
        <f t="shared" si="12"/>
        <v>0</v>
      </c>
    </row>
    <row r="784" spans="1:21" x14ac:dyDescent="0.25">
      <c r="A784">
        <v>1530</v>
      </c>
      <c r="B784">
        <v>48</v>
      </c>
      <c r="C784" t="s">
        <v>16</v>
      </c>
      <c r="D784" t="s">
        <v>38</v>
      </c>
      <c r="E784" t="s">
        <v>49</v>
      </c>
      <c r="F784" t="s">
        <v>38</v>
      </c>
      <c r="G784" t="s">
        <v>20</v>
      </c>
      <c r="H784" t="s">
        <v>30</v>
      </c>
      <c r="I784">
        <v>11</v>
      </c>
      <c r="J784" s="2">
        <v>15158</v>
      </c>
      <c r="K784" t="s">
        <v>22</v>
      </c>
      <c r="L784">
        <v>4</v>
      </c>
      <c r="M784">
        <v>2</v>
      </c>
      <c r="N784">
        <v>2</v>
      </c>
      <c r="O784">
        <v>2</v>
      </c>
      <c r="P784">
        <v>28</v>
      </c>
      <c r="Q784" t="s">
        <v>22</v>
      </c>
      <c r="R784" t="str" cm="1">
        <f t="array" ref="R784">_xlfn.IFS(N784&lt;=1,"0-1 yrs",N784&lt;=4,"2-4 yrs",N784&lt;=9,"5-9 yrs",N784&gt;9,"10+ yrs")</f>
        <v>2-4 yrs</v>
      </c>
      <c r="S784" t="str" cm="1">
        <f t="array" ref="S784">_xlfn.IFS(B784&lt;=25,"20-25",B784&lt;=35,"26-35",B784&lt;=45,"36-45",B784&gt;45,"46+")</f>
        <v>46+</v>
      </c>
      <c r="T784" t="str" cm="1">
        <f t="array" ref="T784">_xlfn.IFS(J784&lt;3500,"&lt;3.5K",J784&lt;5500,"3.5-5.5K",J784&lt;7500,"5.5-7.5K",J784&gt;=7500,"7.5K+")</f>
        <v>7.5K+</v>
      </c>
      <c r="U784">
        <f t="shared" si="12"/>
        <v>0</v>
      </c>
    </row>
    <row r="785" spans="1:21" x14ac:dyDescent="0.25">
      <c r="A785">
        <v>1546</v>
      </c>
      <c r="B785">
        <v>32</v>
      </c>
      <c r="C785" t="s">
        <v>16</v>
      </c>
      <c r="D785" t="s">
        <v>27</v>
      </c>
      <c r="E785" t="s">
        <v>44</v>
      </c>
      <c r="F785" t="s">
        <v>19</v>
      </c>
      <c r="G785" t="s">
        <v>20</v>
      </c>
      <c r="H785" t="s">
        <v>21</v>
      </c>
      <c r="I785">
        <v>21</v>
      </c>
      <c r="J785" s="2">
        <v>7292</v>
      </c>
      <c r="K785" t="s">
        <v>22</v>
      </c>
      <c r="L785">
        <v>1</v>
      </c>
      <c r="M785">
        <v>4</v>
      </c>
      <c r="N785">
        <v>8</v>
      </c>
      <c r="O785">
        <v>4</v>
      </c>
      <c r="P785">
        <v>8</v>
      </c>
      <c r="Q785" t="s">
        <v>42</v>
      </c>
      <c r="R785" t="str" cm="1">
        <f t="array" ref="R785">_xlfn.IFS(N785&lt;=1,"0-1 yrs",N785&lt;=4,"2-4 yrs",N785&lt;=9,"5-9 yrs",N785&gt;9,"10+ yrs")</f>
        <v>5-9 yrs</v>
      </c>
      <c r="S785" t="str" cm="1">
        <f t="array" ref="S785">_xlfn.IFS(B785&lt;=25,"20-25",B785&lt;=35,"26-35",B785&lt;=45,"36-45",B785&gt;45,"46+")</f>
        <v>26-35</v>
      </c>
      <c r="T785" t="str" cm="1">
        <f t="array" ref="T785">_xlfn.IFS(J785&lt;3500,"&lt;3.5K",J785&lt;5500,"3.5-5.5K",J785&lt;7500,"5.5-7.5K",J785&gt;=7500,"7.5K+")</f>
        <v>5.5-7.5K</v>
      </c>
      <c r="U785">
        <f t="shared" si="12"/>
        <v>1</v>
      </c>
    </row>
    <row r="786" spans="1:21" x14ac:dyDescent="0.25">
      <c r="A786">
        <v>1351</v>
      </c>
      <c r="B786">
        <v>30</v>
      </c>
      <c r="C786" t="s">
        <v>16</v>
      </c>
      <c r="D786" t="s">
        <v>17</v>
      </c>
      <c r="E786" t="s">
        <v>35</v>
      </c>
      <c r="F786" t="s">
        <v>38</v>
      </c>
      <c r="G786" t="s">
        <v>33</v>
      </c>
      <c r="H786" t="s">
        <v>34</v>
      </c>
      <c r="I786">
        <v>12</v>
      </c>
      <c r="J786" s="2">
        <v>6849</v>
      </c>
      <c r="K786" t="s">
        <v>42</v>
      </c>
      <c r="L786">
        <v>1</v>
      </c>
      <c r="M786">
        <v>2</v>
      </c>
      <c r="N786">
        <v>7</v>
      </c>
      <c r="O786">
        <v>2</v>
      </c>
      <c r="P786">
        <v>10</v>
      </c>
      <c r="Q786" t="s">
        <v>42</v>
      </c>
      <c r="R786" t="str" cm="1">
        <f t="array" ref="R786">_xlfn.IFS(N786&lt;=1,"0-1 yrs",N786&lt;=4,"2-4 yrs",N786&lt;=9,"5-9 yrs",N786&gt;9,"10+ yrs")</f>
        <v>5-9 yrs</v>
      </c>
      <c r="S786" t="str" cm="1">
        <f t="array" ref="S786">_xlfn.IFS(B786&lt;=25,"20-25",B786&lt;=35,"26-35",B786&lt;=45,"36-45",B786&gt;45,"46+")</f>
        <v>26-35</v>
      </c>
      <c r="T786" t="str" cm="1">
        <f t="array" ref="T786">_xlfn.IFS(J786&lt;3500,"&lt;3.5K",J786&lt;5500,"3.5-5.5K",J786&lt;7500,"5.5-7.5K",J786&gt;=7500,"7.5K+")</f>
        <v>5.5-7.5K</v>
      </c>
      <c r="U786">
        <f t="shared" si="12"/>
        <v>1</v>
      </c>
    </row>
    <row r="787" spans="1:21" x14ac:dyDescent="0.25">
      <c r="A787">
        <v>1502</v>
      </c>
      <c r="B787">
        <v>53</v>
      </c>
      <c r="C787" t="s">
        <v>23</v>
      </c>
      <c r="D787" t="s">
        <v>47</v>
      </c>
      <c r="E787" t="s">
        <v>48</v>
      </c>
      <c r="F787" t="s">
        <v>29</v>
      </c>
      <c r="G787" t="s">
        <v>20</v>
      </c>
      <c r="H787" t="s">
        <v>21</v>
      </c>
      <c r="I787">
        <v>15</v>
      </c>
      <c r="J787" s="2">
        <v>10836</v>
      </c>
      <c r="K787" t="s">
        <v>22</v>
      </c>
      <c r="L787">
        <v>1</v>
      </c>
      <c r="M787">
        <v>4</v>
      </c>
      <c r="N787">
        <v>17</v>
      </c>
      <c r="O787">
        <v>2</v>
      </c>
      <c r="P787">
        <v>23</v>
      </c>
      <c r="Q787" t="s">
        <v>22</v>
      </c>
      <c r="R787" t="str" cm="1">
        <f t="array" ref="R787">_xlfn.IFS(N787&lt;=1,"0-1 yrs",N787&lt;=4,"2-4 yrs",N787&lt;=9,"5-9 yrs",N787&gt;9,"10+ yrs")</f>
        <v>10+ yrs</v>
      </c>
      <c r="S787" t="str" cm="1">
        <f t="array" ref="S787">_xlfn.IFS(B787&lt;=25,"20-25",B787&lt;=35,"26-35",B787&lt;=45,"36-45",B787&gt;45,"46+")</f>
        <v>46+</v>
      </c>
      <c r="T787" t="str" cm="1">
        <f t="array" ref="T787">_xlfn.IFS(J787&lt;3500,"&lt;3.5K",J787&lt;5500,"3.5-5.5K",J787&lt;7500,"5.5-7.5K",J787&gt;=7500,"7.5K+")</f>
        <v>7.5K+</v>
      </c>
      <c r="U787">
        <f t="shared" si="12"/>
        <v>0</v>
      </c>
    </row>
    <row r="788" spans="1:21" x14ac:dyDescent="0.25">
      <c r="A788">
        <v>1709</v>
      </c>
      <c r="B788">
        <v>22</v>
      </c>
      <c r="C788" t="s">
        <v>16</v>
      </c>
      <c r="D788" t="s">
        <v>17</v>
      </c>
      <c r="E788" t="s">
        <v>35</v>
      </c>
      <c r="F788" t="s">
        <v>38</v>
      </c>
      <c r="G788" t="s">
        <v>20</v>
      </c>
      <c r="H788" t="s">
        <v>21</v>
      </c>
      <c r="I788">
        <v>27</v>
      </c>
      <c r="J788" s="2">
        <v>3653</v>
      </c>
      <c r="K788" t="s">
        <v>22</v>
      </c>
      <c r="L788">
        <v>1</v>
      </c>
      <c r="M788">
        <v>1</v>
      </c>
      <c r="N788">
        <v>0</v>
      </c>
      <c r="O788">
        <v>0</v>
      </c>
      <c r="P788">
        <v>2</v>
      </c>
      <c r="Q788" t="s">
        <v>22</v>
      </c>
      <c r="R788" t="str" cm="1">
        <f t="array" ref="R788">_xlfn.IFS(N788&lt;=1,"0-1 yrs",N788&lt;=4,"2-4 yrs",N788&lt;=9,"5-9 yrs",N788&gt;9,"10+ yrs")</f>
        <v>0-1 yrs</v>
      </c>
      <c r="S788" t="str" cm="1">
        <f t="array" ref="S788">_xlfn.IFS(B788&lt;=25,"20-25",B788&lt;=35,"26-35",B788&lt;=45,"36-45",B788&gt;45,"46+")</f>
        <v>20-25</v>
      </c>
      <c r="T788" t="str" cm="1">
        <f t="array" ref="T788">_xlfn.IFS(J788&lt;3500,"&lt;3.5K",J788&lt;5500,"3.5-5.5K",J788&lt;7500,"5.5-7.5K",J788&gt;=7500,"7.5K+")</f>
        <v>3.5-5.5K</v>
      </c>
      <c r="U788">
        <f t="shared" si="12"/>
        <v>0</v>
      </c>
    </row>
    <row r="789" spans="1:21" x14ac:dyDescent="0.25">
      <c r="A789">
        <v>1094</v>
      </c>
      <c r="B789">
        <v>24</v>
      </c>
      <c r="C789" t="s">
        <v>23</v>
      </c>
      <c r="D789" t="s">
        <v>24</v>
      </c>
      <c r="E789" t="s">
        <v>25</v>
      </c>
      <c r="F789" t="s">
        <v>36</v>
      </c>
      <c r="G789" t="s">
        <v>20</v>
      </c>
      <c r="H789" t="s">
        <v>30</v>
      </c>
      <c r="I789">
        <v>26</v>
      </c>
      <c r="J789" s="2">
        <v>6059</v>
      </c>
      <c r="K789" t="s">
        <v>22</v>
      </c>
      <c r="L789">
        <v>4</v>
      </c>
      <c r="M789">
        <v>4</v>
      </c>
      <c r="N789">
        <v>0</v>
      </c>
      <c r="O789">
        <v>0</v>
      </c>
      <c r="P789">
        <v>0</v>
      </c>
      <c r="Q789" t="s">
        <v>22</v>
      </c>
      <c r="R789" t="str" cm="1">
        <f t="array" ref="R789">_xlfn.IFS(N789&lt;=1,"0-1 yrs",N789&lt;=4,"2-4 yrs",N789&lt;=9,"5-9 yrs",N789&gt;9,"10+ yrs")</f>
        <v>0-1 yrs</v>
      </c>
      <c r="S789" t="str" cm="1">
        <f t="array" ref="S789">_xlfn.IFS(B789&lt;=25,"20-25",B789&lt;=35,"26-35",B789&lt;=45,"36-45",B789&gt;45,"46+")</f>
        <v>20-25</v>
      </c>
      <c r="T789" t="str" cm="1">
        <f t="array" ref="T789">_xlfn.IFS(J789&lt;3500,"&lt;3.5K",J789&lt;5500,"3.5-5.5K",J789&lt;7500,"5.5-7.5K",J789&gt;=7500,"7.5K+")</f>
        <v>5.5-7.5K</v>
      </c>
      <c r="U789">
        <f t="shared" si="12"/>
        <v>0</v>
      </c>
    </row>
    <row r="790" spans="1:21" x14ac:dyDescent="0.25">
      <c r="A790">
        <v>1346</v>
      </c>
      <c r="B790">
        <v>31</v>
      </c>
      <c r="C790" t="s">
        <v>23</v>
      </c>
      <c r="D790" t="s">
        <v>24</v>
      </c>
      <c r="E790" t="s">
        <v>45</v>
      </c>
      <c r="F790" t="s">
        <v>26</v>
      </c>
      <c r="G790" t="s">
        <v>33</v>
      </c>
      <c r="H790" t="s">
        <v>21</v>
      </c>
      <c r="I790">
        <v>19</v>
      </c>
      <c r="J790" s="2">
        <v>5820</v>
      </c>
      <c r="K790" t="s">
        <v>22</v>
      </c>
      <c r="L790">
        <v>3</v>
      </c>
      <c r="M790">
        <v>1</v>
      </c>
      <c r="N790">
        <v>0</v>
      </c>
      <c r="O790">
        <v>0</v>
      </c>
      <c r="P790">
        <v>0</v>
      </c>
      <c r="Q790" t="s">
        <v>22</v>
      </c>
      <c r="R790" t="str" cm="1">
        <f t="array" ref="R790">_xlfn.IFS(N790&lt;=1,"0-1 yrs",N790&lt;=4,"2-4 yrs",N790&lt;=9,"5-9 yrs",N790&gt;9,"10+ yrs")</f>
        <v>0-1 yrs</v>
      </c>
      <c r="S790" t="str" cm="1">
        <f t="array" ref="S790">_xlfn.IFS(B790&lt;=25,"20-25",B790&lt;=35,"26-35",B790&lt;=45,"36-45",B790&gt;45,"46+")</f>
        <v>26-35</v>
      </c>
      <c r="T790" t="str" cm="1">
        <f t="array" ref="T790">_xlfn.IFS(J790&lt;3500,"&lt;3.5K",J790&lt;5500,"3.5-5.5K",J790&lt;7500,"5.5-7.5K",J790&gt;=7500,"7.5K+")</f>
        <v>5.5-7.5K</v>
      </c>
      <c r="U790">
        <f t="shared" si="12"/>
        <v>0</v>
      </c>
    </row>
    <row r="791" spans="1:21" x14ac:dyDescent="0.25">
      <c r="A791">
        <v>1481</v>
      </c>
      <c r="B791">
        <v>39</v>
      </c>
      <c r="C791" t="s">
        <v>16</v>
      </c>
      <c r="D791" t="s">
        <v>54</v>
      </c>
      <c r="E791" t="s">
        <v>48</v>
      </c>
      <c r="F791" t="s">
        <v>41</v>
      </c>
      <c r="G791" t="s">
        <v>20</v>
      </c>
      <c r="H791" t="s">
        <v>30</v>
      </c>
      <c r="I791">
        <v>3</v>
      </c>
      <c r="J791" s="2">
        <v>11812</v>
      </c>
      <c r="K791" t="s">
        <v>42</v>
      </c>
      <c r="L791">
        <v>4</v>
      </c>
      <c r="M791">
        <v>1</v>
      </c>
      <c r="N791">
        <v>14</v>
      </c>
      <c r="O791">
        <v>10</v>
      </c>
      <c r="P791">
        <v>17</v>
      </c>
      <c r="Q791" t="s">
        <v>22</v>
      </c>
      <c r="R791" t="str" cm="1">
        <f t="array" ref="R791">_xlfn.IFS(N791&lt;=1,"0-1 yrs",N791&lt;=4,"2-4 yrs",N791&lt;=9,"5-9 yrs",N791&gt;9,"10+ yrs")</f>
        <v>10+ yrs</v>
      </c>
      <c r="S791" t="str" cm="1">
        <f t="array" ref="S791">_xlfn.IFS(B791&lt;=25,"20-25",B791&lt;=35,"26-35",B791&lt;=45,"36-45",B791&gt;45,"46+")</f>
        <v>36-45</v>
      </c>
      <c r="T791" t="str" cm="1">
        <f t="array" ref="T791">_xlfn.IFS(J791&lt;3500,"&lt;3.5K",J791&lt;5500,"3.5-5.5K",J791&lt;7500,"5.5-7.5K",J791&gt;=7500,"7.5K+")</f>
        <v>7.5K+</v>
      </c>
      <c r="U791">
        <f t="shared" si="12"/>
        <v>0</v>
      </c>
    </row>
    <row r="792" spans="1:21" x14ac:dyDescent="0.25">
      <c r="A792">
        <v>1919</v>
      </c>
      <c r="B792">
        <v>43</v>
      </c>
      <c r="C792" t="s">
        <v>23</v>
      </c>
      <c r="D792" t="s">
        <v>47</v>
      </c>
      <c r="E792" t="s">
        <v>48</v>
      </c>
      <c r="F792" t="s">
        <v>29</v>
      </c>
      <c r="G792" t="s">
        <v>20</v>
      </c>
      <c r="H792" t="s">
        <v>34</v>
      </c>
      <c r="I792">
        <v>26</v>
      </c>
      <c r="J792" s="2">
        <v>9366</v>
      </c>
      <c r="K792" t="s">
        <v>22</v>
      </c>
      <c r="L792">
        <v>3</v>
      </c>
      <c r="M792">
        <v>4</v>
      </c>
      <c r="N792">
        <v>16</v>
      </c>
      <c r="O792">
        <v>0</v>
      </c>
      <c r="P792">
        <v>19</v>
      </c>
      <c r="Q792" t="s">
        <v>22</v>
      </c>
      <c r="R792" t="str" cm="1">
        <f t="array" ref="R792">_xlfn.IFS(N792&lt;=1,"0-1 yrs",N792&lt;=4,"2-4 yrs",N792&lt;=9,"5-9 yrs",N792&gt;9,"10+ yrs")</f>
        <v>10+ yrs</v>
      </c>
      <c r="S792" t="str" cm="1">
        <f t="array" ref="S792">_xlfn.IFS(B792&lt;=25,"20-25",B792&lt;=35,"26-35",B792&lt;=45,"36-45",B792&gt;45,"46+")</f>
        <v>36-45</v>
      </c>
      <c r="T792" t="str" cm="1">
        <f t="array" ref="T792">_xlfn.IFS(J792&lt;3500,"&lt;3.5K",J792&lt;5500,"3.5-5.5K",J792&lt;7500,"5.5-7.5K",J792&gt;=7500,"7.5K+")</f>
        <v>7.5K+</v>
      </c>
      <c r="U792">
        <f t="shared" si="12"/>
        <v>0</v>
      </c>
    </row>
    <row r="793" spans="1:21" x14ac:dyDescent="0.25">
      <c r="A793">
        <v>1588</v>
      </c>
      <c r="B793">
        <v>23</v>
      </c>
      <c r="C793" t="s">
        <v>23</v>
      </c>
      <c r="D793" t="s">
        <v>27</v>
      </c>
      <c r="E793" t="s">
        <v>31</v>
      </c>
      <c r="F793" t="s">
        <v>29</v>
      </c>
      <c r="G793" t="s">
        <v>20</v>
      </c>
      <c r="H793" t="s">
        <v>30</v>
      </c>
      <c r="I793">
        <v>8</v>
      </c>
      <c r="J793" s="2">
        <v>7711</v>
      </c>
      <c r="K793" t="s">
        <v>22</v>
      </c>
      <c r="L793">
        <v>4</v>
      </c>
      <c r="M793">
        <v>2</v>
      </c>
      <c r="N793">
        <v>0</v>
      </c>
      <c r="O793">
        <v>0</v>
      </c>
      <c r="P793">
        <v>2</v>
      </c>
      <c r="Q793" t="s">
        <v>22</v>
      </c>
      <c r="R793" t="str" cm="1">
        <f t="array" ref="R793">_xlfn.IFS(N793&lt;=1,"0-1 yrs",N793&lt;=4,"2-4 yrs",N793&lt;=9,"5-9 yrs",N793&gt;9,"10+ yrs")</f>
        <v>0-1 yrs</v>
      </c>
      <c r="S793" t="str" cm="1">
        <f t="array" ref="S793">_xlfn.IFS(B793&lt;=25,"20-25",B793&lt;=35,"26-35",B793&lt;=45,"36-45",B793&gt;45,"46+")</f>
        <v>20-25</v>
      </c>
      <c r="T793" t="str" cm="1">
        <f t="array" ref="T793">_xlfn.IFS(J793&lt;3500,"&lt;3.5K",J793&lt;5500,"3.5-5.5K",J793&lt;7500,"5.5-7.5K",J793&gt;=7500,"7.5K+")</f>
        <v>7.5K+</v>
      </c>
      <c r="U793">
        <f t="shared" si="12"/>
        <v>0</v>
      </c>
    </row>
    <row r="794" spans="1:21" x14ac:dyDescent="0.25">
      <c r="A794">
        <v>1677</v>
      </c>
      <c r="B794">
        <v>48</v>
      </c>
      <c r="C794" t="s">
        <v>16</v>
      </c>
      <c r="D794" t="s">
        <v>24</v>
      </c>
      <c r="E794" t="s">
        <v>25</v>
      </c>
      <c r="F794" t="s">
        <v>32</v>
      </c>
      <c r="G794" t="s">
        <v>37</v>
      </c>
      <c r="H794" t="s">
        <v>30</v>
      </c>
      <c r="I794">
        <v>20</v>
      </c>
      <c r="J794" s="2">
        <v>12357</v>
      </c>
      <c r="K794" t="s">
        <v>42</v>
      </c>
      <c r="L794">
        <v>1</v>
      </c>
      <c r="M794">
        <v>4</v>
      </c>
      <c r="N794">
        <v>11</v>
      </c>
      <c r="O794">
        <v>9</v>
      </c>
      <c r="P794">
        <v>25</v>
      </c>
      <c r="Q794" t="s">
        <v>22</v>
      </c>
      <c r="R794" t="str" cm="1">
        <f t="array" ref="R794">_xlfn.IFS(N794&lt;=1,"0-1 yrs",N794&lt;=4,"2-4 yrs",N794&lt;=9,"5-9 yrs",N794&gt;9,"10+ yrs")</f>
        <v>10+ yrs</v>
      </c>
      <c r="S794" t="str" cm="1">
        <f t="array" ref="S794">_xlfn.IFS(B794&lt;=25,"20-25",B794&lt;=35,"26-35",B794&lt;=45,"36-45",B794&gt;45,"46+")</f>
        <v>46+</v>
      </c>
      <c r="T794" t="str" cm="1">
        <f t="array" ref="T794">_xlfn.IFS(J794&lt;3500,"&lt;3.5K",J794&lt;5500,"3.5-5.5K",J794&lt;7500,"5.5-7.5K",J794&gt;=7500,"7.5K+")</f>
        <v>7.5K+</v>
      </c>
      <c r="U794">
        <f t="shared" si="12"/>
        <v>0</v>
      </c>
    </row>
    <row r="795" spans="1:21" x14ac:dyDescent="0.25">
      <c r="A795">
        <v>1843</v>
      </c>
      <c r="B795">
        <v>46</v>
      </c>
      <c r="C795" t="s">
        <v>23</v>
      </c>
      <c r="D795" t="s">
        <v>24</v>
      </c>
      <c r="E795" t="s">
        <v>52</v>
      </c>
      <c r="F795" t="s">
        <v>41</v>
      </c>
      <c r="G795" t="s">
        <v>20</v>
      </c>
      <c r="H795" t="s">
        <v>21</v>
      </c>
      <c r="I795">
        <v>13</v>
      </c>
      <c r="J795" s="2">
        <v>9437</v>
      </c>
      <c r="K795" t="s">
        <v>42</v>
      </c>
      <c r="L795">
        <v>3</v>
      </c>
      <c r="M795">
        <v>4</v>
      </c>
      <c r="N795">
        <v>24</v>
      </c>
      <c r="O795">
        <v>11</v>
      </c>
      <c r="P795">
        <v>25</v>
      </c>
      <c r="Q795" t="s">
        <v>22</v>
      </c>
      <c r="R795" t="str" cm="1">
        <f t="array" ref="R795">_xlfn.IFS(N795&lt;=1,"0-1 yrs",N795&lt;=4,"2-4 yrs",N795&lt;=9,"5-9 yrs",N795&gt;9,"10+ yrs")</f>
        <v>10+ yrs</v>
      </c>
      <c r="S795" t="str" cm="1">
        <f t="array" ref="S795">_xlfn.IFS(B795&lt;=25,"20-25",B795&lt;=35,"26-35",B795&lt;=45,"36-45",B795&gt;45,"46+")</f>
        <v>46+</v>
      </c>
      <c r="T795" t="str" cm="1">
        <f t="array" ref="T795">_xlfn.IFS(J795&lt;3500,"&lt;3.5K",J795&lt;5500,"3.5-5.5K",J795&lt;7500,"5.5-7.5K",J795&gt;=7500,"7.5K+")</f>
        <v>7.5K+</v>
      </c>
      <c r="U795">
        <f t="shared" si="12"/>
        <v>0</v>
      </c>
    </row>
    <row r="796" spans="1:21" x14ac:dyDescent="0.25">
      <c r="A796">
        <v>1815</v>
      </c>
      <c r="B796">
        <v>41</v>
      </c>
      <c r="C796" t="s">
        <v>23</v>
      </c>
      <c r="D796" t="s">
        <v>24</v>
      </c>
      <c r="E796" t="s">
        <v>46</v>
      </c>
      <c r="F796" t="s">
        <v>29</v>
      </c>
      <c r="G796" t="s">
        <v>37</v>
      </c>
      <c r="H796" t="s">
        <v>34</v>
      </c>
      <c r="I796">
        <v>3</v>
      </c>
      <c r="J796" s="2">
        <v>7420</v>
      </c>
      <c r="K796" t="s">
        <v>42</v>
      </c>
      <c r="L796">
        <v>1</v>
      </c>
      <c r="M796">
        <v>1</v>
      </c>
      <c r="N796">
        <v>1</v>
      </c>
      <c r="O796">
        <v>1</v>
      </c>
      <c r="P796">
        <v>7</v>
      </c>
      <c r="Q796" t="s">
        <v>42</v>
      </c>
      <c r="R796" t="str" cm="1">
        <f t="array" ref="R796">_xlfn.IFS(N796&lt;=1,"0-1 yrs",N796&lt;=4,"2-4 yrs",N796&lt;=9,"5-9 yrs",N796&gt;9,"10+ yrs")</f>
        <v>0-1 yrs</v>
      </c>
      <c r="S796" t="str" cm="1">
        <f t="array" ref="S796">_xlfn.IFS(B796&lt;=25,"20-25",B796&lt;=35,"26-35",B796&lt;=45,"36-45",B796&gt;45,"46+")</f>
        <v>36-45</v>
      </c>
      <c r="T796" t="str" cm="1">
        <f t="array" ref="T796">_xlfn.IFS(J796&lt;3500,"&lt;3.5K",J796&lt;5500,"3.5-5.5K",J796&lt;7500,"5.5-7.5K",J796&gt;=7500,"7.5K+")</f>
        <v>5.5-7.5K</v>
      </c>
      <c r="U796">
        <f t="shared" si="12"/>
        <v>1</v>
      </c>
    </row>
    <row r="797" spans="1:21" x14ac:dyDescent="0.25">
      <c r="A797">
        <v>1699</v>
      </c>
      <c r="B797">
        <v>27</v>
      </c>
      <c r="C797" t="s">
        <v>23</v>
      </c>
      <c r="D797" t="s">
        <v>17</v>
      </c>
      <c r="E797" t="s">
        <v>18</v>
      </c>
      <c r="F797" t="s">
        <v>41</v>
      </c>
      <c r="G797" t="s">
        <v>33</v>
      </c>
      <c r="H797" t="s">
        <v>21</v>
      </c>
      <c r="I797">
        <v>7</v>
      </c>
      <c r="J797" s="2">
        <v>10490</v>
      </c>
      <c r="K797" t="s">
        <v>22</v>
      </c>
      <c r="L797">
        <v>4</v>
      </c>
      <c r="M797">
        <v>3</v>
      </c>
      <c r="N797">
        <v>1</v>
      </c>
      <c r="O797">
        <v>0</v>
      </c>
      <c r="P797">
        <v>6</v>
      </c>
      <c r="Q797" t="s">
        <v>22</v>
      </c>
      <c r="R797" t="str" cm="1">
        <f t="array" ref="R797">_xlfn.IFS(N797&lt;=1,"0-1 yrs",N797&lt;=4,"2-4 yrs",N797&lt;=9,"5-9 yrs",N797&gt;9,"10+ yrs")</f>
        <v>0-1 yrs</v>
      </c>
      <c r="S797" t="str" cm="1">
        <f t="array" ref="S797">_xlfn.IFS(B797&lt;=25,"20-25",B797&lt;=35,"26-35",B797&lt;=45,"36-45",B797&gt;45,"46+")</f>
        <v>26-35</v>
      </c>
      <c r="T797" t="str" cm="1">
        <f t="array" ref="T797">_xlfn.IFS(J797&lt;3500,"&lt;3.5K",J797&lt;5500,"3.5-5.5K",J797&lt;7500,"5.5-7.5K",J797&gt;=7500,"7.5K+")</f>
        <v>7.5K+</v>
      </c>
      <c r="U797">
        <f t="shared" si="12"/>
        <v>0</v>
      </c>
    </row>
    <row r="798" spans="1:21" x14ac:dyDescent="0.25">
      <c r="A798">
        <v>1945</v>
      </c>
      <c r="B798">
        <v>43</v>
      </c>
      <c r="C798" t="s">
        <v>16</v>
      </c>
      <c r="D798" t="s">
        <v>24</v>
      </c>
      <c r="E798" t="s">
        <v>46</v>
      </c>
      <c r="F798" t="s">
        <v>32</v>
      </c>
      <c r="G798" t="s">
        <v>33</v>
      </c>
      <c r="H798" t="s">
        <v>21</v>
      </c>
      <c r="I798">
        <v>26</v>
      </c>
      <c r="J798" s="2">
        <v>7447</v>
      </c>
      <c r="K798" t="s">
        <v>22</v>
      </c>
      <c r="L798">
        <v>2</v>
      </c>
      <c r="M798">
        <v>3</v>
      </c>
      <c r="N798">
        <v>14</v>
      </c>
      <c r="O798">
        <v>7</v>
      </c>
      <c r="P798">
        <v>15</v>
      </c>
      <c r="Q798" t="s">
        <v>22</v>
      </c>
      <c r="R798" t="str" cm="1">
        <f t="array" ref="R798">_xlfn.IFS(N798&lt;=1,"0-1 yrs",N798&lt;=4,"2-4 yrs",N798&lt;=9,"5-9 yrs",N798&gt;9,"10+ yrs")</f>
        <v>10+ yrs</v>
      </c>
      <c r="S798" t="str" cm="1">
        <f t="array" ref="S798">_xlfn.IFS(B798&lt;=25,"20-25",B798&lt;=35,"26-35",B798&lt;=45,"36-45",B798&gt;45,"46+")</f>
        <v>36-45</v>
      </c>
      <c r="T798" t="str" cm="1">
        <f t="array" ref="T798">_xlfn.IFS(J798&lt;3500,"&lt;3.5K",J798&lt;5500,"3.5-5.5K",J798&lt;7500,"5.5-7.5K",J798&gt;=7500,"7.5K+")</f>
        <v>5.5-7.5K</v>
      </c>
      <c r="U798">
        <f t="shared" si="12"/>
        <v>0</v>
      </c>
    </row>
    <row r="799" spans="1:21" x14ac:dyDescent="0.25">
      <c r="A799">
        <v>1712</v>
      </c>
      <c r="B799">
        <v>23</v>
      </c>
      <c r="C799" t="s">
        <v>23</v>
      </c>
      <c r="D799" t="s">
        <v>47</v>
      </c>
      <c r="E799" t="s">
        <v>53</v>
      </c>
      <c r="F799" t="s">
        <v>26</v>
      </c>
      <c r="G799" t="s">
        <v>20</v>
      </c>
      <c r="H799" t="s">
        <v>21</v>
      </c>
      <c r="I799">
        <v>11</v>
      </c>
      <c r="J799" s="2">
        <v>11849</v>
      </c>
      <c r="K799" t="s">
        <v>42</v>
      </c>
      <c r="L799">
        <v>1</v>
      </c>
      <c r="M799">
        <v>3</v>
      </c>
      <c r="N799">
        <v>0</v>
      </c>
      <c r="O799">
        <v>0</v>
      </c>
      <c r="P799">
        <v>0</v>
      </c>
      <c r="Q799" t="s">
        <v>22</v>
      </c>
      <c r="R799" t="str" cm="1">
        <f t="array" ref="R799">_xlfn.IFS(N799&lt;=1,"0-1 yrs",N799&lt;=4,"2-4 yrs",N799&lt;=9,"5-9 yrs",N799&gt;9,"10+ yrs")</f>
        <v>0-1 yrs</v>
      </c>
      <c r="S799" t="str" cm="1">
        <f t="array" ref="S799">_xlfn.IFS(B799&lt;=25,"20-25",B799&lt;=35,"26-35",B799&lt;=45,"36-45",B799&gt;45,"46+")</f>
        <v>20-25</v>
      </c>
      <c r="T799" t="str" cm="1">
        <f t="array" ref="T799">_xlfn.IFS(J799&lt;3500,"&lt;3.5K",J799&lt;5500,"3.5-5.5K",J799&lt;7500,"5.5-7.5K",J799&gt;=7500,"7.5K+")</f>
        <v>7.5K+</v>
      </c>
      <c r="U799">
        <f t="shared" si="12"/>
        <v>0</v>
      </c>
    </row>
    <row r="800" spans="1:21" x14ac:dyDescent="0.25">
      <c r="A800">
        <v>1604</v>
      </c>
      <c r="B800">
        <v>40</v>
      </c>
      <c r="C800" t="s">
        <v>23</v>
      </c>
      <c r="D800" t="s">
        <v>24</v>
      </c>
      <c r="E800" t="s">
        <v>25</v>
      </c>
      <c r="F800" t="s">
        <v>38</v>
      </c>
      <c r="G800" t="s">
        <v>20</v>
      </c>
      <c r="H800" t="s">
        <v>30</v>
      </c>
      <c r="I800">
        <v>1</v>
      </c>
      <c r="J800" s="2">
        <v>9658</v>
      </c>
      <c r="K800" t="s">
        <v>22</v>
      </c>
      <c r="L800">
        <v>3</v>
      </c>
      <c r="M800">
        <v>3</v>
      </c>
      <c r="N800">
        <v>12</v>
      </c>
      <c r="O800">
        <v>6</v>
      </c>
      <c r="P800">
        <v>20</v>
      </c>
      <c r="Q800" t="s">
        <v>22</v>
      </c>
      <c r="R800" t="str" cm="1">
        <f t="array" ref="R800">_xlfn.IFS(N800&lt;=1,"0-1 yrs",N800&lt;=4,"2-4 yrs",N800&lt;=9,"5-9 yrs",N800&gt;9,"10+ yrs")</f>
        <v>10+ yrs</v>
      </c>
      <c r="S800" t="str" cm="1">
        <f t="array" ref="S800">_xlfn.IFS(B800&lt;=25,"20-25",B800&lt;=35,"26-35",B800&lt;=45,"36-45",B800&gt;45,"46+")</f>
        <v>36-45</v>
      </c>
      <c r="T800" t="str" cm="1">
        <f t="array" ref="T800">_xlfn.IFS(J800&lt;3500,"&lt;3.5K",J800&lt;5500,"3.5-5.5K",J800&lt;7500,"5.5-7.5K",J800&gt;=7500,"7.5K+")</f>
        <v>7.5K+</v>
      </c>
      <c r="U800">
        <f t="shared" si="12"/>
        <v>0</v>
      </c>
    </row>
    <row r="801" spans="1:21" x14ac:dyDescent="0.25">
      <c r="A801">
        <v>1705</v>
      </c>
      <c r="B801">
        <v>52</v>
      </c>
      <c r="C801" t="s">
        <v>16</v>
      </c>
      <c r="D801" t="s">
        <v>17</v>
      </c>
      <c r="E801" t="s">
        <v>40</v>
      </c>
      <c r="F801" t="s">
        <v>26</v>
      </c>
      <c r="G801" t="s">
        <v>33</v>
      </c>
      <c r="H801" t="s">
        <v>21</v>
      </c>
      <c r="I801">
        <v>26</v>
      </c>
      <c r="J801" s="2">
        <v>11497</v>
      </c>
      <c r="K801" t="s">
        <v>42</v>
      </c>
      <c r="L801">
        <v>4</v>
      </c>
      <c r="M801">
        <v>1</v>
      </c>
      <c r="N801">
        <v>19</v>
      </c>
      <c r="O801">
        <v>16</v>
      </c>
      <c r="P801">
        <v>27</v>
      </c>
      <c r="Q801" t="s">
        <v>22</v>
      </c>
      <c r="R801" t="str" cm="1">
        <f t="array" ref="R801">_xlfn.IFS(N801&lt;=1,"0-1 yrs",N801&lt;=4,"2-4 yrs",N801&lt;=9,"5-9 yrs",N801&gt;9,"10+ yrs")</f>
        <v>10+ yrs</v>
      </c>
      <c r="S801" t="str" cm="1">
        <f t="array" ref="S801">_xlfn.IFS(B801&lt;=25,"20-25",B801&lt;=35,"26-35",B801&lt;=45,"36-45",B801&gt;45,"46+")</f>
        <v>46+</v>
      </c>
      <c r="T801" t="str" cm="1">
        <f t="array" ref="T801">_xlfn.IFS(J801&lt;3500,"&lt;3.5K",J801&lt;5500,"3.5-5.5K",J801&lt;7500,"5.5-7.5K",J801&gt;=7500,"7.5K+")</f>
        <v>7.5K+</v>
      </c>
      <c r="U801">
        <f t="shared" si="12"/>
        <v>0</v>
      </c>
    </row>
    <row r="802" spans="1:21" x14ac:dyDescent="0.25">
      <c r="A802">
        <v>1776</v>
      </c>
      <c r="B802">
        <v>31</v>
      </c>
      <c r="C802" t="s">
        <v>23</v>
      </c>
      <c r="D802" t="s">
        <v>27</v>
      </c>
      <c r="E802" t="s">
        <v>43</v>
      </c>
      <c r="F802" t="s">
        <v>41</v>
      </c>
      <c r="G802" t="s">
        <v>33</v>
      </c>
      <c r="H802" t="s">
        <v>30</v>
      </c>
      <c r="I802">
        <v>15</v>
      </c>
      <c r="J802" s="2">
        <v>5157</v>
      </c>
      <c r="K802" t="s">
        <v>22</v>
      </c>
      <c r="M802">
        <v>3</v>
      </c>
      <c r="N802">
        <v>4</v>
      </c>
      <c r="O802">
        <v>0</v>
      </c>
      <c r="P802">
        <v>5</v>
      </c>
      <c r="Q802" t="s">
        <v>22</v>
      </c>
      <c r="R802" t="str" cm="1">
        <f t="array" ref="R802">_xlfn.IFS(N802&lt;=1,"0-1 yrs",N802&lt;=4,"2-4 yrs",N802&lt;=9,"5-9 yrs",N802&gt;9,"10+ yrs")</f>
        <v>2-4 yrs</v>
      </c>
      <c r="S802" t="str" cm="1">
        <f t="array" ref="S802">_xlfn.IFS(B802&lt;=25,"20-25",B802&lt;=35,"26-35",B802&lt;=45,"36-45",B802&gt;45,"46+")</f>
        <v>26-35</v>
      </c>
      <c r="T802" t="str" cm="1">
        <f t="array" ref="T802">_xlfn.IFS(J802&lt;3500,"&lt;3.5K",J802&lt;5500,"3.5-5.5K",J802&lt;7500,"5.5-7.5K",J802&gt;=7500,"7.5K+")</f>
        <v>3.5-5.5K</v>
      </c>
      <c r="U802">
        <f t="shared" si="12"/>
        <v>0</v>
      </c>
    </row>
    <row r="803" spans="1:21" x14ac:dyDescent="0.25">
      <c r="A803">
        <v>1396</v>
      </c>
      <c r="B803">
        <v>49</v>
      </c>
      <c r="C803" t="s">
        <v>16</v>
      </c>
      <c r="D803" t="s">
        <v>27</v>
      </c>
      <c r="E803" t="s">
        <v>44</v>
      </c>
      <c r="F803" t="s">
        <v>26</v>
      </c>
      <c r="G803" t="s">
        <v>33</v>
      </c>
      <c r="H803" t="s">
        <v>21</v>
      </c>
      <c r="I803">
        <v>29</v>
      </c>
      <c r="J803" s="2">
        <v>9158</v>
      </c>
      <c r="K803" t="s">
        <v>22</v>
      </c>
      <c r="L803">
        <v>1</v>
      </c>
      <c r="M803">
        <v>3</v>
      </c>
      <c r="N803">
        <v>2</v>
      </c>
      <c r="O803">
        <v>0</v>
      </c>
      <c r="P803">
        <v>18</v>
      </c>
      <c r="Q803" t="s">
        <v>22</v>
      </c>
      <c r="R803" t="str" cm="1">
        <f t="array" ref="R803">_xlfn.IFS(N803&lt;=1,"0-1 yrs",N803&lt;=4,"2-4 yrs",N803&lt;=9,"5-9 yrs",N803&gt;9,"10+ yrs")</f>
        <v>2-4 yrs</v>
      </c>
      <c r="S803" t="str" cm="1">
        <f t="array" ref="S803">_xlfn.IFS(B803&lt;=25,"20-25",B803&lt;=35,"26-35",B803&lt;=45,"36-45",B803&gt;45,"46+")</f>
        <v>46+</v>
      </c>
      <c r="T803" t="str" cm="1">
        <f t="array" ref="T803">_xlfn.IFS(J803&lt;3500,"&lt;3.5K",J803&lt;5500,"3.5-5.5K",J803&lt;7500,"5.5-7.5K",J803&gt;=7500,"7.5K+")</f>
        <v>7.5K+</v>
      </c>
      <c r="U803">
        <f t="shared" si="12"/>
        <v>0</v>
      </c>
    </row>
    <row r="804" spans="1:21" x14ac:dyDescent="0.25">
      <c r="A804">
        <v>1500</v>
      </c>
      <c r="B804">
        <v>37</v>
      </c>
      <c r="C804" t="s">
        <v>16</v>
      </c>
      <c r="D804" t="s">
        <v>47</v>
      </c>
      <c r="E804" t="s">
        <v>50</v>
      </c>
      <c r="F804" t="s">
        <v>19</v>
      </c>
      <c r="G804" t="s">
        <v>20</v>
      </c>
      <c r="H804" t="s">
        <v>30</v>
      </c>
      <c r="I804">
        <v>3</v>
      </c>
      <c r="J804" s="2">
        <v>6773</v>
      </c>
      <c r="K804" t="s">
        <v>22</v>
      </c>
      <c r="L804">
        <v>2</v>
      </c>
      <c r="M804">
        <v>4</v>
      </c>
      <c r="N804">
        <v>6</v>
      </c>
      <c r="O804">
        <v>6</v>
      </c>
      <c r="P804">
        <v>8</v>
      </c>
      <c r="Q804" t="s">
        <v>42</v>
      </c>
      <c r="R804" t="str" cm="1">
        <f t="array" ref="R804">_xlfn.IFS(N804&lt;=1,"0-1 yrs",N804&lt;=4,"2-4 yrs",N804&lt;=9,"5-9 yrs",N804&gt;9,"10+ yrs")</f>
        <v>5-9 yrs</v>
      </c>
      <c r="S804" t="str" cm="1">
        <f t="array" ref="S804">_xlfn.IFS(B804&lt;=25,"20-25",B804&lt;=35,"26-35",B804&lt;=45,"36-45",B804&gt;45,"46+")</f>
        <v>36-45</v>
      </c>
      <c r="T804" t="str" cm="1">
        <f t="array" ref="T804">_xlfn.IFS(J804&lt;3500,"&lt;3.5K",J804&lt;5500,"3.5-5.5K",J804&lt;7500,"5.5-7.5K",J804&gt;=7500,"7.5K+")</f>
        <v>5.5-7.5K</v>
      </c>
      <c r="U804">
        <f t="shared" si="12"/>
        <v>1</v>
      </c>
    </row>
    <row r="805" spans="1:21" x14ac:dyDescent="0.25">
      <c r="A805">
        <v>1524</v>
      </c>
      <c r="B805">
        <v>54</v>
      </c>
      <c r="C805" t="s">
        <v>23</v>
      </c>
      <c r="D805" t="s">
        <v>47</v>
      </c>
      <c r="E805" t="s">
        <v>53</v>
      </c>
      <c r="F805" t="s">
        <v>26</v>
      </c>
      <c r="G805" t="s">
        <v>20</v>
      </c>
      <c r="H805" t="s">
        <v>21</v>
      </c>
      <c r="I805">
        <v>17</v>
      </c>
      <c r="J805" s="2">
        <v>14313</v>
      </c>
      <c r="K805" t="s">
        <v>42</v>
      </c>
      <c r="L805">
        <v>4</v>
      </c>
      <c r="M805">
        <v>2</v>
      </c>
      <c r="N805">
        <v>9</v>
      </c>
      <c r="O805">
        <v>4</v>
      </c>
      <c r="P805">
        <v>32</v>
      </c>
      <c r="Q805" t="s">
        <v>22</v>
      </c>
      <c r="R805" t="str" cm="1">
        <f t="array" ref="R805">_xlfn.IFS(N805&lt;=1,"0-1 yrs",N805&lt;=4,"2-4 yrs",N805&lt;=9,"5-9 yrs",N805&gt;9,"10+ yrs")</f>
        <v>5-9 yrs</v>
      </c>
      <c r="S805" t="str" cm="1">
        <f t="array" ref="S805">_xlfn.IFS(B805&lt;=25,"20-25",B805&lt;=35,"26-35",B805&lt;=45,"36-45",B805&gt;45,"46+")</f>
        <v>46+</v>
      </c>
      <c r="T805" t="str" cm="1">
        <f t="array" ref="T805">_xlfn.IFS(J805&lt;3500,"&lt;3.5K",J805&lt;5500,"3.5-5.5K",J805&lt;7500,"5.5-7.5K",J805&gt;=7500,"7.5K+")</f>
        <v>7.5K+</v>
      </c>
      <c r="U805">
        <f t="shared" si="12"/>
        <v>0</v>
      </c>
    </row>
    <row r="806" spans="1:21" x14ac:dyDescent="0.25">
      <c r="A806">
        <v>1482</v>
      </c>
      <c r="B806">
        <v>47</v>
      </c>
      <c r="C806" t="s">
        <v>16</v>
      </c>
      <c r="D806" t="s">
        <v>24</v>
      </c>
      <c r="E806" t="s">
        <v>25</v>
      </c>
      <c r="F806" t="s">
        <v>38</v>
      </c>
      <c r="G806" t="s">
        <v>20</v>
      </c>
      <c r="H806" t="s">
        <v>21</v>
      </c>
      <c r="I806">
        <v>24</v>
      </c>
      <c r="J806" s="2">
        <v>12146</v>
      </c>
      <c r="K806" t="s">
        <v>22</v>
      </c>
      <c r="L806">
        <v>1</v>
      </c>
      <c r="M806">
        <v>3</v>
      </c>
      <c r="N806">
        <v>5</v>
      </c>
      <c r="O806">
        <v>5</v>
      </c>
      <c r="P806">
        <v>27</v>
      </c>
      <c r="Q806" t="s">
        <v>22</v>
      </c>
      <c r="R806" t="str" cm="1">
        <f t="array" ref="R806">_xlfn.IFS(N806&lt;=1,"0-1 yrs",N806&lt;=4,"2-4 yrs",N806&lt;=9,"5-9 yrs",N806&gt;9,"10+ yrs")</f>
        <v>5-9 yrs</v>
      </c>
      <c r="S806" t="str" cm="1">
        <f t="array" ref="S806">_xlfn.IFS(B806&lt;=25,"20-25",B806&lt;=35,"26-35",B806&lt;=45,"36-45",B806&gt;45,"46+")</f>
        <v>46+</v>
      </c>
      <c r="T806" t="str" cm="1">
        <f t="array" ref="T806">_xlfn.IFS(J806&lt;3500,"&lt;3.5K",J806&lt;5500,"3.5-5.5K",J806&lt;7500,"5.5-7.5K",J806&gt;=7500,"7.5K+")</f>
        <v>7.5K+</v>
      </c>
      <c r="U806">
        <f t="shared" si="12"/>
        <v>0</v>
      </c>
    </row>
    <row r="807" spans="1:21" x14ac:dyDescent="0.25">
      <c r="A807">
        <v>1316</v>
      </c>
      <c r="B807">
        <v>35</v>
      </c>
      <c r="C807" t="s">
        <v>23</v>
      </c>
      <c r="D807" t="s">
        <v>27</v>
      </c>
      <c r="E807" t="s">
        <v>44</v>
      </c>
      <c r="F807" t="s">
        <v>32</v>
      </c>
      <c r="G807" t="s">
        <v>37</v>
      </c>
      <c r="H807" t="s">
        <v>30</v>
      </c>
      <c r="I807">
        <v>6</v>
      </c>
      <c r="J807" s="2">
        <v>5340</v>
      </c>
      <c r="K807" t="s">
        <v>22</v>
      </c>
      <c r="L807">
        <v>2</v>
      </c>
      <c r="M807">
        <v>4</v>
      </c>
      <c r="N807">
        <v>0</v>
      </c>
      <c r="O807">
        <v>0</v>
      </c>
      <c r="P807">
        <v>1</v>
      </c>
      <c r="Q807" t="s">
        <v>22</v>
      </c>
      <c r="R807" t="str" cm="1">
        <f t="array" ref="R807">_xlfn.IFS(N807&lt;=1,"0-1 yrs",N807&lt;=4,"2-4 yrs",N807&lt;=9,"5-9 yrs",N807&gt;9,"10+ yrs")</f>
        <v>0-1 yrs</v>
      </c>
      <c r="S807" t="str" cm="1">
        <f t="array" ref="S807">_xlfn.IFS(B807&lt;=25,"20-25",B807&lt;=35,"26-35",B807&lt;=45,"36-45",B807&gt;45,"46+")</f>
        <v>26-35</v>
      </c>
      <c r="T807" t="str" cm="1">
        <f t="array" ref="T807">_xlfn.IFS(J807&lt;3500,"&lt;3.5K",J807&lt;5500,"3.5-5.5K",J807&lt;7500,"5.5-7.5K",J807&gt;=7500,"7.5K+")</f>
        <v>3.5-5.5K</v>
      </c>
      <c r="U807">
        <f t="shared" si="12"/>
        <v>0</v>
      </c>
    </row>
    <row r="808" spans="1:21" x14ac:dyDescent="0.25">
      <c r="A808">
        <v>1335</v>
      </c>
      <c r="B808">
        <v>44</v>
      </c>
      <c r="C808" t="s">
        <v>16</v>
      </c>
      <c r="D808" t="s">
        <v>17</v>
      </c>
      <c r="E808" t="s">
        <v>18</v>
      </c>
      <c r="F808" t="s">
        <v>19</v>
      </c>
      <c r="G808" t="s">
        <v>37</v>
      </c>
      <c r="H808" t="s">
        <v>21</v>
      </c>
      <c r="I808">
        <v>6</v>
      </c>
      <c r="J808" s="2">
        <v>12525</v>
      </c>
      <c r="K808" t="s">
        <v>42</v>
      </c>
      <c r="L808">
        <v>3</v>
      </c>
      <c r="M808">
        <v>4</v>
      </c>
      <c r="N808">
        <v>1</v>
      </c>
      <c r="O808">
        <v>1</v>
      </c>
      <c r="P808">
        <v>18</v>
      </c>
      <c r="Q808" t="s">
        <v>22</v>
      </c>
      <c r="R808" t="str" cm="1">
        <f t="array" ref="R808">_xlfn.IFS(N808&lt;=1,"0-1 yrs",N808&lt;=4,"2-4 yrs",N808&lt;=9,"5-9 yrs",N808&gt;9,"10+ yrs")</f>
        <v>0-1 yrs</v>
      </c>
      <c r="S808" t="str" cm="1">
        <f t="array" ref="S808">_xlfn.IFS(B808&lt;=25,"20-25",B808&lt;=35,"26-35",B808&lt;=45,"36-45",B808&gt;45,"46+")</f>
        <v>36-45</v>
      </c>
      <c r="T808" t="str" cm="1">
        <f t="array" ref="T808">_xlfn.IFS(J808&lt;3500,"&lt;3.5K",J808&lt;5500,"3.5-5.5K",J808&lt;7500,"5.5-7.5K",J808&gt;=7500,"7.5K+")</f>
        <v>7.5K+</v>
      </c>
      <c r="U808">
        <f t="shared" si="12"/>
        <v>0</v>
      </c>
    </row>
    <row r="809" spans="1:21" x14ac:dyDescent="0.25">
      <c r="A809">
        <v>1549</v>
      </c>
      <c r="B809">
        <v>36</v>
      </c>
      <c r="C809" t="s">
        <v>16</v>
      </c>
      <c r="D809" t="s">
        <v>27</v>
      </c>
      <c r="E809" t="s">
        <v>44</v>
      </c>
      <c r="F809" t="s">
        <v>68</v>
      </c>
      <c r="G809" t="s">
        <v>37</v>
      </c>
      <c r="H809" t="s">
        <v>21</v>
      </c>
      <c r="I809">
        <v>20</v>
      </c>
      <c r="J809" s="2">
        <v>9845</v>
      </c>
      <c r="K809" t="s">
        <v>22</v>
      </c>
      <c r="L809">
        <v>2</v>
      </c>
      <c r="M809">
        <v>1</v>
      </c>
      <c r="N809">
        <v>5</v>
      </c>
      <c r="O809">
        <v>0</v>
      </c>
      <c r="P809">
        <v>12</v>
      </c>
      <c r="Q809" t="s">
        <v>22</v>
      </c>
      <c r="R809" t="str" cm="1">
        <f t="array" ref="R809">_xlfn.IFS(N809&lt;=1,"0-1 yrs",N809&lt;=4,"2-4 yrs",N809&lt;=9,"5-9 yrs",N809&gt;9,"10+ yrs")</f>
        <v>5-9 yrs</v>
      </c>
      <c r="S809" t="str" cm="1">
        <f t="array" ref="S809">_xlfn.IFS(B809&lt;=25,"20-25",B809&lt;=35,"26-35",B809&lt;=45,"36-45",B809&gt;45,"46+")</f>
        <v>36-45</v>
      </c>
      <c r="T809" t="str" cm="1">
        <f t="array" ref="T809">_xlfn.IFS(J809&lt;3500,"&lt;3.5K",J809&lt;5500,"3.5-5.5K",J809&lt;7500,"5.5-7.5K",J809&gt;=7500,"7.5K+")</f>
        <v>7.5K+</v>
      </c>
      <c r="U809">
        <f t="shared" si="12"/>
        <v>0</v>
      </c>
    </row>
    <row r="810" spans="1:21" x14ac:dyDescent="0.25">
      <c r="A810">
        <v>1922</v>
      </c>
      <c r="B810">
        <v>59</v>
      </c>
      <c r="C810" t="s">
        <v>16</v>
      </c>
      <c r="D810" t="s">
        <v>24</v>
      </c>
      <c r="E810" t="s">
        <v>52</v>
      </c>
      <c r="F810" t="s">
        <v>19</v>
      </c>
      <c r="G810" t="s">
        <v>33</v>
      </c>
      <c r="H810" t="s">
        <v>34</v>
      </c>
      <c r="I810">
        <v>3</v>
      </c>
      <c r="J810" s="2">
        <v>11030</v>
      </c>
      <c r="K810" t="s">
        <v>22</v>
      </c>
      <c r="L810">
        <v>4</v>
      </c>
      <c r="M810">
        <v>1</v>
      </c>
      <c r="N810">
        <v>21</v>
      </c>
      <c r="O810">
        <v>17</v>
      </c>
      <c r="P810">
        <v>39</v>
      </c>
      <c r="Q810" t="s">
        <v>22</v>
      </c>
      <c r="R810" t="str" cm="1">
        <f t="array" ref="R810">_xlfn.IFS(N810&lt;=1,"0-1 yrs",N810&lt;=4,"2-4 yrs",N810&lt;=9,"5-9 yrs",N810&gt;9,"10+ yrs")</f>
        <v>10+ yrs</v>
      </c>
      <c r="S810" t="str" cm="1">
        <f t="array" ref="S810">_xlfn.IFS(B810&lt;=25,"20-25",B810&lt;=35,"26-35",B810&lt;=45,"36-45",B810&gt;45,"46+")</f>
        <v>46+</v>
      </c>
      <c r="T810" t="str" cm="1">
        <f t="array" ref="T810">_xlfn.IFS(J810&lt;3500,"&lt;3.5K",J810&lt;5500,"3.5-5.5K",J810&lt;7500,"5.5-7.5K",J810&gt;=7500,"7.5K+")</f>
        <v>7.5K+</v>
      </c>
      <c r="U810">
        <f t="shared" si="12"/>
        <v>0</v>
      </c>
    </row>
    <row r="811" spans="1:21" x14ac:dyDescent="0.25">
      <c r="A811">
        <v>1350</v>
      </c>
      <c r="B811">
        <v>35</v>
      </c>
      <c r="C811" t="s">
        <v>23</v>
      </c>
      <c r="D811" t="s">
        <v>38</v>
      </c>
      <c r="E811" t="s">
        <v>39</v>
      </c>
      <c r="F811" t="s">
        <v>19</v>
      </c>
      <c r="G811" t="s">
        <v>37</v>
      </c>
      <c r="H811" t="s">
        <v>30</v>
      </c>
      <c r="I811">
        <v>12</v>
      </c>
      <c r="J811" s="2">
        <v>8554</v>
      </c>
      <c r="K811" t="s">
        <v>22</v>
      </c>
      <c r="L811">
        <v>1</v>
      </c>
      <c r="M811">
        <v>4</v>
      </c>
      <c r="N811">
        <v>10</v>
      </c>
      <c r="O811">
        <v>10</v>
      </c>
      <c r="P811">
        <v>15</v>
      </c>
      <c r="Q811" t="s">
        <v>42</v>
      </c>
      <c r="R811" t="str" cm="1">
        <f t="array" ref="R811">_xlfn.IFS(N811&lt;=1,"0-1 yrs",N811&lt;=4,"2-4 yrs",N811&lt;=9,"5-9 yrs",N811&gt;9,"10+ yrs")</f>
        <v>10+ yrs</v>
      </c>
      <c r="S811" t="str" cm="1">
        <f t="array" ref="S811">_xlfn.IFS(B811&lt;=25,"20-25",B811&lt;=35,"26-35",B811&lt;=45,"36-45",B811&gt;45,"46+")</f>
        <v>26-35</v>
      </c>
      <c r="T811" t="str" cm="1">
        <f t="array" ref="T811">_xlfn.IFS(J811&lt;3500,"&lt;3.5K",J811&lt;5500,"3.5-5.5K",J811&lt;7500,"5.5-7.5K",J811&gt;=7500,"7.5K+")</f>
        <v>7.5K+</v>
      </c>
      <c r="U811">
        <f t="shared" si="12"/>
        <v>1</v>
      </c>
    </row>
    <row r="812" spans="1:21" x14ac:dyDescent="0.25">
      <c r="A812">
        <v>1666</v>
      </c>
      <c r="B812">
        <v>53</v>
      </c>
      <c r="C812" t="s">
        <v>23</v>
      </c>
      <c r="D812" t="s">
        <v>51</v>
      </c>
      <c r="E812" t="s">
        <v>45</v>
      </c>
      <c r="F812" t="s">
        <v>29</v>
      </c>
      <c r="G812" t="s">
        <v>20</v>
      </c>
      <c r="H812" t="s">
        <v>34</v>
      </c>
      <c r="I812">
        <v>28</v>
      </c>
      <c r="J812" s="2">
        <v>8548</v>
      </c>
      <c r="K812" t="s">
        <v>42</v>
      </c>
      <c r="L812">
        <v>3</v>
      </c>
      <c r="M812">
        <v>1</v>
      </c>
      <c r="N812">
        <v>7</v>
      </c>
      <c r="O812">
        <v>1</v>
      </c>
      <c r="P812">
        <v>22</v>
      </c>
      <c r="Q812" t="s">
        <v>42</v>
      </c>
      <c r="R812" t="str" cm="1">
        <f t="array" ref="R812">_xlfn.IFS(N812&lt;=1,"0-1 yrs",N812&lt;=4,"2-4 yrs",N812&lt;=9,"5-9 yrs",N812&gt;9,"10+ yrs")</f>
        <v>5-9 yrs</v>
      </c>
      <c r="S812" t="str" cm="1">
        <f t="array" ref="S812">_xlfn.IFS(B812&lt;=25,"20-25",B812&lt;=35,"26-35",B812&lt;=45,"36-45",B812&gt;45,"46+")</f>
        <v>46+</v>
      </c>
      <c r="T812" t="str" cm="1">
        <f t="array" ref="T812">_xlfn.IFS(J812&lt;3500,"&lt;3.5K",J812&lt;5500,"3.5-5.5K",J812&lt;7500,"5.5-7.5K",J812&gt;=7500,"7.5K+")</f>
        <v>7.5K+</v>
      </c>
      <c r="U812">
        <f t="shared" si="12"/>
        <v>1</v>
      </c>
    </row>
    <row r="813" spans="1:21" x14ac:dyDescent="0.25">
      <c r="A813">
        <v>1476</v>
      </c>
      <c r="B813">
        <v>21</v>
      </c>
      <c r="C813" t="s">
        <v>23</v>
      </c>
      <c r="D813" t="s">
        <v>47</v>
      </c>
      <c r="E813" t="s">
        <v>50</v>
      </c>
      <c r="F813" t="s">
        <v>26</v>
      </c>
      <c r="G813" t="s">
        <v>37</v>
      </c>
      <c r="H813" t="s">
        <v>34</v>
      </c>
      <c r="I813">
        <v>29</v>
      </c>
      <c r="J813" s="2">
        <v>7095</v>
      </c>
      <c r="K813" t="s">
        <v>22</v>
      </c>
      <c r="L813">
        <v>4</v>
      </c>
      <c r="M813">
        <v>3</v>
      </c>
      <c r="N813">
        <v>1</v>
      </c>
      <c r="O813">
        <v>1</v>
      </c>
      <c r="P813">
        <v>1</v>
      </c>
      <c r="Q813" t="s">
        <v>42</v>
      </c>
      <c r="R813" t="str" cm="1">
        <f t="array" ref="R813">_xlfn.IFS(N813&lt;=1,"0-1 yrs",N813&lt;=4,"2-4 yrs",N813&lt;=9,"5-9 yrs",N813&gt;9,"10+ yrs")</f>
        <v>0-1 yrs</v>
      </c>
      <c r="S813" t="str" cm="1">
        <f t="array" ref="S813">_xlfn.IFS(B813&lt;=25,"20-25",B813&lt;=35,"26-35",B813&lt;=45,"36-45",B813&gt;45,"46+")</f>
        <v>20-25</v>
      </c>
      <c r="T813" t="str" cm="1">
        <f t="array" ref="T813">_xlfn.IFS(J813&lt;3500,"&lt;3.5K",J813&lt;5500,"3.5-5.5K",J813&lt;7500,"5.5-7.5K",J813&gt;=7500,"7.5K+")</f>
        <v>5.5-7.5K</v>
      </c>
      <c r="U813">
        <f t="shared" si="12"/>
        <v>1</v>
      </c>
    </row>
    <row r="814" spans="1:21" x14ac:dyDescent="0.25">
      <c r="A814">
        <v>1288</v>
      </c>
      <c r="B814">
        <v>54</v>
      </c>
      <c r="C814" t="s">
        <v>23</v>
      </c>
      <c r="D814" t="s">
        <v>27</v>
      </c>
      <c r="E814" t="s">
        <v>43</v>
      </c>
      <c r="F814" t="s">
        <v>29</v>
      </c>
      <c r="G814" t="s">
        <v>33</v>
      </c>
      <c r="H814" t="s">
        <v>34</v>
      </c>
      <c r="I814">
        <v>19</v>
      </c>
      <c r="J814" s="2">
        <v>14009</v>
      </c>
      <c r="K814" t="s">
        <v>22</v>
      </c>
      <c r="L814">
        <v>1</v>
      </c>
      <c r="M814">
        <v>1</v>
      </c>
      <c r="N814">
        <v>20</v>
      </c>
      <c r="O814">
        <v>2</v>
      </c>
      <c r="P814">
        <v>32</v>
      </c>
      <c r="Q814" t="s">
        <v>22</v>
      </c>
      <c r="R814" t="str" cm="1">
        <f t="array" ref="R814">_xlfn.IFS(N814&lt;=1,"0-1 yrs",N814&lt;=4,"2-4 yrs",N814&lt;=9,"5-9 yrs",N814&gt;9,"10+ yrs")</f>
        <v>10+ yrs</v>
      </c>
      <c r="S814" t="str" cm="1">
        <f t="array" ref="S814">_xlfn.IFS(B814&lt;=25,"20-25",B814&lt;=35,"26-35",B814&lt;=45,"36-45",B814&gt;45,"46+")</f>
        <v>46+</v>
      </c>
      <c r="T814" t="str" cm="1">
        <f t="array" ref="T814">_xlfn.IFS(J814&lt;3500,"&lt;3.5K",J814&lt;5500,"3.5-5.5K",J814&lt;7500,"5.5-7.5K",J814&gt;=7500,"7.5K+")</f>
        <v>7.5K+</v>
      </c>
      <c r="U814">
        <f t="shared" si="12"/>
        <v>0</v>
      </c>
    </row>
    <row r="815" spans="1:21" x14ac:dyDescent="0.25">
      <c r="A815">
        <v>1403</v>
      </c>
      <c r="B815">
        <v>59</v>
      </c>
      <c r="C815" t="s">
        <v>16</v>
      </c>
      <c r="D815" t="s">
        <v>38</v>
      </c>
      <c r="E815" t="s">
        <v>49</v>
      </c>
      <c r="F815" t="s">
        <v>38</v>
      </c>
      <c r="G815" t="s">
        <v>37</v>
      </c>
      <c r="H815" t="s">
        <v>34</v>
      </c>
      <c r="I815">
        <v>13</v>
      </c>
      <c r="J815" s="2">
        <v>13956</v>
      </c>
      <c r="K815" t="s">
        <v>22</v>
      </c>
      <c r="L815">
        <v>1</v>
      </c>
      <c r="M815">
        <v>3</v>
      </c>
      <c r="N815">
        <v>10</v>
      </c>
      <c r="O815">
        <v>4</v>
      </c>
      <c r="P815">
        <v>39</v>
      </c>
      <c r="Q815" t="s">
        <v>22</v>
      </c>
      <c r="R815" t="str" cm="1">
        <f t="array" ref="R815">_xlfn.IFS(N815&lt;=1,"0-1 yrs",N815&lt;=4,"2-4 yrs",N815&lt;=9,"5-9 yrs",N815&gt;9,"10+ yrs")</f>
        <v>10+ yrs</v>
      </c>
      <c r="S815" t="str" cm="1">
        <f t="array" ref="S815">_xlfn.IFS(B815&lt;=25,"20-25",B815&lt;=35,"26-35",B815&lt;=45,"36-45",B815&gt;45,"46+")</f>
        <v>46+</v>
      </c>
      <c r="T815" t="str" cm="1">
        <f t="array" ref="T815">_xlfn.IFS(J815&lt;3500,"&lt;3.5K",J815&lt;5500,"3.5-5.5K",J815&lt;7500,"5.5-7.5K",J815&gt;=7500,"7.5K+")</f>
        <v>7.5K+</v>
      </c>
      <c r="U815">
        <f t="shared" si="12"/>
        <v>0</v>
      </c>
    </row>
    <row r="816" spans="1:21" x14ac:dyDescent="0.25">
      <c r="A816">
        <v>1285</v>
      </c>
      <c r="B816">
        <v>26</v>
      </c>
      <c r="C816" t="s">
        <v>23</v>
      </c>
      <c r="D816" t="s">
        <v>27</v>
      </c>
      <c r="E816" t="s">
        <v>44</v>
      </c>
      <c r="F816" t="s">
        <v>19</v>
      </c>
      <c r="G816" t="s">
        <v>20</v>
      </c>
      <c r="H816" t="s">
        <v>21</v>
      </c>
      <c r="I816">
        <v>3</v>
      </c>
      <c r="J816" s="2">
        <v>8565</v>
      </c>
      <c r="K816" t="s">
        <v>22</v>
      </c>
      <c r="L816">
        <v>2</v>
      </c>
      <c r="M816">
        <v>1</v>
      </c>
      <c r="N816">
        <v>2</v>
      </c>
      <c r="O816">
        <v>1</v>
      </c>
      <c r="P816">
        <v>4</v>
      </c>
      <c r="Q816" t="s">
        <v>22</v>
      </c>
      <c r="R816" t="str" cm="1">
        <f t="array" ref="R816">_xlfn.IFS(N816&lt;=1,"0-1 yrs",N816&lt;=4,"2-4 yrs",N816&lt;=9,"5-9 yrs",N816&gt;9,"10+ yrs")</f>
        <v>2-4 yrs</v>
      </c>
      <c r="S816" t="str" cm="1">
        <f t="array" ref="S816">_xlfn.IFS(B816&lt;=25,"20-25",B816&lt;=35,"26-35",B816&lt;=45,"36-45",B816&gt;45,"46+")</f>
        <v>26-35</v>
      </c>
      <c r="T816" t="str" cm="1">
        <f t="array" ref="T816">_xlfn.IFS(J816&lt;3500,"&lt;3.5K",J816&lt;5500,"3.5-5.5K",J816&lt;7500,"5.5-7.5K",J816&gt;=7500,"7.5K+")</f>
        <v>7.5K+</v>
      </c>
      <c r="U816">
        <f t="shared" si="12"/>
        <v>0</v>
      </c>
    </row>
    <row r="817" spans="1:21" x14ac:dyDescent="0.25">
      <c r="A817">
        <v>1379</v>
      </c>
      <c r="B817">
        <v>52</v>
      </c>
      <c r="C817" t="s">
        <v>23</v>
      </c>
      <c r="D817" t="s">
        <v>47</v>
      </c>
      <c r="E817" t="s">
        <v>50</v>
      </c>
      <c r="F817" t="s">
        <v>19</v>
      </c>
      <c r="G817" t="s">
        <v>33</v>
      </c>
      <c r="H817" t="s">
        <v>34</v>
      </c>
      <c r="I817">
        <v>17</v>
      </c>
      <c r="J817" s="2">
        <v>11910</v>
      </c>
      <c r="K817" t="s">
        <v>22</v>
      </c>
      <c r="L817">
        <v>3</v>
      </c>
      <c r="M817">
        <v>4</v>
      </c>
      <c r="N817">
        <v>16</v>
      </c>
      <c r="O817">
        <v>4</v>
      </c>
      <c r="P817">
        <v>32</v>
      </c>
      <c r="Q817" t="s">
        <v>22</v>
      </c>
      <c r="R817" t="str" cm="1">
        <f t="array" ref="R817">_xlfn.IFS(N817&lt;=1,"0-1 yrs",N817&lt;=4,"2-4 yrs",N817&lt;=9,"5-9 yrs",N817&gt;9,"10+ yrs")</f>
        <v>10+ yrs</v>
      </c>
      <c r="S817" t="str" cm="1">
        <f t="array" ref="S817">_xlfn.IFS(B817&lt;=25,"20-25",B817&lt;=35,"26-35",B817&lt;=45,"36-45",B817&gt;45,"46+")</f>
        <v>46+</v>
      </c>
      <c r="T817" t="str" cm="1">
        <f t="array" ref="T817">_xlfn.IFS(J817&lt;3500,"&lt;3.5K",J817&lt;5500,"3.5-5.5K",J817&lt;7500,"5.5-7.5K",J817&gt;=7500,"7.5K+")</f>
        <v>7.5K+</v>
      </c>
      <c r="U817">
        <f t="shared" si="12"/>
        <v>0</v>
      </c>
    </row>
    <row r="818" spans="1:21" x14ac:dyDescent="0.25">
      <c r="A818">
        <v>1944</v>
      </c>
      <c r="B818">
        <v>26</v>
      </c>
      <c r="C818" t="s">
        <v>23</v>
      </c>
      <c r="D818" t="s">
        <v>38</v>
      </c>
      <c r="E818" t="s">
        <v>39</v>
      </c>
      <c r="F818" t="s">
        <v>38</v>
      </c>
      <c r="G818" t="s">
        <v>33</v>
      </c>
      <c r="H818" t="s">
        <v>34</v>
      </c>
      <c r="I818">
        <v>29</v>
      </c>
      <c r="J818" s="2">
        <v>4583</v>
      </c>
      <c r="K818" t="s">
        <v>22</v>
      </c>
      <c r="L818">
        <v>3</v>
      </c>
      <c r="M818">
        <v>1</v>
      </c>
      <c r="N818">
        <v>0</v>
      </c>
      <c r="O818">
        <v>0</v>
      </c>
      <c r="P818">
        <v>2</v>
      </c>
      <c r="Q818" t="s">
        <v>22</v>
      </c>
      <c r="R818" t="str" cm="1">
        <f t="array" ref="R818">_xlfn.IFS(N818&lt;=1,"0-1 yrs",N818&lt;=4,"2-4 yrs",N818&lt;=9,"5-9 yrs",N818&gt;9,"10+ yrs")</f>
        <v>0-1 yrs</v>
      </c>
      <c r="S818" t="str" cm="1">
        <f t="array" ref="S818">_xlfn.IFS(B818&lt;=25,"20-25",B818&lt;=35,"26-35",B818&lt;=45,"36-45",B818&gt;45,"46+")</f>
        <v>26-35</v>
      </c>
      <c r="T818" t="str" cm="1">
        <f t="array" ref="T818">_xlfn.IFS(J818&lt;3500,"&lt;3.5K",J818&lt;5500,"3.5-5.5K",J818&lt;7500,"5.5-7.5K",J818&gt;=7500,"7.5K+")</f>
        <v>3.5-5.5K</v>
      </c>
      <c r="U818">
        <f t="shared" si="12"/>
        <v>0</v>
      </c>
    </row>
    <row r="819" spans="1:21" x14ac:dyDescent="0.25">
      <c r="A819">
        <v>1657</v>
      </c>
      <c r="B819">
        <v>31</v>
      </c>
      <c r="C819" t="s">
        <v>23</v>
      </c>
      <c r="D819" t="s">
        <v>17</v>
      </c>
      <c r="E819" t="s">
        <v>40</v>
      </c>
      <c r="F819" t="s">
        <v>36</v>
      </c>
      <c r="G819" t="s">
        <v>37</v>
      </c>
      <c r="H819" t="s">
        <v>30</v>
      </c>
      <c r="I819">
        <v>21</v>
      </c>
      <c r="J819" s="2">
        <v>5054</v>
      </c>
      <c r="K819" t="s">
        <v>42</v>
      </c>
      <c r="L819">
        <v>1</v>
      </c>
      <c r="M819">
        <v>4</v>
      </c>
      <c r="N819">
        <v>3</v>
      </c>
      <c r="O819">
        <v>0</v>
      </c>
      <c r="P819">
        <v>10</v>
      </c>
      <c r="Q819" t="s">
        <v>22</v>
      </c>
      <c r="R819" t="str" cm="1">
        <f t="array" ref="R819">_xlfn.IFS(N819&lt;=1,"0-1 yrs",N819&lt;=4,"2-4 yrs",N819&lt;=9,"5-9 yrs",N819&gt;9,"10+ yrs")</f>
        <v>2-4 yrs</v>
      </c>
      <c r="S819" t="str" cm="1">
        <f t="array" ref="S819">_xlfn.IFS(B819&lt;=25,"20-25",B819&lt;=35,"26-35",B819&lt;=45,"36-45",B819&gt;45,"46+")</f>
        <v>26-35</v>
      </c>
      <c r="T819" t="str" cm="1">
        <f t="array" ref="T819">_xlfn.IFS(J819&lt;3500,"&lt;3.5K",J819&lt;5500,"3.5-5.5K",J819&lt;7500,"5.5-7.5K",J819&gt;=7500,"7.5K+")</f>
        <v>3.5-5.5K</v>
      </c>
      <c r="U819">
        <f t="shared" si="12"/>
        <v>0</v>
      </c>
    </row>
    <row r="820" spans="1:21" x14ac:dyDescent="0.25">
      <c r="A820">
        <v>1839</v>
      </c>
      <c r="B820">
        <v>57</v>
      </c>
      <c r="C820" t="s">
        <v>16</v>
      </c>
      <c r="D820" t="s">
        <v>38</v>
      </c>
      <c r="E820" t="s">
        <v>49</v>
      </c>
      <c r="F820" t="s">
        <v>32</v>
      </c>
      <c r="G820" t="s">
        <v>20</v>
      </c>
      <c r="H820" t="s">
        <v>30</v>
      </c>
      <c r="I820">
        <v>12</v>
      </c>
      <c r="J820" s="2">
        <v>14059</v>
      </c>
      <c r="K820" t="s">
        <v>22</v>
      </c>
      <c r="L820">
        <v>1</v>
      </c>
      <c r="M820">
        <v>3</v>
      </c>
      <c r="N820">
        <v>17</v>
      </c>
      <c r="O820">
        <v>12</v>
      </c>
      <c r="P820">
        <v>27</v>
      </c>
      <c r="Q820" t="s">
        <v>22</v>
      </c>
      <c r="R820" t="str" cm="1">
        <f t="array" ref="R820">_xlfn.IFS(N820&lt;=1,"0-1 yrs",N820&lt;=4,"2-4 yrs",N820&lt;=9,"5-9 yrs",N820&gt;9,"10+ yrs")</f>
        <v>10+ yrs</v>
      </c>
      <c r="S820" t="str" cm="1">
        <f t="array" ref="S820">_xlfn.IFS(B820&lt;=25,"20-25",B820&lt;=35,"26-35",B820&lt;=45,"36-45",B820&gt;45,"46+")</f>
        <v>46+</v>
      </c>
      <c r="T820" t="str" cm="1">
        <f t="array" ref="T820">_xlfn.IFS(J820&lt;3500,"&lt;3.5K",J820&lt;5500,"3.5-5.5K",J820&lt;7500,"5.5-7.5K",J820&gt;=7500,"7.5K+")</f>
        <v>7.5K+</v>
      </c>
      <c r="U820">
        <f t="shared" si="12"/>
        <v>0</v>
      </c>
    </row>
    <row r="821" spans="1:21" x14ac:dyDescent="0.25">
      <c r="A821">
        <v>1896</v>
      </c>
      <c r="B821">
        <v>45</v>
      </c>
      <c r="C821" t="s">
        <v>23</v>
      </c>
      <c r="D821" t="s">
        <v>27</v>
      </c>
      <c r="E821" t="s">
        <v>28</v>
      </c>
      <c r="F821" t="s">
        <v>29</v>
      </c>
      <c r="G821" t="s">
        <v>37</v>
      </c>
      <c r="H821" t="s">
        <v>34</v>
      </c>
      <c r="I821">
        <v>4</v>
      </c>
      <c r="J821" s="2">
        <v>12084</v>
      </c>
      <c r="K821" t="s">
        <v>22</v>
      </c>
      <c r="L821">
        <v>3</v>
      </c>
      <c r="M821">
        <v>2</v>
      </c>
      <c r="N821">
        <v>11</v>
      </c>
      <c r="O821">
        <v>1</v>
      </c>
      <c r="P821">
        <v>17</v>
      </c>
      <c r="Q821" t="s">
        <v>22</v>
      </c>
      <c r="R821" t="str" cm="1">
        <f t="array" ref="R821">_xlfn.IFS(N821&lt;=1,"0-1 yrs",N821&lt;=4,"2-4 yrs",N821&lt;=9,"5-9 yrs",N821&gt;9,"10+ yrs")</f>
        <v>10+ yrs</v>
      </c>
      <c r="S821" t="str" cm="1">
        <f t="array" ref="S821">_xlfn.IFS(B821&lt;=25,"20-25",B821&lt;=35,"26-35",B821&lt;=45,"36-45",B821&gt;45,"46+")</f>
        <v>36-45</v>
      </c>
      <c r="T821" t="str" cm="1">
        <f t="array" ref="T821">_xlfn.IFS(J821&lt;3500,"&lt;3.5K",J821&lt;5500,"3.5-5.5K",J821&lt;7500,"5.5-7.5K",J821&gt;=7500,"7.5K+")</f>
        <v>7.5K+</v>
      </c>
      <c r="U821">
        <f t="shared" si="12"/>
        <v>0</v>
      </c>
    </row>
    <row r="822" spans="1:21" x14ac:dyDescent="0.25">
      <c r="A822">
        <v>1796</v>
      </c>
      <c r="B822">
        <v>45</v>
      </c>
      <c r="C822" t="s">
        <v>16</v>
      </c>
      <c r="D822" t="s">
        <v>47</v>
      </c>
      <c r="E822" t="s">
        <v>53</v>
      </c>
      <c r="F822" t="s">
        <v>41</v>
      </c>
      <c r="G822" t="s">
        <v>37</v>
      </c>
      <c r="H822" t="s">
        <v>34</v>
      </c>
      <c r="I822">
        <v>8</v>
      </c>
      <c r="J822" s="2">
        <v>13186</v>
      </c>
      <c r="K822" t="s">
        <v>22</v>
      </c>
      <c r="L822">
        <v>2</v>
      </c>
      <c r="M822">
        <v>1</v>
      </c>
      <c r="N822">
        <v>22</v>
      </c>
      <c r="O822">
        <v>3</v>
      </c>
      <c r="P822">
        <v>25</v>
      </c>
      <c r="Q822" t="s">
        <v>22</v>
      </c>
      <c r="R822" t="str" cm="1">
        <f t="array" ref="R822">_xlfn.IFS(N822&lt;=1,"0-1 yrs",N822&lt;=4,"2-4 yrs",N822&lt;=9,"5-9 yrs",N822&gt;9,"10+ yrs")</f>
        <v>10+ yrs</v>
      </c>
      <c r="S822" t="str" cm="1">
        <f t="array" ref="S822">_xlfn.IFS(B822&lt;=25,"20-25",B822&lt;=35,"26-35",B822&lt;=45,"36-45",B822&gt;45,"46+")</f>
        <v>36-45</v>
      </c>
      <c r="T822" t="str" cm="1">
        <f t="array" ref="T822">_xlfn.IFS(J822&lt;3500,"&lt;3.5K",J822&lt;5500,"3.5-5.5K",J822&lt;7500,"5.5-7.5K",J822&gt;=7500,"7.5K+")</f>
        <v>7.5K+</v>
      </c>
      <c r="U822">
        <f t="shared" si="12"/>
        <v>0</v>
      </c>
    </row>
    <row r="823" spans="1:21" x14ac:dyDescent="0.25">
      <c r="A823">
        <v>1722</v>
      </c>
      <c r="B823">
        <v>31</v>
      </c>
      <c r="C823" t="s">
        <v>16</v>
      </c>
      <c r="D823" t="s">
        <v>27</v>
      </c>
      <c r="E823" t="s">
        <v>43</v>
      </c>
      <c r="F823" t="s">
        <v>32</v>
      </c>
      <c r="G823" t="s">
        <v>37</v>
      </c>
      <c r="H823" t="s">
        <v>34</v>
      </c>
      <c r="I823">
        <v>9</v>
      </c>
      <c r="J823" s="2">
        <v>8161</v>
      </c>
      <c r="K823" t="s">
        <v>42</v>
      </c>
      <c r="L823">
        <v>4</v>
      </c>
      <c r="M823">
        <v>3</v>
      </c>
      <c r="N823">
        <v>0</v>
      </c>
      <c r="O823">
        <v>0</v>
      </c>
      <c r="P823">
        <v>4</v>
      </c>
      <c r="Q823" t="s">
        <v>22</v>
      </c>
      <c r="R823" t="str" cm="1">
        <f t="array" ref="R823">_xlfn.IFS(N823&lt;=1,"0-1 yrs",N823&lt;=4,"2-4 yrs",N823&lt;=9,"5-9 yrs",N823&gt;9,"10+ yrs")</f>
        <v>0-1 yrs</v>
      </c>
      <c r="S823" t="str" cm="1">
        <f t="array" ref="S823">_xlfn.IFS(B823&lt;=25,"20-25",B823&lt;=35,"26-35",B823&lt;=45,"36-45",B823&gt;45,"46+")</f>
        <v>26-35</v>
      </c>
      <c r="T823" t="str" cm="1">
        <f t="array" ref="T823">_xlfn.IFS(J823&lt;3500,"&lt;3.5K",J823&lt;5500,"3.5-5.5K",J823&lt;7500,"5.5-7.5K",J823&gt;=7500,"7.5K+")</f>
        <v>7.5K+</v>
      </c>
      <c r="U823">
        <f t="shared" si="12"/>
        <v>0</v>
      </c>
    </row>
    <row r="824" spans="1:21" x14ac:dyDescent="0.25">
      <c r="A824">
        <v>1087</v>
      </c>
      <c r="B824">
        <v>42</v>
      </c>
      <c r="C824" t="s">
        <v>16</v>
      </c>
      <c r="D824" t="s">
        <v>27</v>
      </c>
      <c r="E824" t="s">
        <v>31</v>
      </c>
      <c r="F824" t="s">
        <v>32</v>
      </c>
      <c r="G824" t="s">
        <v>20</v>
      </c>
      <c r="H824" t="s">
        <v>34</v>
      </c>
      <c r="I824">
        <v>20</v>
      </c>
      <c r="J824" s="2">
        <v>9107</v>
      </c>
      <c r="K824" t="s">
        <v>42</v>
      </c>
      <c r="L824">
        <v>3</v>
      </c>
      <c r="M824">
        <v>1</v>
      </c>
      <c r="N824">
        <v>10</v>
      </c>
      <c r="O824">
        <v>9</v>
      </c>
      <c r="P824">
        <v>14</v>
      </c>
      <c r="Q824" t="s">
        <v>42</v>
      </c>
      <c r="R824" t="str" cm="1">
        <f t="array" ref="R824">_xlfn.IFS(N824&lt;=1,"0-1 yrs",N824&lt;=4,"2-4 yrs",N824&lt;=9,"5-9 yrs",N824&gt;9,"10+ yrs")</f>
        <v>10+ yrs</v>
      </c>
      <c r="S824" t="str" cm="1">
        <f t="array" ref="S824">_xlfn.IFS(B824&lt;=25,"20-25",B824&lt;=35,"26-35",B824&lt;=45,"36-45",B824&gt;45,"46+")</f>
        <v>36-45</v>
      </c>
      <c r="T824" t="str" cm="1">
        <f t="array" ref="T824">_xlfn.IFS(J824&lt;3500,"&lt;3.5K",J824&lt;5500,"3.5-5.5K",J824&lt;7500,"5.5-7.5K",J824&gt;=7500,"7.5K+")</f>
        <v>7.5K+</v>
      </c>
      <c r="U824">
        <f t="shared" si="12"/>
        <v>1</v>
      </c>
    </row>
    <row r="825" spans="1:21" x14ac:dyDescent="0.25">
      <c r="A825">
        <v>1576</v>
      </c>
      <c r="B825">
        <v>45</v>
      </c>
      <c r="C825" t="s">
        <v>23</v>
      </c>
      <c r="D825" t="s">
        <v>24</v>
      </c>
      <c r="E825" t="s">
        <v>25</v>
      </c>
      <c r="F825" t="s">
        <v>29</v>
      </c>
      <c r="G825" t="s">
        <v>33</v>
      </c>
      <c r="H825" t="s">
        <v>21</v>
      </c>
      <c r="I825">
        <v>22</v>
      </c>
      <c r="J825" s="2">
        <v>9956</v>
      </c>
      <c r="K825" t="s">
        <v>22</v>
      </c>
      <c r="L825">
        <v>2</v>
      </c>
      <c r="M825">
        <v>4</v>
      </c>
      <c r="N825">
        <v>2</v>
      </c>
      <c r="O825">
        <v>1</v>
      </c>
      <c r="P825">
        <v>14</v>
      </c>
      <c r="Q825" t="s">
        <v>22</v>
      </c>
      <c r="R825" t="str" cm="1">
        <f t="array" ref="R825">_xlfn.IFS(N825&lt;=1,"0-1 yrs",N825&lt;=4,"2-4 yrs",N825&lt;=9,"5-9 yrs",N825&gt;9,"10+ yrs")</f>
        <v>2-4 yrs</v>
      </c>
      <c r="S825" t="str" cm="1">
        <f t="array" ref="S825">_xlfn.IFS(B825&lt;=25,"20-25",B825&lt;=35,"26-35",B825&lt;=45,"36-45",B825&gt;45,"46+")</f>
        <v>36-45</v>
      </c>
      <c r="T825" t="str" cm="1">
        <f t="array" ref="T825">_xlfn.IFS(J825&lt;3500,"&lt;3.5K",J825&lt;5500,"3.5-5.5K",J825&lt;7500,"5.5-7.5K",J825&gt;=7500,"7.5K+")</f>
        <v>7.5K+</v>
      </c>
      <c r="U825">
        <f t="shared" si="12"/>
        <v>0</v>
      </c>
    </row>
    <row r="826" spans="1:21" x14ac:dyDescent="0.25">
      <c r="A826">
        <v>1068</v>
      </c>
      <c r="B826">
        <v>51</v>
      </c>
      <c r="C826" t="s">
        <v>16</v>
      </c>
      <c r="D826" t="s">
        <v>47</v>
      </c>
      <c r="E826" t="s">
        <v>53</v>
      </c>
      <c r="F826" t="s">
        <v>26</v>
      </c>
      <c r="G826" t="s">
        <v>37</v>
      </c>
      <c r="H826" t="s">
        <v>30</v>
      </c>
      <c r="I826">
        <v>22</v>
      </c>
      <c r="J826" s="2">
        <v>12356</v>
      </c>
      <c r="K826" t="s">
        <v>22</v>
      </c>
      <c r="L826">
        <v>2</v>
      </c>
      <c r="M826">
        <v>2</v>
      </c>
      <c r="N826">
        <v>24</v>
      </c>
      <c r="O826">
        <v>7</v>
      </c>
      <c r="P826">
        <v>31</v>
      </c>
      <c r="Q826" t="s">
        <v>22</v>
      </c>
      <c r="R826" t="str" cm="1">
        <f t="array" ref="R826">_xlfn.IFS(N826&lt;=1,"0-1 yrs",N826&lt;=4,"2-4 yrs",N826&lt;=9,"5-9 yrs",N826&gt;9,"10+ yrs")</f>
        <v>10+ yrs</v>
      </c>
      <c r="S826" t="str" cm="1">
        <f t="array" ref="S826">_xlfn.IFS(B826&lt;=25,"20-25",B826&lt;=35,"26-35",B826&lt;=45,"36-45",B826&gt;45,"46+")</f>
        <v>46+</v>
      </c>
      <c r="T826" t="str" cm="1">
        <f t="array" ref="T826">_xlfn.IFS(J826&lt;3500,"&lt;3.5K",J826&lt;5500,"3.5-5.5K",J826&lt;7500,"5.5-7.5K",J826&gt;=7500,"7.5K+")</f>
        <v>7.5K+</v>
      </c>
      <c r="U826">
        <f t="shared" si="12"/>
        <v>0</v>
      </c>
    </row>
    <row r="827" spans="1:21" x14ac:dyDescent="0.25">
      <c r="A827">
        <v>1428</v>
      </c>
      <c r="B827">
        <v>46</v>
      </c>
      <c r="C827" t="s">
        <v>23</v>
      </c>
      <c r="D827" t="s">
        <v>17</v>
      </c>
      <c r="E827" t="s">
        <v>40</v>
      </c>
      <c r="F827" t="s">
        <v>26</v>
      </c>
      <c r="G827" t="s">
        <v>37</v>
      </c>
      <c r="H827" t="s">
        <v>30</v>
      </c>
      <c r="I827">
        <v>6</v>
      </c>
      <c r="J827" s="2">
        <v>9288</v>
      </c>
      <c r="K827" t="s">
        <v>22</v>
      </c>
      <c r="L827">
        <v>1</v>
      </c>
      <c r="M827">
        <v>4</v>
      </c>
      <c r="N827">
        <v>9</v>
      </c>
      <c r="O827">
        <v>3</v>
      </c>
      <c r="P827">
        <v>24</v>
      </c>
      <c r="Q827" t="s">
        <v>22</v>
      </c>
      <c r="R827" t="str" cm="1">
        <f t="array" ref="R827">_xlfn.IFS(N827&lt;=1,"0-1 yrs",N827&lt;=4,"2-4 yrs",N827&lt;=9,"5-9 yrs",N827&gt;9,"10+ yrs")</f>
        <v>5-9 yrs</v>
      </c>
      <c r="S827" t="str" cm="1">
        <f t="array" ref="S827">_xlfn.IFS(B827&lt;=25,"20-25",B827&lt;=35,"26-35",B827&lt;=45,"36-45",B827&gt;45,"46+")</f>
        <v>46+</v>
      </c>
      <c r="T827" t="str" cm="1">
        <f t="array" ref="T827">_xlfn.IFS(J827&lt;3500,"&lt;3.5K",J827&lt;5500,"3.5-5.5K",J827&lt;7500,"5.5-7.5K",J827&gt;=7500,"7.5K+")</f>
        <v>7.5K+</v>
      </c>
      <c r="U827">
        <f t="shared" si="12"/>
        <v>0</v>
      </c>
    </row>
    <row r="828" spans="1:21" x14ac:dyDescent="0.25">
      <c r="A828">
        <v>1032</v>
      </c>
      <c r="B828">
        <v>35</v>
      </c>
      <c r="C828" t="s">
        <v>16</v>
      </c>
      <c r="D828" t="s">
        <v>17</v>
      </c>
      <c r="E828" t="s">
        <v>40</v>
      </c>
      <c r="F828" t="s">
        <v>38</v>
      </c>
      <c r="G828" t="s">
        <v>33</v>
      </c>
      <c r="H828" t="s">
        <v>34</v>
      </c>
      <c r="I828">
        <v>8</v>
      </c>
      <c r="J828" s="2">
        <v>7706</v>
      </c>
      <c r="K828" t="s">
        <v>22</v>
      </c>
      <c r="L828">
        <v>2</v>
      </c>
      <c r="M828">
        <v>4</v>
      </c>
      <c r="N828">
        <v>2</v>
      </c>
      <c r="O828">
        <v>1</v>
      </c>
      <c r="P828">
        <v>15</v>
      </c>
      <c r="Q828" t="s">
        <v>22</v>
      </c>
      <c r="R828" t="str" cm="1">
        <f t="array" ref="R828">_xlfn.IFS(N828&lt;=1,"0-1 yrs",N828&lt;=4,"2-4 yrs",N828&lt;=9,"5-9 yrs",N828&gt;9,"10+ yrs")</f>
        <v>2-4 yrs</v>
      </c>
      <c r="S828" t="str" cm="1">
        <f t="array" ref="S828">_xlfn.IFS(B828&lt;=25,"20-25",B828&lt;=35,"26-35",B828&lt;=45,"36-45",B828&gt;45,"46+")</f>
        <v>26-35</v>
      </c>
      <c r="T828" t="str" cm="1">
        <f t="array" ref="T828">_xlfn.IFS(J828&lt;3500,"&lt;3.5K",J828&lt;5500,"3.5-5.5K",J828&lt;7500,"5.5-7.5K",J828&gt;=7500,"7.5K+")</f>
        <v>7.5K+</v>
      </c>
      <c r="U828">
        <f t="shared" si="12"/>
        <v>0</v>
      </c>
    </row>
    <row r="829" spans="1:21" x14ac:dyDescent="0.25">
      <c r="A829">
        <v>1615</v>
      </c>
      <c r="B829">
        <v>34</v>
      </c>
      <c r="C829" t="s">
        <v>16</v>
      </c>
      <c r="D829" t="s">
        <v>27</v>
      </c>
      <c r="E829" t="s">
        <v>43</v>
      </c>
      <c r="F829" t="s">
        <v>41</v>
      </c>
      <c r="G829" t="s">
        <v>37</v>
      </c>
      <c r="H829" t="s">
        <v>21</v>
      </c>
      <c r="I829">
        <v>18</v>
      </c>
      <c r="J829" s="2">
        <v>7282</v>
      </c>
      <c r="K829" t="s">
        <v>22</v>
      </c>
      <c r="L829">
        <v>3</v>
      </c>
      <c r="M829">
        <v>2</v>
      </c>
      <c r="N829">
        <v>2</v>
      </c>
      <c r="O829">
        <v>1</v>
      </c>
      <c r="P829">
        <v>9</v>
      </c>
      <c r="Q829" t="s">
        <v>22</v>
      </c>
      <c r="R829" t="str" cm="1">
        <f t="array" ref="R829">_xlfn.IFS(N829&lt;=1,"0-1 yrs",N829&lt;=4,"2-4 yrs",N829&lt;=9,"5-9 yrs",N829&gt;9,"10+ yrs")</f>
        <v>2-4 yrs</v>
      </c>
      <c r="S829" t="str" cm="1">
        <f t="array" ref="S829">_xlfn.IFS(B829&lt;=25,"20-25",B829&lt;=35,"26-35",B829&lt;=45,"36-45",B829&gt;45,"46+")</f>
        <v>26-35</v>
      </c>
      <c r="T829" t="str" cm="1">
        <f t="array" ref="T829">_xlfn.IFS(J829&lt;3500,"&lt;3.5K",J829&lt;5500,"3.5-5.5K",J829&lt;7500,"5.5-7.5K",J829&gt;=7500,"7.5K+")</f>
        <v>5.5-7.5K</v>
      </c>
      <c r="U829">
        <f t="shared" si="12"/>
        <v>0</v>
      </c>
    </row>
    <row r="830" spans="1:21" x14ac:dyDescent="0.25">
      <c r="A830">
        <v>1444</v>
      </c>
      <c r="B830">
        <v>50</v>
      </c>
      <c r="C830" t="s">
        <v>16</v>
      </c>
      <c r="D830" t="s">
        <v>17</v>
      </c>
      <c r="E830" t="s">
        <v>35</v>
      </c>
      <c r="F830" t="s">
        <v>29</v>
      </c>
      <c r="G830" t="s">
        <v>20</v>
      </c>
      <c r="H830" t="s">
        <v>30</v>
      </c>
      <c r="I830">
        <v>9</v>
      </c>
      <c r="J830" s="2">
        <v>10475</v>
      </c>
      <c r="K830" t="s">
        <v>22</v>
      </c>
      <c r="L830">
        <v>1</v>
      </c>
      <c r="M830">
        <v>1</v>
      </c>
      <c r="N830">
        <v>10</v>
      </c>
      <c r="O830">
        <v>1</v>
      </c>
      <c r="P830">
        <v>30</v>
      </c>
      <c r="Q830" t="s">
        <v>22</v>
      </c>
      <c r="R830" t="str" cm="1">
        <f t="array" ref="R830">_xlfn.IFS(N830&lt;=1,"0-1 yrs",N830&lt;=4,"2-4 yrs",N830&lt;=9,"5-9 yrs",N830&gt;9,"10+ yrs")</f>
        <v>10+ yrs</v>
      </c>
      <c r="S830" t="str" cm="1">
        <f t="array" ref="S830">_xlfn.IFS(B830&lt;=25,"20-25",B830&lt;=35,"26-35",B830&lt;=45,"36-45",B830&gt;45,"46+")</f>
        <v>46+</v>
      </c>
      <c r="T830" t="str" cm="1">
        <f t="array" ref="T830">_xlfn.IFS(J830&lt;3500,"&lt;3.5K",J830&lt;5500,"3.5-5.5K",J830&lt;7500,"5.5-7.5K",J830&gt;=7500,"7.5K+")</f>
        <v>7.5K+</v>
      </c>
      <c r="U830">
        <f t="shared" si="12"/>
        <v>0</v>
      </c>
    </row>
    <row r="831" spans="1:21" x14ac:dyDescent="0.25">
      <c r="A831">
        <v>1077</v>
      </c>
      <c r="B831">
        <v>36</v>
      </c>
      <c r="C831" t="s">
        <v>23</v>
      </c>
      <c r="D831" t="s">
        <v>47</v>
      </c>
      <c r="E831" t="s">
        <v>53</v>
      </c>
      <c r="F831" t="s">
        <v>36</v>
      </c>
      <c r="G831" t="s">
        <v>33</v>
      </c>
      <c r="H831" t="s">
        <v>21</v>
      </c>
      <c r="I831">
        <v>8</v>
      </c>
      <c r="J831" s="2">
        <v>10915</v>
      </c>
      <c r="K831" t="s">
        <v>22</v>
      </c>
      <c r="L831">
        <v>1</v>
      </c>
      <c r="M831">
        <v>3</v>
      </c>
      <c r="N831">
        <v>0</v>
      </c>
      <c r="O831">
        <v>0</v>
      </c>
      <c r="P831">
        <v>12</v>
      </c>
      <c r="Q831" t="s">
        <v>22</v>
      </c>
      <c r="R831" t="str" cm="1">
        <f t="array" ref="R831">_xlfn.IFS(N831&lt;=1,"0-1 yrs",N831&lt;=4,"2-4 yrs",N831&lt;=9,"5-9 yrs",N831&gt;9,"10+ yrs")</f>
        <v>0-1 yrs</v>
      </c>
      <c r="S831" t="str" cm="1">
        <f t="array" ref="S831">_xlfn.IFS(B831&lt;=25,"20-25",B831&lt;=35,"26-35",B831&lt;=45,"36-45",B831&gt;45,"46+")</f>
        <v>36-45</v>
      </c>
      <c r="T831" t="str" cm="1">
        <f t="array" ref="T831">_xlfn.IFS(J831&lt;3500,"&lt;3.5K",J831&lt;5500,"3.5-5.5K",J831&lt;7500,"5.5-7.5K",J831&gt;=7500,"7.5K+")</f>
        <v>7.5K+</v>
      </c>
      <c r="U831">
        <f t="shared" si="12"/>
        <v>0</v>
      </c>
    </row>
    <row r="832" spans="1:21" x14ac:dyDescent="0.25">
      <c r="A832">
        <v>1792</v>
      </c>
      <c r="B832">
        <v>21</v>
      </c>
      <c r="C832" t="s">
        <v>16</v>
      </c>
      <c r="D832" t="s">
        <v>47</v>
      </c>
      <c r="E832" t="s">
        <v>48</v>
      </c>
      <c r="F832" t="s">
        <v>38</v>
      </c>
      <c r="G832" t="s">
        <v>37</v>
      </c>
      <c r="H832" t="s">
        <v>34</v>
      </c>
      <c r="I832">
        <v>10</v>
      </c>
      <c r="J832" s="2">
        <v>4188</v>
      </c>
      <c r="K832" t="s">
        <v>42</v>
      </c>
      <c r="L832">
        <v>4</v>
      </c>
      <c r="M832">
        <v>1</v>
      </c>
      <c r="N832">
        <v>0</v>
      </c>
      <c r="O832">
        <v>0</v>
      </c>
      <c r="P832">
        <v>0</v>
      </c>
      <c r="Q832" t="s">
        <v>42</v>
      </c>
      <c r="R832" t="str" cm="1">
        <f t="array" ref="R832">_xlfn.IFS(N832&lt;=1,"0-1 yrs",N832&lt;=4,"2-4 yrs",N832&lt;=9,"5-9 yrs",N832&gt;9,"10+ yrs")</f>
        <v>0-1 yrs</v>
      </c>
      <c r="S832" t="str" cm="1">
        <f t="array" ref="S832">_xlfn.IFS(B832&lt;=25,"20-25",B832&lt;=35,"26-35",B832&lt;=45,"36-45",B832&gt;45,"46+")</f>
        <v>20-25</v>
      </c>
      <c r="T832" t="str" cm="1">
        <f t="array" ref="T832">_xlfn.IFS(J832&lt;3500,"&lt;3.5K",J832&lt;5500,"3.5-5.5K",J832&lt;7500,"5.5-7.5K",J832&gt;=7500,"7.5K+")</f>
        <v>3.5-5.5K</v>
      </c>
      <c r="U832">
        <f t="shared" si="12"/>
        <v>1</v>
      </c>
    </row>
    <row r="833" spans="1:21" x14ac:dyDescent="0.25">
      <c r="A833">
        <v>1510</v>
      </c>
      <c r="B833">
        <v>50</v>
      </c>
      <c r="C833" t="s">
        <v>16</v>
      </c>
      <c r="D833" t="s">
        <v>47</v>
      </c>
      <c r="E833" t="s">
        <v>50</v>
      </c>
      <c r="F833" t="s">
        <v>19</v>
      </c>
      <c r="G833" t="s">
        <v>20</v>
      </c>
      <c r="H833" t="s">
        <v>34</v>
      </c>
      <c r="I833">
        <v>24</v>
      </c>
      <c r="J833" s="2">
        <v>12610</v>
      </c>
      <c r="K833" t="s">
        <v>42</v>
      </c>
      <c r="L833">
        <v>4</v>
      </c>
      <c r="M833">
        <v>1</v>
      </c>
      <c r="N833">
        <v>20</v>
      </c>
      <c r="O833">
        <v>11</v>
      </c>
      <c r="P833">
        <v>30</v>
      </c>
      <c r="Q833" t="s">
        <v>42</v>
      </c>
      <c r="R833" t="str" cm="1">
        <f t="array" ref="R833">_xlfn.IFS(N833&lt;=1,"0-1 yrs",N833&lt;=4,"2-4 yrs",N833&lt;=9,"5-9 yrs",N833&gt;9,"10+ yrs")</f>
        <v>10+ yrs</v>
      </c>
      <c r="S833" t="str" cm="1">
        <f t="array" ref="S833">_xlfn.IFS(B833&lt;=25,"20-25",B833&lt;=35,"26-35",B833&lt;=45,"36-45",B833&gt;45,"46+")</f>
        <v>46+</v>
      </c>
      <c r="T833" t="str" cm="1">
        <f t="array" ref="T833">_xlfn.IFS(J833&lt;3500,"&lt;3.5K",J833&lt;5500,"3.5-5.5K",J833&lt;7500,"5.5-7.5K",J833&gt;=7500,"7.5K+")</f>
        <v>7.5K+</v>
      </c>
      <c r="U833">
        <f t="shared" si="12"/>
        <v>1</v>
      </c>
    </row>
    <row r="834" spans="1:21" x14ac:dyDescent="0.25">
      <c r="A834">
        <v>1295</v>
      </c>
      <c r="B834">
        <v>35</v>
      </c>
      <c r="C834" t="s">
        <v>23</v>
      </c>
      <c r="D834" t="s">
        <v>27</v>
      </c>
      <c r="E834" t="s">
        <v>31</v>
      </c>
      <c r="F834" t="s">
        <v>41</v>
      </c>
      <c r="G834" t="s">
        <v>37</v>
      </c>
      <c r="H834" t="s">
        <v>30</v>
      </c>
      <c r="I834">
        <v>6</v>
      </c>
      <c r="J834" s="2">
        <v>9289</v>
      </c>
      <c r="K834" t="s">
        <v>42</v>
      </c>
      <c r="L834">
        <v>2</v>
      </c>
      <c r="M834">
        <v>1</v>
      </c>
      <c r="N834">
        <v>5</v>
      </c>
      <c r="O834">
        <v>1</v>
      </c>
      <c r="P834">
        <v>15</v>
      </c>
      <c r="Q834" t="s">
        <v>22</v>
      </c>
      <c r="R834" t="str" cm="1">
        <f t="array" ref="R834">_xlfn.IFS(N834&lt;=1,"0-1 yrs",N834&lt;=4,"2-4 yrs",N834&lt;=9,"5-9 yrs",N834&gt;9,"10+ yrs")</f>
        <v>5-9 yrs</v>
      </c>
      <c r="S834" t="str" cm="1">
        <f t="array" ref="S834">_xlfn.IFS(B834&lt;=25,"20-25",B834&lt;=35,"26-35",B834&lt;=45,"36-45",B834&gt;45,"46+")</f>
        <v>26-35</v>
      </c>
      <c r="T834" t="str" cm="1">
        <f t="array" ref="T834">_xlfn.IFS(J834&lt;3500,"&lt;3.5K",J834&lt;5500,"3.5-5.5K",J834&lt;7500,"5.5-7.5K",J834&gt;=7500,"7.5K+")</f>
        <v>7.5K+</v>
      </c>
      <c r="U834">
        <f t="shared" si="12"/>
        <v>0</v>
      </c>
    </row>
    <row r="835" spans="1:21" x14ac:dyDescent="0.25">
      <c r="A835">
        <v>1534</v>
      </c>
      <c r="B835">
        <v>54</v>
      </c>
      <c r="C835" t="s">
        <v>23</v>
      </c>
      <c r="D835" t="s">
        <v>17</v>
      </c>
      <c r="E835" t="s">
        <v>40</v>
      </c>
      <c r="F835" t="s">
        <v>19</v>
      </c>
      <c r="G835" t="s">
        <v>33</v>
      </c>
      <c r="H835" t="s">
        <v>34</v>
      </c>
      <c r="I835">
        <v>2</v>
      </c>
      <c r="J835" s="2">
        <v>11459</v>
      </c>
      <c r="K835" t="s">
        <v>22</v>
      </c>
      <c r="L835">
        <v>3</v>
      </c>
      <c r="M835">
        <v>4</v>
      </c>
      <c r="N835">
        <v>8</v>
      </c>
      <c r="O835">
        <v>1</v>
      </c>
      <c r="P835">
        <v>31</v>
      </c>
      <c r="Q835" t="s">
        <v>22</v>
      </c>
      <c r="R835" t="str" cm="1">
        <f t="array" ref="R835">_xlfn.IFS(N835&lt;=1,"0-1 yrs",N835&lt;=4,"2-4 yrs",N835&lt;=9,"5-9 yrs",N835&gt;9,"10+ yrs")</f>
        <v>5-9 yrs</v>
      </c>
      <c r="S835" t="str" cm="1">
        <f t="array" ref="S835">_xlfn.IFS(B835&lt;=25,"20-25",B835&lt;=35,"26-35",B835&lt;=45,"36-45",B835&gt;45,"46+")</f>
        <v>46+</v>
      </c>
      <c r="T835" t="str" cm="1">
        <f t="array" ref="T835">_xlfn.IFS(J835&lt;3500,"&lt;3.5K",J835&lt;5500,"3.5-5.5K",J835&lt;7500,"5.5-7.5K",J835&gt;=7500,"7.5K+")</f>
        <v>7.5K+</v>
      </c>
      <c r="U835">
        <f t="shared" ref="U835:U898" si="13">IF(Q835="Yes",1,0)</f>
        <v>0</v>
      </c>
    </row>
    <row r="836" spans="1:21" x14ac:dyDescent="0.25">
      <c r="A836">
        <v>1614</v>
      </c>
      <c r="B836">
        <v>52</v>
      </c>
      <c r="C836" t="s">
        <v>16</v>
      </c>
      <c r="D836" t="s">
        <v>38</v>
      </c>
      <c r="E836" t="s">
        <v>49</v>
      </c>
      <c r="F836" t="s">
        <v>26</v>
      </c>
      <c r="G836" t="s">
        <v>20</v>
      </c>
      <c r="H836" t="s">
        <v>34</v>
      </c>
      <c r="I836">
        <v>13</v>
      </c>
      <c r="J836" s="2">
        <v>13656</v>
      </c>
      <c r="K836" t="s">
        <v>22</v>
      </c>
      <c r="L836">
        <v>2</v>
      </c>
      <c r="M836">
        <v>4</v>
      </c>
      <c r="N836">
        <v>22</v>
      </c>
      <c r="O836">
        <v>18</v>
      </c>
      <c r="P836">
        <v>30</v>
      </c>
      <c r="Q836" t="s">
        <v>42</v>
      </c>
      <c r="R836" t="str" cm="1">
        <f t="array" ref="R836">_xlfn.IFS(N836&lt;=1,"0-1 yrs",N836&lt;=4,"2-4 yrs",N836&lt;=9,"5-9 yrs",N836&gt;9,"10+ yrs")</f>
        <v>10+ yrs</v>
      </c>
      <c r="S836" t="str" cm="1">
        <f t="array" ref="S836">_xlfn.IFS(B836&lt;=25,"20-25",B836&lt;=35,"26-35",B836&lt;=45,"36-45",B836&gt;45,"46+")</f>
        <v>46+</v>
      </c>
      <c r="T836" t="str" cm="1">
        <f t="array" ref="T836">_xlfn.IFS(J836&lt;3500,"&lt;3.5K",J836&lt;5500,"3.5-5.5K",J836&lt;7500,"5.5-7.5K",J836&gt;=7500,"7.5K+")</f>
        <v>7.5K+</v>
      </c>
      <c r="U836">
        <f t="shared" si="13"/>
        <v>1</v>
      </c>
    </row>
    <row r="837" spans="1:21" x14ac:dyDescent="0.25">
      <c r="A837">
        <v>1248</v>
      </c>
      <c r="B837">
        <v>33</v>
      </c>
      <c r="C837" t="s">
        <v>23</v>
      </c>
      <c r="D837" t="s">
        <v>17</v>
      </c>
      <c r="E837" t="s">
        <v>35</v>
      </c>
      <c r="F837" t="s">
        <v>41</v>
      </c>
      <c r="G837" t="s">
        <v>20</v>
      </c>
      <c r="H837" t="s">
        <v>34</v>
      </c>
      <c r="I837">
        <v>13</v>
      </c>
      <c r="J837" s="2">
        <v>5971</v>
      </c>
      <c r="K837" t="s">
        <v>22</v>
      </c>
      <c r="L837">
        <v>2</v>
      </c>
      <c r="M837">
        <v>4</v>
      </c>
      <c r="N837">
        <v>2</v>
      </c>
      <c r="O837">
        <v>1</v>
      </c>
      <c r="P837">
        <v>9</v>
      </c>
      <c r="Q837" t="s">
        <v>22</v>
      </c>
      <c r="R837" t="str" cm="1">
        <f t="array" ref="R837">_xlfn.IFS(N837&lt;=1,"0-1 yrs",N837&lt;=4,"2-4 yrs",N837&lt;=9,"5-9 yrs",N837&gt;9,"10+ yrs")</f>
        <v>2-4 yrs</v>
      </c>
      <c r="S837" t="str" cm="1">
        <f t="array" ref="S837">_xlfn.IFS(B837&lt;=25,"20-25",B837&lt;=35,"26-35",B837&lt;=45,"36-45",B837&gt;45,"46+")</f>
        <v>26-35</v>
      </c>
      <c r="T837" t="str" cm="1">
        <f t="array" ref="T837">_xlfn.IFS(J837&lt;3500,"&lt;3.5K",J837&lt;5500,"3.5-5.5K",J837&lt;7500,"5.5-7.5K",J837&gt;=7500,"7.5K+")</f>
        <v>5.5-7.5K</v>
      </c>
      <c r="U837">
        <f t="shared" si="13"/>
        <v>0</v>
      </c>
    </row>
    <row r="838" spans="1:21" x14ac:dyDescent="0.25">
      <c r="A838">
        <v>1162</v>
      </c>
      <c r="B838">
        <v>53</v>
      </c>
      <c r="C838" t="s">
        <v>16</v>
      </c>
      <c r="D838" t="s">
        <v>47</v>
      </c>
      <c r="E838" t="s">
        <v>48</v>
      </c>
      <c r="F838" t="s">
        <v>29</v>
      </c>
      <c r="G838" t="s">
        <v>37</v>
      </c>
      <c r="H838" t="s">
        <v>30</v>
      </c>
      <c r="I838">
        <v>22</v>
      </c>
      <c r="J838" s="2">
        <v>11167</v>
      </c>
      <c r="K838" t="s">
        <v>22</v>
      </c>
      <c r="L838">
        <v>3</v>
      </c>
      <c r="M838">
        <v>1</v>
      </c>
      <c r="N838">
        <v>22</v>
      </c>
      <c r="O838">
        <v>18</v>
      </c>
      <c r="P838">
        <v>32</v>
      </c>
      <c r="Q838" t="s">
        <v>22</v>
      </c>
      <c r="R838" t="str" cm="1">
        <f t="array" ref="R838">_xlfn.IFS(N838&lt;=1,"0-1 yrs",N838&lt;=4,"2-4 yrs",N838&lt;=9,"5-9 yrs",N838&gt;9,"10+ yrs")</f>
        <v>10+ yrs</v>
      </c>
      <c r="S838" t="str" cm="1">
        <f t="array" ref="S838">_xlfn.IFS(B838&lt;=25,"20-25",B838&lt;=35,"26-35",B838&lt;=45,"36-45",B838&gt;45,"46+")</f>
        <v>46+</v>
      </c>
      <c r="T838" t="str" cm="1">
        <f t="array" ref="T838">_xlfn.IFS(J838&lt;3500,"&lt;3.5K",J838&lt;5500,"3.5-5.5K",J838&lt;7500,"5.5-7.5K",J838&gt;=7500,"7.5K+")</f>
        <v>7.5K+</v>
      </c>
      <c r="U838">
        <f t="shared" si="13"/>
        <v>0</v>
      </c>
    </row>
    <row r="839" spans="1:21" x14ac:dyDescent="0.25">
      <c r="A839">
        <v>1995</v>
      </c>
      <c r="B839">
        <v>43</v>
      </c>
      <c r="C839" t="s">
        <v>23</v>
      </c>
      <c r="D839" t="s">
        <v>24</v>
      </c>
      <c r="E839" t="s">
        <v>45</v>
      </c>
      <c r="F839" t="s">
        <v>38</v>
      </c>
      <c r="G839" t="s">
        <v>20</v>
      </c>
      <c r="H839" t="s">
        <v>21</v>
      </c>
      <c r="I839">
        <v>12</v>
      </c>
      <c r="J839" s="2">
        <v>10630</v>
      </c>
      <c r="K839" t="s">
        <v>22</v>
      </c>
      <c r="L839">
        <v>4</v>
      </c>
      <c r="M839">
        <v>1</v>
      </c>
      <c r="N839">
        <v>18</v>
      </c>
      <c r="O839">
        <v>15</v>
      </c>
      <c r="P839">
        <v>20</v>
      </c>
      <c r="Q839" t="s">
        <v>42</v>
      </c>
      <c r="R839" t="str" cm="1">
        <f t="array" ref="R839">_xlfn.IFS(N839&lt;=1,"0-1 yrs",N839&lt;=4,"2-4 yrs",N839&lt;=9,"5-9 yrs",N839&gt;9,"10+ yrs")</f>
        <v>10+ yrs</v>
      </c>
      <c r="S839" t="str" cm="1">
        <f t="array" ref="S839">_xlfn.IFS(B839&lt;=25,"20-25",B839&lt;=35,"26-35",B839&lt;=45,"36-45",B839&gt;45,"46+")</f>
        <v>36-45</v>
      </c>
      <c r="T839" t="str" cm="1">
        <f t="array" ref="T839">_xlfn.IFS(J839&lt;3500,"&lt;3.5K",J839&lt;5500,"3.5-5.5K",J839&lt;7500,"5.5-7.5K",J839&gt;=7500,"7.5K+")</f>
        <v>7.5K+</v>
      </c>
      <c r="U839">
        <f t="shared" si="13"/>
        <v>1</v>
      </c>
    </row>
    <row r="840" spans="1:21" x14ac:dyDescent="0.25">
      <c r="A840">
        <v>1774</v>
      </c>
      <c r="B840">
        <v>47</v>
      </c>
      <c r="C840" t="s">
        <v>16</v>
      </c>
      <c r="D840" t="s">
        <v>17</v>
      </c>
      <c r="E840" t="s">
        <v>40</v>
      </c>
      <c r="F840" t="s">
        <v>38</v>
      </c>
      <c r="G840" t="s">
        <v>20</v>
      </c>
      <c r="H840" t="s">
        <v>34</v>
      </c>
      <c r="I840">
        <v>23</v>
      </c>
      <c r="J840" s="2">
        <v>9826</v>
      </c>
      <c r="K840" t="s">
        <v>42</v>
      </c>
      <c r="L840">
        <v>4</v>
      </c>
      <c r="M840">
        <v>3</v>
      </c>
      <c r="N840">
        <v>2</v>
      </c>
      <c r="O840">
        <v>0</v>
      </c>
      <c r="P840">
        <v>25</v>
      </c>
      <c r="Q840" t="s">
        <v>22</v>
      </c>
      <c r="R840" t="str" cm="1">
        <f t="array" ref="R840">_xlfn.IFS(N840&lt;=1,"0-1 yrs",N840&lt;=4,"2-4 yrs",N840&lt;=9,"5-9 yrs",N840&gt;9,"10+ yrs")</f>
        <v>2-4 yrs</v>
      </c>
      <c r="S840" t="str" cm="1">
        <f t="array" ref="S840">_xlfn.IFS(B840&lt;=25,"20-25",B840&lt;=35,"26-35",B840&lt;=45,"36-45",B840&gt;45,"46+")</f>
        <v>46+</v>
      </c>
      <c r="T840" t="str" cm="1">
        <f t="array" ref="T840">_xlfn.IFS(J840&lt;3500,"&lt;3.5K",J840&lt;5500,"3.5-5.5K",J840&lt;7500,"5.5-7.5K",J840&gt;=7500,"7.5K+")</f>
        <v>7.5K+</v>
      </c>
      <c r="U840">
        <f t="shared" si="13"/>
        <v>0</v>
      </c>
    </row>
    <row r="841" spans="1:21" x14ac:dyDescent="0.25">
      <c r="A841">
        <v>1662</v>
      </c>
      <c r="B841">
        <v>43</v>
      </c>
      <c r="C841" t="s">
        <v>23</v>
      </c>
      <c r="D841" t="s">
        <v>38</v>
      </c>
      <c r="E841" t="s">
        <v>39</v>
      </c>
      <c r="F841" t="s">
        <v>38</v>
      </c>
      <c r="G841" t="s">
        <v>37</v>
      </c>
      <c r="H841" t="s">
        <v>21</v>
      </c>
      <c r="I841">
        <v>22</v>
      </c>
      <c r="J841" s="2">
        <v>7482</v>
      </c>
      <c r="K841" t="s">
        <v>22</v>
      </c>
      <c r="L841">
        <v>4</v>
      </c>
      <c r="M841">
        <v>3</v>
      </c>
      <c r="N841">
        <v>1</v>
      </c>
      <c r="O841">
        <v>0</v>
      </c>
      <c r="P841">
        <v>23</v>
      </c>
      <c r="Q841" t="s">
        <v>22</v>
      </c>
      <c r="R841" t="str" cm="1">
        <f t="array" ref="R841">_xlfn.IFS(N841&lt;=1,"0-1 yrs",N841&lt;=4,"2-4 yrs",N841&lt;=9,"5-9 yrs",N841&gt;9,"10+ yrs")</f>
        <v>0-1 yrs</v>
      </c>
      <c r="S841" t="str" cm="1">
        <f t="array" ref="S841">_xlfn.IFS(B841&lt;=25,"20-25",B841&lt;=35,"26-35",B841&lt;=45,"36-45",B841&gt;45,"46+")</f>
        <v>36-45</v>
      </c>
      <c r="T841" t="str" cm="1">
        <f t="array" ref="T841">_xlfn.IFS(J841&lt;3500,"&lt;3.5K",J841&lt;5500,"3.5-5.5K",J841&lt;7500,"5.5-7.5K",J841&gt;=7500,"7.5K+")</f>
        <v>5.5-7.5K</v>
      </c>
      <c r="U841">
        <f t="shared" si="13"/>
        <v>0</v>
      </c>
    </row>
    <row r="842" spans="1:21" x14ac:dyDescent="0.25">
      <c r="A842">
        <v>1872</v>
      </c>
      <c r="B842">
        <v>52</v>
      </c>
      <c r="C842" t="s">
        <v>16</v>
      </c>
      <c r="D842" t="s">
        <v>27</v>
      </c>
      <c r="E842" t="s">
        <v>31</v>
      </c>
      <c r="F842" t="s">
        <v>36</v>
      </c>
      <c r="G842" t="s">
        <v>37</v>
      </c>
      <c r="H842" t="s">
        <v>34</v>
      </c>
      <c r="I842">
        <v>24</v>
      </c>
      <c r="J842" s="2">
        <v>11530</v>
      </c>
      <c r="K842" t="s">
        <v>22</v>
      </c>
      <c r="L842">
        <v>3</v>
      </c>
      <c r="M842">
        <v>3</v>
      </c>
      <c r="N842">
        <v>1</v>
      </c>
      <c r="O842">
        <v>1</v>
      </c>
      <c r="P842">
        <v>23</v>
      </c>
      <c r="Q842" t="s">
        <v>42</v>
      </c>
      <c r="R842" t="str" cm="1">
        <f t="array" ref="R842">_xlfn.IFS(N842&lt;=1,"0-1 yrs",N842&lt;=4,"2-4 yrs",N842&lt;=9,"5-9 yrs",N842&gt;9,"10+ yrs")</f>
        <v>0-1 yrs</v>
      </c>
      <c r="S842" t="str" cm="1">
        <f t="array" ref="S842">_xlfn.IFS(B842&lt;=25,"20-25",B842&lt;=35,"26-35",B842&lt;=45,"36-45",B842&gt;45,"46+")</f>
        <v>46+</v>
      </c>
      <c r="T842" t="str" cm="1">
        <f t="array" ref="T842">_xlfn.IFS(J842&lt;3500,"&lt;3.5K",J842&lt;5500,"3.5-5.5K",J842&lt;7500,"5.5-7.5K",J842&gt;=7500,"7.5K+")</f>
        <v>7.5K+</v>
      </c>
      <c r="U842">
        <f t="shared" si="13"/>
        <v>1</v>
      </c>
    </row>
    <row r="843" spans="1:21" x14ac:dyDescent="0.25">
      <c r="A843">
        <v>1522</v>
      </c>
      <c r="B843">
        <v>60</v>
      </c>
      <c r="C843" t="s">
        <v>16</v>
      </c>
      <c r="D843" t="s">
        <v>24</v>
      </c>
      <c r="E843" t="s">
        <v>25</v>
      </c>
      <c r="F843" t="s">
        <v>36</v>
      </c>
      <c r="G843" t="s">
        <v>20</v>
      </c>
      <c r="H843" t="s">
        <v>21</v>
      </c>
      <c r="I843">
        <v>17</v>
      </c>
      <c r="J843" s="2">
        <v>15861</v>
      </c>
      <c r="K843" t="s">
        <v>22</v>
      </c>
      <c r="L843">
        <v>2</v>
      </c>
      <c r="M843">
        <v>3</v>
      </c>
      <c r="N843">
        <v>25</v>
      </c>
      <c r="O843">
        <v>17</v>
      </c>
      <c r="P843">
        <v>36</v>
      </c>
      <c r="Q843" t="s">
        <v>22</v>
      </c>
      <c r="R843" t="str" cm="1">
        <f t="array" ref="R843">_xlfn.IFS(N843&lt;=1,"0-1 yrs",N843&lt;=4,"2-4 yrs",N843&lt;=9,"5-9 yrs",N843&gt;9,"10+ yrs")</f>
        <v>10+ yrs</v>
      </c>
      <c r="S843" t="str" cm="1">
        <f t="array" ref="S843">_xlfn.IFS(B843&lt;=25,"20-25",B843&lt;=35,"26-35",B843&lt;=45,"36-45",B843&gt;45,"46+")</f>
        <v>46+</v>
      </c>
      <c r="T843" t="str" cm="1">
        <f t="array" ref="T843">_xlfn.IFS(J843&lt;3500,"&lt;3.5K",J843&lt;5500,"3.5-5.5K",J843&lt;7500,"5.5-7.5K",J843&gt;=7500,"7.5K+")</f>
        <v>7.5K+</v>
      </c>
      <c r="U843">
        <f t="shared" si="13"/>
        <v>0</v>
      </c>
    </row>
    <row r="844" spans="1:21" x14ac:dyDescent="0.25">
      <c r="A844">
        <v>1810</v>
      </c>
      <c r="B844">
        <v>57</v>
      </c>
      <c r="C844" t="s">
        <v>23</v>
      </c>
      <c r="D844" t="s">
        <v>24</v>
      </c>
      <c r="E844" t="s">
        <v>46</v>
      </c>
      <c r="F844" t="s">
        <v>36</v>
      </c>
      <c r="G844" t="s">
        <v>37</v>
      </c>
      <c r="H844" t="s">
        <v>30</v>
      </c>
      <c r="I844">
        <v>21</v>
      </c>
      <c r="J844" s="2">
        <v>11938</v>
      </c>
      <c r="K844" t="s">
        <v>22</v>
      </c>
      <c r="L844">
        <v>3</v>
      </c>
      <c r="M844">
        <v>1</v>
      </c>
      <c r="N844">
        <v>11</v>
      </c>
      <c r="O844">
        <v>4</v>
      </c>
      <c r="P844">
        <v>32</v>
      </c>
      <c r="Q844" t="s">
        <v>22</v>
      </c>
      <c r="R844" t="str" cm="1">
        <f t="array" ref="R844">_xlfn.IFS(N844&lt;=1,"0-1 yrs",N844&lt;=4,"2-4 yrs",N844&lt;=9,"5-9 yrs",N844&gt;9,"10+ yrs")</f>
        <v>10+ yrs</v>
      </c>
      <c r="S844" t="str" cm="1">
        <f t="array" ref="S844">_xlfn.IFS(B844&lt;=25,"20-25",B844&lt;=35,"26-35",B844&lt;=45,"36-45",B844&gt;45,"46+")</f>
        <v>46+</v>
      </c>
      <c r="T844" t="str" cm="1">
        <f t="array" ref="T844">_xlfn.IFS(J844&lt;3500,"&lt;3.5K",J844&lt;5500,"3.5-5.5K",J844&lt;7500,"5.5-7.5K",J844&gt;=7500,"7.5K+")</f>
        <v>7.5K+</v>
      </c>
      <c r="U844">
        <f t="shared" si="13"/>
        <v>0</v>
      </c>
    </row>
    <row r="845" spans="1:21" x14ac:dyDescent="0.25">
      <c r="A845">
        <v>1630</v>
      </c>
      <c r="B845">
        <v>55</v>
      </c>
      <c r="C845" t="s">
        <v>16</v>
      </c>
      <c r="D845" t="s">
        <v>24</v>
      </c>
      <c r="E845" t="s">
        <v>25</v>
      </c>
      <c r="F845" t="s">
        <v>26</v>
      </c>
      <c r="G845" t="s">
        <v>37</v>
      </c>
      <c r="H845" t="s">
        <v>30</v>
      </c>
      <c r="I845">
        <v>24</v>
      </c>
      <c r="J845" s="2">
        <v>15133</v>
      </c>
      <c r="K845" t="s">
        <v>22</v>
      </c>
      <c r="L845">
        <v>4</v>
      </c>
      <c r="M845">
        <v>2</v>
      </c>
      <c r="N845">
        <v>1</v>
      </c>
      <c r="O845">
        <v>0</v>
      </c>
      <c r="P845">
        <v>30</v>
      </c>
      <c r="Q845" t="s">
        <v>22</v>
      </c>
      <c r="R845" t="str" cm="1">
        <f t="array" ref="R845">_xlfn.IFS(N845&lt;=1,"0-1 yrs",N845&lt;=4,"2-4 yrs",N845&lt;=9,"5-9 yrs",N845&gt;9,"10+ yrs")</f>
        <v>0-1 yrs</v>
      </c>
      <c r="S845" t="str" cm="1">
        <f t="array" ref="S845">_xlfn.IFS(B845&lt;=25,"20-25",B845&lt;=35,"26-35",B845&lt;=45,"36-45",B845&gt;45,"46+")</f>
        <v>46+</v>
      </c>
      <c r="T845" t="str" cm="1">
        <f t="array" ref="T845">_xlfn.IFS(J845&lt;3500,"&lt;3.5K",J845&lt;5500,"3.5-5.5K",J845&lt;7500,"5.5-7.5K",J845&gt;=7500,"7.5K+")</f>
        <v>7.5K+</v>
      </c>
      <c r="U845">
        <f t="shared" si="13"/>
        <v>0</v>
      </c>
    </row>
    <row r="846" spans="1:21" x14ac:dyDescent="0.25">
      <c r="A846">
        <v>1908</v>
      </c>
      <c r="B846">
        <v>45</v>
      </c>
      <c r="C846" t="s">
        <v>16</v>
      </c>
      <c r="D846" t="s">
        <v>47</v>
      </c>
      <c r="E846" t="s">
        <v>53</v>
      </c>
      <c r="F846" t="s">
        <v>38</v>
      </c>
      <c r="G846" t="s">
        <v>20</v>
      </c>
      <c r="H846" t="s">
        <v>30</v>
      </c>
      <c r="I846">
        <v>4</v>
      </c>
      <c r="J846" s="2">
        <v>12730</v>
      </c>
      <c r="K846" t="s">
        <v>22</v>
      </c>
      <c r="L846">
        <v>4</v>
      </c>
      <c r="M846">
        <v>2</v>
      </c>
      <c r="N846">
        <v>10</v>
      </c>
      <c r="O846">
        <v>8</v>
      </c>
      <c r="P846">
        <v>22</v>
      </c>
      <c r="Q846" t="s">
        <v>22</v>
      </c>
      <c r="R846" t="str" cm="1">
        <f t="array" ref="R846">_xlfn.IFS(N846&lt;=1,"0-1 yrs",N846&lt;=4,"2-4 yrs",N846&lt;=9,"5-9 yrs",N846&gt;9,"10+ yrs")</f>
        <v>10+ yrs</v>
      </c>
      <c r="S846" t="str" cm="1">
        <f t="array" ref="S846">_xlfn.IFS(B846&lt;=25,"20-25",B846&lt;=35,"26-35",B846&lt;=45,"36-45",B846&gt;45,"46+")</f>
        <v>36-45</v>
      </c>
      <c r="T846" t="str" cm="1">
        <f t="array" ref="T846">_xlfn.IFS(J846&lt;3500,"&lt;3.5K",J846&lt;5500,"3.5-5.5K",J846&lt;7500,"5.5-7.5K",J846&gt;=7500,"7.5K+")</f>
        <v>7.5K+</v>
      </c>
      <c r="U846">
        <f t="shared" si="13"/>
        <v>0</v>
      </c>
    </row>
    <row r="847" spans="1:21" x14ac:dyDescent="0.25">
      <c r="A847">
        <v>1894</v>
      </c>
      <c r="B847">
        <v>47</v>
      </c>
      <c r="C847" t="s">
        <v>16</v>
      </c>
      <c r="D847" t="s">
        <v>17</v>
      </c>
      <c r="E847" t="s">
        <v>18</v>
      </c>
      <c r="F847" t="s">
        <v>19</v>
      </c>
      <c r="G847" t="s">
        <v>33</v>
      </c>
      <c r="H847" t="s">
        <v>34</v>
      </c>
      <c r="I847">
        <v>5</v>
      </c>
      <c r="J847" s="2">
        <v>12320</v>
      </c>
      <c r="K847" t="s">
        <v>22</v>
      </c>
      <c r="L847">
        <v>4</v>
      </c>
      <c r="M847">
        <v>4</v>
      </c>
      <c r="N847">
        <v>12</v>
      </c>
      <c r="O847">
        <v>4</v>
      </c>
      <c r="P847">
        <v>25</v>
      </c>
      <c r="Q847" t="s">
        <v>22</v>
      </c>
      <c r="R847" t="str" cm="1">
        <f t="array" ref="R847">_xlfn.IFS(N847&lt;=1,"0-1 yrs",N847&lt;=4,"2-4 yrs",N847&lt;=9,"5-9 yrs",N847&gt;9,"10+ yrs")</f>
        <v>10+ yrs</v>
      </c>
      <c r="S847" t="str" cm="1">
        <f t="array" ref="S847">_xlfn.IFS(B847&lt;=25,"20-25",B847&lt;=35,"26-35",B847&lt;=45,"36-45",B847&gt;45,"46+")</f>
        <v>46+</v>
      </c>
      <c r="T847" t="str" cm="1">
        <f t="array" ref="T847">_xlfn.IFS(J847&lt;3500,"&lt;3.5K",J847&lt;5500,"3.5-5.5K",J847&lt;7500,"5.5-7.5K",J847&gt;=7500,"7.5K+")</f>
        <v>7.5K+</v>
      </c>
      <c r="U847">
        <f t="shared" si="13"/>
        <v>0</v>
      </c>
    </row>
    <row r="848" spans="1:21" x14ac:dyDescent="0.25">
      <c r="A848">
        <v>1767</v>
      </c>
      <c r="B848">
        <v>56</v>
      </c>
      <c r="C848" t="s">
        <v>16</v>
      </c>
      <c r="D848" t="s">
        <v>17</v>
      </c>
      <c r="E848" t="s">
        <v>35</v>
      </c>
      <c r="F848" t="s">
        <v>19</v>
      </c>
      <c r="G848" t="s">
        <v>20</v>
      </c>
      <c r="H848" t="s">
        <v>30</v>
      </c>
      <c r="I848">
        <v>20</v>
      </c>
      <c r="J848" s="2">
        <v>11582</v>
      </c>
      <c r="K848" t="s">
        <v>42</v>
      </c>
      <c r="L848">
        <v>3</v>
      </c>
      <c r="M848">
        <v>2</v>
      </c>
      <c r="N848">
        <v>13</v>
      </c>
      <c r="O848">
        <v>1</v>
      </c>
      <c r="P848">
        <v>25</v>
      </c>
      <c r="Q848" t="s">
        <v>22</v>
      </c>
      <c r="R848" t="str" cm="1">
        <f t="array" ref="R848">_xlfn.IFS(N848&lt;=1,"0-1 yrs",N848&lt;=4,"2-4 yrs",N848&lt;=9,"5-9 yrs",N848&gt;9,"10+ yrs")</f>
        <v>10+ yrs</v>
      </c>
      <c r="S848" t="str" cm="1">
        <f t="array" ref="S848">_xlfn.IFS(B848&lt;=25,"20-25",B848&lt;=35,"26-35",B848&lt;=45,"36-45",B848&gt;45,"46+")</f>
        <v>46+</v>
      </c>
      <c r="T848" t="str" cm="1">
        <f t="array" ref="T848">_xlfn.IFS(J848&lt;3500,"&lt;3.5K",J848&lt;5500,"3.5-5.5K",J848&lt;7500,"5.5-7.5K",J848&gt;=7500,"7.5K+")</f>
        <v>7.5K+</v>
      </c>
      <c r="U848">
        <f t="shared" si="13"/>
        <v>0</v>
      </c>
    </row>
    <row r="849" spans="1:21" x14ac:dyDescent="0.25">
      <c r="A849">
        <v>1875</v>
      </c>
      <c r="B849">
        <v>34</v>
      </c>
      <c r="C849" t="s">
        <v>23</v>
      </c>
      <c r="D849" t="s">
        <v>24</v>
      </c>
      <c r="E849" t="s">
        <v>25</v>
      </c>
      <c r="F849" t="s">
        <v>32</v>
      </c>
      <c r="G849" t="s">
        <v>33</v>
      </c>
      <c r="H849" t="s">
        <v>34</v>
      </c>
      <c r="I849">
        <v>5</v>
      </c>
      <c r="J849" s="2">
        <v>8250</v>
      </c>
      <c r="K849" t="s">
        <v>42</v>
      </c>
      <c r="L849">
        <v>3</v>
      </c>
      <c r="M849">
        <v>2</v>
      </c>
      <c r="N849">
        <v>2</v>
      </c>
      <c r="O849">
        <v>1</v>
      </c>
      <c r="P849">
        <v>2</v>
      </c>
      <c r="Q849" t="s">
        <v>42</v>
      </c>
      <c r="R849" t="str" cm="1">
        <f t="array" ref="R849">_xlfn.IFS(N849&lt;=1,"0-1 yrs",N849&lt;=4,"2-4 yrs",N849&lt;=9,"5-9 yrs",N849&gt;9,"10+ yrs")</f>
        <v>2-4 yrs</v>
      </c>
      <c r="S849" t="str" cm="1">
        <f t="array" ref="S849">_xlfn.IFS(B849&lt;=25,"20-25",B849&lt;=35,"26-35",B849&lt;=45,"36-45",B849&gt;45,"46+")</f>
        <v>26-35</v>
      </c>
      <c r="T849" t="str" cm="1">
        <f t="array" ref="T849">_xlfn.IFS(J849&lt;3500,"&lt;3.5K",J849&lt;5500,"3.5-5.5K",J849&lt;7500,"5.5-7.5K",J849&gt;=7500,"7.5K+")</f>
        <v>7.5K+</v>
      </c>
      <c r="U849">
        <f t="shared" si="13"/>
        <v>1</v>
      </c>
    </row>
    <row r="850" spans="1:21" x14ac:dyDescent="0.25">
      <c r="A850">
        <v>1621</v>
      </c>
      <c r="B850">
        <v>37</v>
      </c>
      <c r="C850" t="s">
        <v>16</v>
      </c>
      <c r="D850" t="s">
        <v>38</v>
      </c>
      <c r="E850" t="s">
        <v>49</v>
      </c>
      <c r="F850" t="s">
        <v>36</v>
      </c>
      <c r="G850" t="s">
        <v>37</v>
      </c>
      <c r="H850" t="s">
        <v>30</v>
      </c>
      <c r="I850">
        <v>5</v>
      </c>
      <c r="J850" s="2">
        <v>9874</v>
      </c>
      <c r="K850" t="s">
        <v>22</v>
      </c>
      <c r="L850">
        <v>4</v>
      </c>
      <c r="M850">
        <v>4</v>
      </c>
      <c r="N850">
        <v>9</v>
      </c>
      <c r="O850">
        <v>2</v>
      </c>
      <c r="P850">
        <v>12</v>
      </c>
      <c r="Q850" t="s">
        <v>42</v>
      </c>
      <c r="R850" t="str" cm="1">
        <f t="array" ref="R850">_xlfn.IFS(N850&lt;=1,"0-1 yrs",N850&lt;=4,"2-4 yrs",N850&lt;=9,"5-9 yrs",N850&gt;9,"10+ yrs")</f>
        <v>5-9 yrs</v>
      </c>
      <c r="S850" t="str" cm="1">
        <f t="array" ref="S850">_xlfn.IFS(B850&lt;=25,"20-25",B850&lt;=35,"26-35",B850&lt;=45,"36-45",B850&gt;45,"46+")</f>
        <v>36-45</v>
      </c>
      <c r="T850" t="str" cm="1">
        <f t="array" ref="T850">_xlfn.IFS(J850&lt;3500,"&lt;3.5K",J850&lt;5500,"3.5-5.5K",J850&lt;7500,"5.5-7.5K",J850&gt;=7500,"7.5K+")</f>
        <v>7.5K+</v>
      </c>
      <c r="U850">
        <f t="shared" si="13"/>
        <v>1</v>
      </c>
    </row>
    <row r="851" spans="1:21" x14ac:dyDescent="0.25">
      <c r="A851">
        <v>1461</v>
      </c>
      <c r="B851">
        <v>50</v>
      </c>
      <c r="C851" t="s">
        <v>23</v>
      </c>
      <c r="D851" t="s">
        <v>47</v>
      </c>
      <c r="E851" t="s">
        <v>50</v>
      </c>
      <c r="F851" t="s">
        <v>38</v>
      </c>
      <c r="G851" t="s">
        <v>33</v>
      </c>
      <c r="H851" t="s">
        <v>34</v>
      </c>
      <c r="I851">
        <v>16</v>
      </c>
      <c r="J851" s="2">
        <v>6350</v>
      </c>
      <c r="K851" t="s">
        <v>42</v>
      </c>
      <c r="L851">
        <v>4</v>
      </c>
      <c r="M851">
        <v>1</v>
      </c>
      <c r="N851">
        <v>15</v>
      </c>
      <c r="O851">
        <v>8</v>
      </c>
      <c r="P851">
        <v>19</v>
      </c>
      <c r="Q851" t="s">
        <v>22</v>
      </c>
      <c r="R851" t="str" cm="1">
        <f t="array" ref="R851">_xlfn.IFS(N851&lt;=1,"0-1 yrs",N851&lt;=4,"2-4 yrs",N851&lt;=9,"5-9 yrs",N851&gt;9,"10+ yrs")</f>
        <v>10+ yrs</v>
      </c>
      <c r="S851" t="str" cm="1">
        <f t="array" ref="S851">_xlfn.IFS(B851&lt;=25,"20-25",B851&lt;=35,"26-35",B851&lt;=45,"36-45",B851&gt;45,"46+")</f>
        <v>46+</v>
      </c>
      <c r="T851" t="str" cm="1">
        <f t="array" ref="T851">_xlfn.IFS(J851&lt;3500,"&lt;3.5K",J851&lt;5500,"3.5-5.5K",J851&lt;7500,"5.5-7.5K",J851&gt;=7500,"7.5K+")</f>
        <v>5.5-7.5K</v>
      </c>
      <c r="U851">
        <f t="shared" si="13"/>
        <v>0</v>
      </c>
    </row>
    <row r="852" spans="1:21" x14ac:dyDescent="0.25">
      <c r="A852">
        <v>1936</v>
      </c>
      <c r="B852">
        <v>23</v>
      </c>
      <c r="C852" t="s">
        <v>23</v>
      </c>
      <c r="D852" t="s">
        <v>17</v>
      </c>
      <c r="E852" t="s">
        <v>35</v>
      </c>
      <c r="F852" t="s">
        <v>38</v>
      </c>
      <c r="G852" t="s">
        <v>33</v>
      </c>
      <c r="H852" t="s">
        <v>34</v>
      </c>
      <c r="I852">
        <v>5</v>
      </c>
      <c r="J852" s="2">
        <v>5530</v>
      </c>
      <c r="K852" t="s">
        <v>22</v>
      </c>
      <c r="L852">
        <v>2</v>
      </c>
      <c r="M852">
        <v>3</v>
      </c>
      <c r="N852">
        <v>0</v>
      </c>
      <c r="O852">
        <v>0</v>
      </c>
      <c r="P852">
        <v>0</v>
      </c>
      <c r="Q852" t="s">
        <v>22</v>
      </c>
      <c r="R852" t="str" cm="1">
        <f t="array" ref="R852">_xlfn.IFS(N852&lt;=1,"0-1 yrs",N852&lt;=4,"2-4 yrs",N852&lt;=9,"5-9 yrs",N852&gt;9,"10+ yrs")</f>
        <v>0-1 yrs</v>
      </c>
      <c r="S852" t="str" cm="1">
        <f t="array" ref="S852">_xlfn.IFS(B852&lt;=25,"20-25",B852&lt;=35,"26-35",B852&lt;=45,"36-45",B852&gt;45,"46+")</f>
        <v>20-25</v>
      </c>
      <c r="T852" t="str" cm="1">
        <f t="array" ref="T852">_xlfn.IFS(J852&lt;3500,"&lt;3.5K",J852&lt;5500,"3.5-5.5K",J852&lt;7500,"5.5-7.5K",J852&gt;=7500,"7.5K+")</f>
        <v>5.5-7.5K</v>
      </c>
      <c r="U852">
        <f t="shared" si="13"/>
        <v>0</v>
      </c>
    </row>
    <row r="853" spans="1:21" x14ac:dyDescent="0.25">
      <c r="A853">
        <v>1956</v>
      </c>
      <c r="B853">
        <v>31</v>
      </c>
      <c r="C853" t="s">
        <v>23</v>
      </c>
      <c r="D853" t="s">
        <v>47</v>
      </c>
      <c r="E853" t="s">
        <v>53</v>
      </c>
      <c r="F853" t="s">
        <v>32</v>
      </c>
      <c r="G853" t="s">
        <v>20</v>
      </c>
      <c r="H853" t="s">
        <v>34</v>
      </c>
      <c r="I853">
        <v>3</v>
      </c>
      <c r="J853" s="2">
        <v>9836</v>
      </c>
      <c r="K853" t="s">
        <v>22</v>
      </c>
      <c r="L853">
        <v>4</v>
      </c>
      <c r="M853">
        <v>2</v>
      </c>
      <c r="N853">
        <v>0</v>
      </c>
      <c r="O853">
        <v>0</v>
      </c>
      <c r="P853">
        <v>0</v>
      </c>
      <c r="Q853" t="s">
        <v>42</v>
      </c>
      <c r="R853" t="str" cm="1">
        <f t="array" ref="R853">_xlfn.IFS(N853&lt;=1,"0-1 yrs",N853&lt;=4,"2-4 yrs",N853&lt;=9,"5-9 yrs",N853&gt;9,"10+ yrs")</f>
        <v>0-1 yrs</v>
      </c>
      <c r="S853" t="str" cm="1">
        <f t="array" ref="S853">_xlfn.IFS(B853&lt;=25,"20-25",B853&lt;=35,"26-35",B853&lt;=45,"36-45",B853&gt;45,"46+")</f>
        <v>26-35</v>
      </c>
      <c r="T853" t="str" cm="1">
        <f t="array" ref="T853">_xlfn.IFS(J853&lt;3500,"&lt;3.5K",J853&lt;5500,"3.5-5.5K",J853&lt;7500,"5.5-7.5K",J853&gt;=7500,"7.5K+")</f>
        <v>7.5K+</v>
      </c>
      <c r="U853">
        <f t="shared" si="13"/>
        <v>1</v>
      </c>
    </row>
    <row r="854" spans="1:21" x14ac:dyDescent="0.25">
      <c r="A854">
        <v>1744</v>
      </c>
      <c r="B854">
        <v>40</v>
      </c>
      <c r="C854" t="s">
        <v>23</v>
      </c>
      <c r="D854" t="s">
        <v>47</v>
      </c>
      <c r="E854" t="s">
        <v>50</v>
      </c>
      <c r="F854" t="s">
        <v>36</v>
      </c>
      <c r="G854" t="s">
        <v>33</v>
      </c>
      <c r="H854" t="s">
        <v>30</v>
      </c>
      <c r="I854">
        <v>2</v>
      </c>
      <c r="J854" s="2">
        <v>4837</v>
      </c>
      <c r="K854" t="s">
        <v>22</v>
      </c>
      <c r="L854">
        <v>4</v>
      </c>
      <c r="M854">
        <v>4</v>
      </c>
      <c r="N854">
        <v>7</v>
      </c>
      <c r="O854">
        <v>1</v>
      </c>
      <c r="P854">
        <v>16</v>
      </c>
      <c r="Q854" t="s">
        <v>22</v>
      </c>
      <c r="R854" t="str" cm="1">
        <f t="array" ref="R854">_xlfn.IFS(N854&lt;=1,"0-1 yrs",N854&lt;=4,"2-4 yrs",N854&lt;=9,"5-9 yrs",N854&gt;9,"10+ yrs")</f>
        <v>5-9 yrs</v>
      </c>
      <c r="S854" t="str" cm="1">
        <f t="array" ref="S854">_xlfn.IFS(B854&lt;=25,"20-25",B854&lt;=35,"26-35",B854&lt;=45,"36-45",B854&gt;45,"46+")</f>
        <v>36-45</v>
      </c>
      <c r="T854" t="str" cm="1">
        <f t="array" ref="T854">_xlfn.IFS(J854&lt;3500,"&lt;3.5K",J854&lt;5500,"3.5-5.5K",J854&lt;7500,"5.5-7.5K",J854&gt;=7500,"7.5K+")</f>
        <v>3.5-5.5K</v>
      </c>
      <c r="U854">
        <f t="shared" si="13"/>
        <v>0</v>
      </c>
    </row>
    <row r="855" spans="1:21" x14ac:dyDescent="0.25">
      <c r="A855">
        <v>1688</v>
      </c>
      <c r="B855">
        <v>48</v>
      </c>
      <c r="C855" t="s">
        <v>23</v>
      </c>
      <c r="D855" t="s">
        <v>24</v>
      </c>
      <c r="E855" t="s">
        <v>46</v>
      </c>
      <c r="F855" t="s">
        <v>29</v>
      </c>
      <c r="G855" t="s">
        <v>33</v>
      </c>
      <c r="H855" t="s">
        <v>30</v>
      </c>
      <c r="I855">
        <v>7</v>
      </c>
      <c r="J855" s="2">
        <v>9676</v>
      </c>
      <c r="K855" t="s">
        <v>22</v>
      </c>
      <c r="L855">
        <v>1</v>
      </c>
      <c r="M855">
        <v>2</v>
      </c>
      <c r="N855">
        <v>20</v>
      </c>
      <c r="O855">
        <v>14</v>
      </c>
      <c r="P855">
        <v>28</v>
      </c>
      <c r="Q855" t="s">
        <v>22</v>
      </c>
      <c r="R855" t="str" cm="1">
        <f t="array" ref="R855">_xlfn.IFS(N855&lt;=1,"0-1 yrs",N855&lt;=4,"2-4 yrs",N855&lt;=9,"5-9 yrs",N855&gt;9,"10+ yrs")</f>
        <v>10+ yrs</v>
      </c>
      <c r="S855" t="str" cm="1">
        <f t="array" ref="S855">_xlfn.IFS(B855&lt;=25,"20-25",B855&lt;=35,"26-35",B855&lt;=45,"36-45",B855&gt;45,"46+")</f>
        <v>46+</v>
      </c>
      <c r="T855" t="str" cm="1">
        <f t="array" ref="T855">_xlfn.IFS(J855&lt;3500,"&lt;3.5K",J855&lt;5500,"3.5-5.5K",J855&lt;7500,"5.5-7.5K",J855&gt;=7500,"7.5K+")</f>
        <v>7.5K+</v>
      </c>
      <c r="U855">
        <f t="shared" si="13"/>
        <v>0</v>
      </c>
    </row>
    <row r="856" spans="1:21" x14ac:dyDescent="0.25">
      <c r="A856">
        <v>1198</v>
      </c>
      <c r="B856">
        <v>60</v>
      </c>
      <c r="C856" t="s">
        <v>16</v>
      </c>
      <c r="D856" t="s">
        <v>27</v>
      </c>
      <c r="E856" t="s">
        <v>31</v>
      </c>
      <c r="F856" t="s">
        <v>41</v>
      </c>
      <c r="G856" t="s">
        <v>37</v>
      </c>
      <c r="H856" t="s">
        <v>30</v>
      </c>
      <c r="I856">
        <v>5</v>
      </c>
      <c r="J856" s="2">
        <v>10878</v>
      </c>
      <c r="K856" t="s">
        <v>22</v>
      </c>
      <c r="L856">
        <v>1</v>
      </c>
      <c r="M856">
        <v>2</v>
      </c>
      <c r="N856">
        <v>8</v>
      </c>
      <c r="O856">
        <v>1</v>
      </c>
      <c r="P856">
        <v>29</v>
      </c>
      <c r="Q856" t="s">
        <v>22</v>
      </c>
      <c r="R856" t="str" cm="1">
        <f t="array" ref="R856">_xlfn.IFS(N856&lt;=1,"0-1 yrs",N856&lt;=4,"2-4 yrs",N856&lt;=9,"5-9 yrs",N856&gt;9,"10+ yrs")</f>
        <v>5-9 yrs</v>
      </c>
      <c r="S856" t="str" cm="1">
        <f t="array" ref="S856">_xlfn.IFS(B856&lt;=25,"20-25",B856&lt;=35,"26-35",B856&lt;=45,"36-45",B856&gt;45,"46+")</f>
        <v>46+</v>
      </c>
      <c r="T856" t="str" cm="1">
        <f t="array" ref="T856">_xlfn.IFS(J856&lt;3500,"&lt;3.5K",J856&lt;5500,"3.5-5.5K",J856&lt;7500,"5.5-7.5K",J856&gt;=7500,"7.5K+")</f>
        <v>7.5K+</v>
      </c>
      <c r="U856">
        <f t="shared" si="13"/>
        <v>0</v>
      </c>
    </row>
    <row r="857" spans="1:21" x14ac:dyDescent="0.25">
      <c r="A857">
        <v>1029</v>
      </c>
      <c r="B857">
        <v>43</v>
      </c>
      <c r="C857" t="s">
        <v>16</v>
      </c>
      <c r="D857" t="s">
        <v>27</v>
      </c>
      <c r="E857" t="s">
        <v>43</v>
      </c>
      <c r="F857" t="s">
        <v>41</v>
      </c>
      <c r="G857" t="s">
        <v>37</v>
      </c>
      <c r="H857" t="s">
        <v>21</v>
      </c>
      <c r="I857">
        <v>22</v>
      </c>
      <c r="J857" s="2">
        <v>8788</v>
      </c>
      <c r="K857" t="s">
        <v>22</v>
      </c>
      <c r="L857">
        <v>1</v>
      </c>
      <c r="M857">
        <v>3</v>
      </c>
      <c r="N857">
        <v>5</v>
      </c>
      <c r="O857">
        <v>4</v>
      </c>
      <c r="P857">
        <v>7</v>
      </c>
      <c r="Q857" t="s">
        <v>22</v>
      </c>
      <c r="R857" t="str" cm="1">
        <f t="array" ref="R857">_xlfn.IFS(N857&lt;=1,"0-1 yrs",N857&lt;=4,"2-4 yrs",N857&lt;=9,"5-9 yrs",N857&gt;9,"10+ yrs")</f>
        <v>5-9 yrs</v>
      </c>
      <c r="S857" t="str" cm="1">
        <f t="array" ref="S857">_xlfn.IFS(B857&lt;=25,"20-25",B857&lt;=35,"26-35",B857&lt;=45,"36-45",B857&gt;45,"46+")</f>
        <v>36-45</v>
      </c>
      <c r="T857" t="str" cm="1">
        <f t="array" ref="T857">_xlfn.IFS(J857&lt;3500,"&lt;3.5K",J857&lt;5500,"3.5-5.5K",J857&lt;7500,"5.5-7.5K",J857&gt;=7500,"7.5K+")</f>
        <v>7.5K+</v>
      </c>
      <c r="U857">
        <f t="shared" si="13"/>
        <v>0</v>
      </c>
    </row>
    <row r="858" spans="1:21" x14ac:dyDescent="0.25">
      <c r="A858">
        <v>1405</v>
      </c>
      <c r="B858">
        <v>36</v>
      </c>
      <c r="C858" t="s">
        <v>23</v>
      </c>
      <c r="D858" t="s">
        <v>17</v>
      </c>
      <c r="E858" t="s">
        <v>35</v>
      </c>
      <c r="F858" t="s">
        <v>38</v>
      </c>
      <c r="G858" t="s">
        <v>37</v>
      </c>
      <c r="H858" t="s">
        <v>30</v>
      </c>
      <c r="I858">
        <v>20</v>
      </c>
      <c r="J858" s="2">
        <v>7647</v>
      </c>
      <c r="K858" t="s">
        <v>42</v>
      </c>
      <c r="L858">
        <v>1</v>
      </c>
      <c r="M858">
        <v>1</v>
      </c>
      <c r="N858">
        <v>1</v>
      </c>
      <c r="O858">
        <v>0</v>
      </c>
      <c r="P858">
        <v>12</v>
      </c>
      <c r="Q858" t="s">
        <v>42</v>
      </c>
      <c r="R858" t="str" cm="1">
        <f t="array" ref="R858">_xlfn.IFS(N858&lt;=1,"0-1 yrs",N858&lt;=4,"2-4 yrs",N858&lt;=9,"5-9 yrs",N858&gt;9,"10+ yrs")</f>
        <v>0-1 yrs</v>
      </c>
      <c r="S858" t="str" cm="1">
        <f t="array" ref="S858">_xlfn.IFS(B858&lt;=25,"20-25",B858&lt;=35,"26-35",B858&lt;=45,"36-45",B858&gt;45,"46+")</f>
        <v>36-45</v>
      </c>
      <c r="T858" t="str" cm="1">
        <f t="array" ref="T858">_xlfn.IFS(J858&lt;3500,"&lt;3.5K",J858&lt;5500,"3.5-5.5K",J858&lt;7500,"5.5-7.5K",J858&gt;=7500,"7.5K+")</f>
        <v>7.5K+</v>
      </c>
      <c r="U858">
        <f t="shared" si="13"/>
        <v>1</v>
      </c>
    </row>
    <row r="859" spans="1:21" x14ac:dyDescent="0.25">
      <c r="A859">
        <v>1800</v>
      </c>
      <c r="B859">
        <v>27</v>
      </c>
      <c r="C859" t="s">
        <v>23</v>
      </c>
      <c r="D859" t="s">
        <v>17</v>
      </c>
      <c r="E859" t="s">
        <v>18</v>
      </c>
      <c r="F859" t="s">
        <v>32</v>
      </c>
      <c r="G859" t="s">
        <v>37</v>
      </c>
      <c r="H859" t="s">
        <v>30</v>
      </c>
      <c r="I859">
        <v>26</v>
      </c>
      <c r="J859" s="2">
        <v>10898</v>
      </c>
      <c r="K859" t="s">
        <v>42</v>
      </c>
      <c r="L859">
        <v>4</v>
      </c>
      <c r="M859">
        <v>4</v>
      </c>
      <c r="N859">
        <v>0</v>
      </c>
      <c r="O859">
        <v>0</v>
      </c>
      <c r="P859">
        <v>5</v>
      </c>
      <c r="Q859" t="s">
        <v>22</v>
      </c>
      <c r="R859" t="str" cm="1">
        <f t="array" ref="R859">_xlfn.IFS(N859&lt;=1,"0-1 yrs",N859&lt;=4,"2-4 yrs",N859&lt;=9,"5-9 yrs",N859&gt;9,"10+ yrs")</f>
        <v>0-1 yrs</v>
      </c>
      <c r="S859" t="str" cm="1">
        <f t="array" ref="S859">_xlfn.IFS(B859&lt;=25,"20-25",B859&lt;=35,"26-35",B859&lt;=45,"36-45",B859&gt;45,"46+")</f>
        <v>26-35</v>
      </c>
      <c r="T859" t="str" cm="1">
        <f t="array" ref="T859">_xlfn.IFS(J859&lt;3500,"&lt;3.5K",J859&lt;5500,"3.5-5.5K",J859&lt;7500,"5.5-7.5K",J859&gt;=7500,"7.5K+")</f>
        <v>7.5K+</v>
      </c>
      <c r="U859">
        <f t="shared" si="13"/>
        <v>0</v>
      </c>
    </row>
    <row r="860" spans="1:21" x14ac:dyDescent="0.25">
      <c r="A860">
        <v>1329</v>
      </c>
      <c r="B860">
        <v>46</v>
      </c>
      <c r="C860" t="s">
        <v>23</v>
      </c>
      <c r="D860" t="s">
        <v>24</v>
      </c>
      <c r="E860" t="s">
        <v>25</v>
      </c>
      <c r="F860" t="s">
        <v>26</v>
      </c>
      <c r="G860" t="s">
        <v>20</v>
      </c>
      <c r="H860" t="s">
        <v>34</v>
      </c>
      <c r="I860">
        <v>5</v>
      </c>
      <c r="J860" s="2">
        <v>14664</v>
      </c>
      <c r="K860" t="s">
        <v>22</v>
      </c>
      <c r="L860">
        <v>3</v>
      </c>
      <c r="M860">
        <v>1</v>
      </c>
      <c r="N860">
        <v>11</v>
      </c>
      <c r="O860">
        <v>7</v>
      </c>
      <c r="P860">
        <v>18</v>
      </c>
      <c r="Q860" t="s">
        <v>42</v>
      </c>
      <c r="R860" t="str" cm="1">
        <f t="array" ref="R860">_xlfn.IFS(N860&lt;=1,"0-1 yrs",N860&lt;=4,"2-4 yrs",N860&lt;=9,"5-9 yrs",N860&gt;9,"10+ yrs")</f>
        <v>10+ yrs</v>
      </c>
      <c r="S860" t="str" cm="1">
        <f t="array" ref="S860">_xlfn.IFS(B860&lt;=25,"20-25",B860&lt;=35,"26-35",B860&lt;=45,"36-45",B860&gt;45,"46+")</f>
        <v>46+</v>
      </c>
      <c r="T860" t="str" cm="1">
        <f t="array" ref="T860">_xlfn.IFS(J860&lt;3500,"&lt;3.5K",J860&lt;5500,"3.5-5.5K",J860&lt;7500,"5.5-7.5K",J860&gt;=7500,"7.5K+")</f>
        <v>7.5K+</v>
      </c>
      <c r="U860">
        <f t="shared" si="13"/>
        <v>1</v>
      </c>
    </row>
    <row r="861" spans="1:21" x14ac:dyDescent="0.25">
      <c r="A861">
        <v>1044</v>
      </c>
      <c r="B861">
        <v>37</v>
      </c>
      <c r="C861" t="s">
        <v>16</v>
      </c>
      <c r="D861" t="s">
        <v>27</v>
      </c>
      <c r="E861" t="s">
        <v>31</v>
      </c>
      <c r="F861" t="s">
        <v>32</v>
      </c>
      <c r="G861" t="s">
        <v>20</v>
      </c>
      <c r="H861" t="s">
        <v>21</v>
      </c>
      <c r="I861">
        <v>11</v>
      </c>
      <c r="J861" s="2">
        <v>8091</v>
      </c>
      <c r="K861" t="s">
        <v>22</v>
      </c>
      <c r="L861">
        <v>3</v>
      </c>
      <c r="M861">
        <v>1</v>
      </c>
      <c r="N861">
        <v>14</v>
      </c>
      <c r="O861">
        <v>9</v>
      </c>
      <c r="P861">
        <v>15</v>
      </c>
      <c r="Q861" t="s">
        <v>22</v>
      </c>
      <c r="R861" t="str" cm="1">
        <f t="array" ref="R861">_xlfn.IFS(N861&lt;=1,"0-1 yrs",N861&lt;=4,"2-4 yrs",N861&lt;=9,"5-9 yrs",N861&gt;9,"10+ yrs")</f>
        <v>10+ yrs</v>
      </c>
      <c r="S861" t="str" cm="1">
        <f t="array" ref="S861">_xlfn.IFS(B861&lt;=25,"20-25",B861&lt;=35,"26-35",B861&lt;=45,"36-45",B861&gt;45,"46+")</f>
        <v>36-45</v>
      </c>
      <c r="T861" t="str" cm="1">
        <f t="array" ref="T861">_xlfn.IFS(J861&lt;3500,"&lt;3.5K",J861&lt;5500,"3.5-5.5K",J861&lt;7500,"5.5-7.5K",J861&gt;=7500,"7.5K+")</f>
        <v>7.5K+</v>
      </c>
      <c r="U861">
        <f t="shared" si="13"/>
        <v>0</v>
      </c>
    </row>
    <row r="862" spans="1:21" x14ac:dyDescent="0.25">
      <c r="A862">
        <v>1443</v>
      </c>
      <c r="B862">
        <v>25</v>
      </c>
      <c r="C862" t="s">
        <v>16</v>
      </c>
      <c r="D862" t="s">
        <v>47</v>
      </c>
      <c r="E862" t="s">
        <v>53</v>
      </c>
      <c r="F862" t="s">
        <v>29</v>
      </c>
      <c r="G862" t="s">
        <v>37</v>
      </c>
      <c r="H862" t="s">
        <v>34</v>
      </c>
      <c r="I862">
        <v>14</v>
      </c>
      <c r="J862" s="2">
        <v>12800</v>
      </c>
      <c r="K862" t="s">
        <v>22</v>
      </c>
      <c r="L862">
        <v>2</v>
      </c>
      <c r="M862">
        <v>4</v>
      </c>
      <c r="N862">
        <v>3</v>
      </c>
      <c r="O862">
        <v>3</v>
      </c>
      <c r="P862">
        <v>3</v>
      </c>
      <c r="Q862" t="s">
        <v>42</v>
      </c>
      <c r="R862" t="str" cm="1">
        <f t="array" ref="R862">_xlfn.IFS(N862&lt;=1,"0-1 yrs",N862&lt;=4,"2-4 yrs",N862&lt;=9,"5-9 yrs",N862&gt;9,"10+ yrs")</f>
        <v>2-4 yrs</v>
      </c>
      <c r="S862" t="str" cm="1">
        <f t="array" ref="S862">_xlfn.IFS(B862&lt;=25,"20-25",B862&lt;=35,"26-35",B862&lt;=45,"36-45",B862&gt;45,"46+")</f>
        <v>20-25</v>
      </c>
      <c r="T862" t="str" cm="1">
        <f t="array" ref="T862">_xlfn.IFS(J862&lt;3500,"&lt;3.5K",J862&lt;5500,"3.5-5.5K",J862&lt;7500,"5.5-7.5K",J862&gt;=7500,"7.5K+")</f>
        <v>7.5K+</v>
      </c>
      <c r="U862">
        <f t="shared" si="13"/>
        <v>1</v>
      </c>
    </row>
    <row r="863" spans="1:21" x14ac:dyDescent="0.25">
      <c r="A863">
        <v>1771</v>
      </c>
      <c r="B863">
        <v>35</v>
      </c>
      <c r="C863" t="s">
        <v>16</v>
      </c>
      <c r="D863" t="s">
        <v>24</v>
      </c>
      <c r="E863" t="s">
        <v>46</v>
      </c>
      <c r="F863" t="s">
        <v>19</v>
      </c>
      <c r="G863" t="s">
        <v>37</v>
      </c>
      <c r="H863" t="s">
        <v>21</v>
      </c>
      <c r="I863">
        <v>17</v>
      </c>
      <c r="J863" s="2">
        <v>6792</v>
      </c>
      <c r="K863" t="s">
        <v>22</v>
      </c>
      <c r="L863">
        <v>3</v>
      </c>
      <c r="M863">
        <v>1</v>
      </c>
      <c r="N863">
        <v>0</v>
      </c>
      <c r="O863">
        <v>0</v>
      </c>
      <c r="P863">
        <v>0</v>
      </c>
      <c r="Q863" t="s">
        <v>42</v>
      </c>
      <c r="R863" t="str" cm="1">
        <f t="array" ref="R863">_xlfn.IFS(N863&lt;=1,"0-1 yrs",N863&lt;=4,"2-4 yrs",N863&lt;=9,"5-9 yrs",N863&gt;9,"10+ yrs")</f>
        <v>0-1 yrs</v>
      </c>
      <c r="S863" t="str" cm="1">
        <f t="array" ref="S863">_xlfn.IFS(B863&lt;=25,"20-25",B863&lt;=35,"26-35",B863&lt;=45,"36-45",B863&gt;45,"46+")</f>
        <v>26-35</v>
      </c>
      <c r="T863" t="str" cm="1">
        <f t="array" ref="T863">_xlfn.IFS(J863&lt;3500,"&lt;3.5K",J863&lt;5500,"3.5-5.5K",J863&lt;7500,"5.5-7.5K",J863&gt;=7500,"7.5K+")</f>
        <v>5.5-7.5K</v>
      </c>
      <c r="U863">
        <f t="shared" si="13"/>
        <v>1</v>
      </c>
    </row>
    <row r="864" spans="1:21" x14ac:dyDescent="0.25">
      <c r="A864">
        <v>1933</v>
      </c>
      <c r="B864">
        <v>44</v>
      </c>
      <c r="C864" t="s">
        <v>16</v>
      </c>
      <c r="D864" t="s">
        <v>17</v>
      </c>
      <c r="E864" t="s">
        <v>40</v>
      </c>
      <c r="F864" t="s">
        <v>36</v>
      </c>
      <c r="G864" t="s">
        <v>37</v>
      </c>
      <c r="H864" t="s">
        <v>30</v>
      </c>
      <c r="I864">
        <v>15</v>
      </c>
      <c r="J864" s="2">
        <v>11515</v>
      </c>
      <c r="K864" t="s">
        <v>22</v>
      </c>
      <c r="L864">
        <v>3</v>
      </c>
      <c r="M864">
        <v>4</v>
      </c>
      <c r="N864">
        <v>2</v>
      </c>
      <c r="O864">
        <v>0</v>
      </c>
      <c r="P864">
        <v>23</v>
      </c>
      <c r="Q864" t="s">
        <v>22</v>
      </c>
      <c r="R864" t="str" cm="1">
        <f t="array" ref="R864">_xlfn.IFS(N864&lt;=1,"0-1 yrs",N864&lt;=4,"2-4 yrs",N864&lt;=9,"5-9 yrs",N864&gt;9,"10+ yrs")</f>
        <v>2-4 yrs</v>
      </c>
      <c r="S864" t="str" cm="1">
        <f t="array" ref="S864">_xlfn.IFS(B864&lt;=25,"20-25",B864&lt;=35,"26-35",B864&lt;=45,"36-45",B864&gt;45,"46+")</f>
        <v>36-45</v>
      </c>
      <c r="T864" t="str" cm="1">
        <f t="array" ref="T864">_xlfn.IFS(J864&lt;3500,"&lt;3.5K",J864&lt;5500,"3.5-5.5K",J864&lt;7500,"5.5-7.5K",J864&gt;=7500,"7.5K+")</f>
        <v>7.5K+</v>
      </c>
      <c r="U864">
        <f t="shared" si="13"/>
        <v>0</v>
      </c>
    </row>
    <row r="865" spans="1:21" x14ac:dyDescent="0.25">
      <c r="A865">
        <v>1417</v>
      </c>
      <c r="B865">
        <v>37</v>
      </c>
      <c r="C865" t="s">
        <v>23</v>
      </c>
      <c r="D865" t="s">
        <v>24</v>
      </c>
      <c r="E865" t="s">
        <v>46</v>
      </c>
      <c r="F865" t="s">
        <v>26</v>
      </c>
      <c r="G865" t="s">
        <v>37</v>
      </c>
      <c r="H865" t="s">
        <v>30</v>
      </c>
      <c r="I865">
        <v>2</v>
      </c>
      <c r="J865" s="2">
        <v>9604</v>
      </c>
      <c r="K865" t="s">
        <v>22</v>
      </c>
      <c r="L865">
        <v>4</v>
      </c>
      <c r="M865">
        <v>2</v>
      </c>
      <c r="N865">
        <v>11</v>
      </c>
      <c r="O865">
        <v>8</v>
      </c>
      <c r="P865">
        <v>16</v>
      </c>
      <c r="Q865" t="s">
        <v>22</v>
      </c>
      <c r="R865" t="str" cm="1">
        <f t="array" ref="R865">_xlfn.IFS(N865&lt;=1,"0-1 yrs",N865&lt;=4,"2-4 yrs",N865&lt;=9,"5-9 yrs",N865&gt;9,"10+ yrs")</f>
        <v>10+ yrs</v>
      </c>
      <c r="S865" t="str" cm="1">
        <f t="array" ref="S865">_xlfn.IFS(B865&lt;=25,"20-25",B865&lt;=35,"26-35",B865&lt;=45,"36-45",B865&gt;45,"46+")</f>
        <v>36-45</v>
      </c>
      <c r="T865" t="str" cm="1">
        <f t="array" ref="T865">_xlfn.IFS(J865&lt;3500,"&lt;3.5K",J865&lt;5500,"3.5-5.5K",J865&lt;7500,"5.5-7.5K",J865&gt;=7500,"7.5K+")</f>
        <v>7.5K+</v>
      </c>
      <c r="U865">
        <f t="shared" si="13"/>
        <v>0</v>
      </c>
    </row>
    <row r="866" spans="1:21" x14ac:dyDescent="0.25">
      <c r="A866">
        <v>1269</v>
      </c>
      <c r="B866">
        <v>55</v>
      </c>
      <c r="C866" t="s">
        <v>16</v>
      </c>
      <c r="D866" t="s">
        <v>47</v>
      </c>
      <c r="E866" t="s">
        <v>53</v>
      </c>
      <c r="F866" t="s">
        <v>38</v>
      </c>
      <c r="G866" t="s">
        <v>33</v>
      </c>
      <c r="H866" t="s">
        <v>21</v>
      </c>
      <c r="I866">
        <v>23</v>
      </c>
      <c r="J866" s="2">
        <v>13746</v>
      </c>
      <c r="K866" t="s">
        <v>22</v>
      </c>
      <c r="L866">
        <v>2</v>
      </c>
      <c r="M866">
        <v>2</v>
      </c>
      <c r="N866">
        <v>19</v>
      </c>
      <c r="O866">
        <v>9</v>
      </c>
      <c r="P866">
        <v>28</v>
      </c>
      <c r="Q866" t="s">
        <v>22</v>
      </c>
      <c r="R866" t="str" cm="1">
        <f t="array" ref="R866">_xlfn.IFS(N866&lt;=1,"0-1 yrs",N866&lt;=4,"2-4 yrs",N866&lt;=9,"5-9 yrs",N866&gt;9,"10+ yrs")</f>
        <v>10+ yrs</v>
      </c>
      <c r="S866" t="str" cm="1">
        <f t="array" ref="S866">_xlfn.IFS(B866&lt;=25,"20-25",B866&lt;=35,"26-35",B866&lt;=45,"36-45",B866&gt;45,"46+")</f>
        <v>46+</v>
      </c>
      <c r="T866" t="str" cm="1">
        <f t="array" ref="T866">_xlfn.IFS(J866&lt;3500,"&lt;3.5K",J866&lt;5500,"3.5-5.5K",J866&lt;7500,"5.5-7.5K",J866&gt;=7500,"7.5K+")</f>
        <v>7.5K+</v>
      </c>
      <c r="U866">
        <f t="shared" si="13"/>
        <v>0</v>
      </c>
    </row>
    <row r="867" spans="1:21" x14ac:dyDescent="0.25">
      <c r="A867">
        <v>1848</v>
      </c>
      <c r="B867">
        <v>58</v>
      </c>
      <c r="C867" t="s">
        <v>16</v>
      </c>
      <c r="D867" t="s">
        <v>24</v>
      </c>
      <c r="E867" t="s">
        <v>46</v>
      </c>
      <c r="F867" t="s">
        <v>26</v>
      </c>
      <c r="G867" t="s">
        <v>37</v>
      </c>
      <c r="H867" t="s">
        <v>21</v>
      </c>
      <c r="I867">
        <v>22</v>
      </c>
      <c r="J867" s="2">
        <v>10022</v>
      </c>
      <c r="K867" t="s">
        <v>22</v>
      </c>
      <c r="L867">
        <v>1</v>
      </c>
      <c r="M867">
        <v>1</v>
      </c>
      <c r="N867">
        <v>5</v>
      </c>
      <c r="O867">
        <v>1</v>
      </c>
      <c r="P867">
        <v>38</v>
      </c>
      <c r="Q867" t="s">
        <v>22</v>
      </c>
      <c r="R867" t="str" cm="1">
        <f t="array" ref="R867">_xlfn.IFS(N867&lt;=1,"0-1 yrs",N867&lt;=4,"2-4 yrs",N867&lt;=9,"5-9 yrs",N867&gt;9,"10+ yrs")</f>
        <v>5-9 yrs</v>
      </c>
      <c r="S867" t="str" cm="1">
        <f t="array" ref="S867">_xlfn.IFS(B867&lt;=25,"20-25",B867&lt;=35,"26-35",B867&lt;=45,"36-45",B867&gt;45,"46+")</f>
        <v>46+</v>
      </c>
      <c r="T867" t="str" cm="1">
        <f t="array" ref="T867">_xlfn.IFS(J867&lt;3500,"&lt;3.5K",J867&lt;5500,"3.5-5.5K",J867&lt;7500,"5.5-7.5K",J867&gt;=7500,"7.5K+")</f>
        <v>7.5K+</v>
      </c>
      <c r="U867">
        <f t="shared" si="13"/>
        <v>0</v>
      </c>
    </row>
    <row r="868" spans="1:21" x14ac:dyDescent="0.25">
      <c r="A868">
        <v>1231</v>
      </c>
      <c r="B868">
        <v>50</v>
      </c>
      <c r="C868" t="s">
        <v>23</v>
      </c>
      <c r="D868" t="s">
        <v>24</v>
      </c>
      <c r="E868" t="s">
        <v>52</v>
      </c>
      <c r="F868" t="s">
        <v>26</v>
      </c>
      <c r="G868" t="s">
        <v>33</v>
      </c>
      <c r="H868" t="s">
        <v>34</v>
      </c>
      <c r="I868">
        <v>6</v>
      </c>
      <c r="J868" s="2">
        <v>11257</v>
      </c>
      <c r="K868" t="s">
        <v>42</v>
      </c>
      <c r="L868">
        <v>1</v>
      </c>
      <c r="M868">
        <v>4</v>
      </c>
      <c r="N868">
        <v>22</v>
      </c>
      <c r="O868">
        <v>1</v>
      </c>
      <c r="P868">
        <v>24</v>
      </c>
      <c r="Q868" t="s">
        <v>22</v>
      </c>
      <c r="R868" t="str" cm="1">
        <f t="array" ref="R868">_xlfn.IFS(N868&lt;=1,"0-1 yrs",N868&lt;=4,"2-4 yrs",N868&lt;=9,"5-9 yrs",N868&gt;9,"10+ yrs")</f>
        <v>10+ yrs</v>
      </c>
      <c r="S868" t="str" cm="1">
        <f t="array" ref="S868">_xlfn.IFS(B868&lt;=25,"20-25",B868&lt;=35,"26-35",B868&lt;=45,"36-45",B868&gt;45,"46+")</f>
        <v>46+</v>
      </c>
      <c r="T868" t="str" cm="1">
        <f t="array" ref="T868">_xlfn.IFS(J868&lt;3500,"&lt;3.5K",J868&lt;5500,"3.5-5.5K",J868&lt;7500,"5.5-7.5K",J868&gt;=7500,"7.5K+")</f>
        <v>7.5K+</v>
      </c>
      <c r="U868">
        <f t="shared" si="13"/>
        <v>0</v>
      </c>
    </row>
    <row r="869" spans="1:21" x14ac:dyDescent="0.25">
      <c r="A869">
        <v>1371</v>
      </c>
      <c r="B869">
        <v>24</v>
      </c>
      <c r="C869" t="s">
        <v>23</v>
      </c>
      <c r="D869" t="s">
        <v>24</v>
      </c>
      <c r="E869" t="s">
        <v>45</v>
      </c>
      <c r="F869" t="s">
        <v>19</v>
      </c>
      <c r="G869" t="s">
        <v>37</v>
      </c>
      <c r="H869" t="s">
        <v>21</v>
      </c>
      <c r="I869">
        <v>23</v>
      </c>
      <c r="J869" s="2">
        <v>2908</v>
      </c>
      <c r="K869" t="s">
        <v>42</v>
      </c>
      <c r="L869">
        <v>3</v>
      </c>
      <c r="M869">
        <v>4</v>
      </c>
      <c r="N869">
        <v>0</v>
      </c>
      <c r="O869">
        <v>0</v>
      </c>
      <c r="P869">
        <v>0</v>
      </c>
      <c r="Q869" t="s">
        <v>22</v>
      </c>
      <c r="R869" t="str" cm="1">
        <f t="array" ref="R869">_xlfn.IFS(N869&lt;=1,"0-1 yrs",N869&lt;=4,"2-4 yrs",N869&lt;=9,"5-9 yrs",N869&gt;9,"10+ yrs")</f>
        <v>0-1 yrs</v>
      </c>
      <c r="S869" t="str" cm="1">
        <f t="array" ref="S869">_xlfn.IFS(B869&lt;=25,"20-25",B869&lt;=35,"26-35",B869&lt;=45,"36-45",B869&gt;45,"46+")</f>
        <v>20-25</v>
      </c>
      <c r="T869" t="str" cm="1">
        <f t="array" ref="T869">_xlfn.IFS(J869&lt;3500,"&lt;3.5K",J869&lt;5500,"3.5-5.5K",J869&lt;7500,"5.5-7.5K",J869&gt;=7500,"7.5K+")</f>
        <v>&lt;3.5K</v>
      </c>
      <c r="U869">
        <f t="shared" si="13"/>
        <v>0</v>
      </c>
    </row>
    <row r="870" spans="1:21" x14ac:dyDescent="0.25">
      <c r="A870">
        <v>1641</v>
      </c>
      <c r="B870">
        <v>28</v>
      </c>
      <c r="C870" t="s">
        <v>16</v>
      </c>
      <c r="D870" t="s">
        <v>24</v>
      </c>
      <c r="E870" t="s">
        <v>45</v>
      </c>
      <c r="F870" t="s">
        <v>32</v>
      </c>
      <c r="G870" t="s">
        <v>33</v>
      </c>
      <c r="H870" t="s">
        <v>21</v>
      </c>
      <c r="I870">
        <v>4</v>
      </c>
      <c r="J870" s="2">
        <v>7721</v>
      </c>
      <c r="K870" t="s">
        <v>42</v>
      </c>
      <c r="L870">
        <v>4</v>
      </c>
      <c r="M870">
        <v>2</v>
      </c>
      <c r="N870">
        <v>0</v>
      </c>
      <c r="O870">
        <v>0</v>
      </c>
      <c r="P870">
        <v>0</v>
      </c>
      <c r="Q870" t="s">
        <v>22</v>
      </c>
      <c r="R870" t="str" cm="1">
        <f t="array" ref="R870">_xlfn.IFS(N870&lt;=1,"0-1 yrs",N870&lt;=4,"2-4 yrs",N870&lt;=9,"5-9 yrs",N870&gt;9,"10+ yrs")</f>
        <v>0-1 yrs</v>
      </c>
      <c r="S870" t="str" cm="1">
        <f t="array" ref="S870">_xlfn.IFS(B870&lt;=25,"20-25",B870&lt;=35,"26-35",B870&lt;=45,"36-45",B870&gt;45,"46+")</f>
        <v>26-35</v>
      </c>
      <c r="T870" t="str" cm="1">
        <f t="array" ref="T870">_xlfn.IFS(J870&lt;3500,"&lt;3.5K",J870&lt;5500,"3.5-5.5K",J870&lt;7500,"5.5-7.5K",J870&gt;=7500,"7.5K+")</f>
        <v>7.5K+</v>
      </c>
      <c r="U870">
        <f t="shared" si="13"/>
        <v>0</v>
      </c>
    </row>
    <row r="871" spans="1:21" x14ac:dyDescent="0.25">
      <c r="A871">
        <v>1860</v>
      </c>
      <c r="B871">
        <v>39</v>
      </c>
      <c r="C871" t="s">
        <v>23</v>
      </c>
      <c r="D871" t="s">
        <v>17</v>
      </c>
      <c r="E871" t="s">
        <v>35</v>
      </c>
      <c r="F871" t="s">
        <v>41</v>
      </c>
      <c r="G871" t="s">
        <v>37</v>
      </c>
      <c r="H871" t="s">
        <v>34</v>
      </c>
      <c r="I871">
        <v>14</v>
      </c>
      <c r="J871" s="2">
        <v>6040</v>
      </c>
      <c r="K871" t="s">
        <v>42</v>
      </c>
      <c r="L871">
        <v>4</v>
      </c>
      <c r="M871">
        <v>1</v>
      </c>
      <c r="N871">
        <v>1</v>
      </c>
      <c r="O871">
        <v>1</v>
      </c>
      <c r="P871">
        <v>9</v>
      </c>
      <c r="Q871" t="s">
        <v>22</v>
      </c>
      <c r="R871" t="str" cm="1">
        <f t="array" ref="R871">_xlfn.IFS(N871&lt;=1,"0-1 yrs",N871&lt;=4,"2-4 yrs",N871&lt;=9,"5-9 yrs",N871&gt;9,"10+ yrs")</f>
        <v>0-1 yrs</v>
      </c>
      <c r="S871" t="str" cm="1">
        <f t="array" ref="S871">_xlfn.IFS(B871&lt;=25,"20-25",B871&lt;=35,"26-35",B871&lt;=45,"36-45",B871&gt;45,"46+")</f>
        <v>36-45</v>
      </c>
      <c r="T871" t="str" cm="1">
        <f t="array" ref="T871">_xlfn.IFS(J871&lt;3500,"&lt;3.5K",J871&lt;5500,"3.5-5.5K",J871&lt;7500,"5.5-7.5K",J871&gt;=7500,"7.5K+")</f>
        <v>5.5-7.5K</v>
      </c>
      <c r="U871">
        <f t="shared" si="13"/>
        <v>0</v>
      </c>
    </row>
    <row r="872" spans="1:21" x14ac:dyDescent="0.25">
      <c r="A872">
        <v>1947</v>
      </c>
      <c r="B872">
        <v>21</v>
      </c>
      <c r="C872" t="s">
        <v>16</v>
      </c>
      <c r="D872" t="s">
        <v>24</v>
      </c>
      <c r="E872" t="s">
        <v>52</v>
      </c>
      <c r="F872" t="s">
        <v>38</v>
      </c>
      <c r="G872" t="s">
        <v>37</v>
      </c>
      <c r="H872" t="s">
        <v>21</v>
      </c>
      <c r="I872">
        <v>1</v>
      </c>
      <c r="J872" s="2">
        <v>3458</v>
      </c>
      <c r="K872" t="s">
        <v>22</v>
      </c>
      <c r="L872">
        <v>4</v>
      </c>
      <c r="M872">
        <v>2</v>
      </c>
      <c r="N872">
        <v>0</v>
      </c>
      <c r="O872">
        <v>0</v>
      </c>
      <c r="P872">
        <v>0</v>
      </c>
      <c r="Q872" t="s">
        <v>22</v>
      </c>
      <c r="R872" t="str" cm="1">
        <f t="array" ref="R872">_xlfn.IFS(N872&lt;=1,"0-1 yrs",N872&lt;=4,"2-4 yrs",N872&lt;=9,"5-9 yrs",N872&gt;9,"10+ yrs")</f>
        <v>0-1 yrs</v>
      </c>
      <c r="S872" t="str" cm="1">
        <f t="array" ref="S872">_xlfn.IFS(B872&lt;=25,"20-25",B872&lt;=35,"26-35",B872&lt;=45,"36-45",B872&gt;45,"46+")</f>
        <v>20-25</v>
      </c>
      <c r="T872" t="str" cm="1">
        <f t="array" ref="T872">_xlfn.IFS(J872&lt;3500,"&lt;3.5K",J872&lt;5500,"3.5-5.5K",J872&lt;7500,"5.5-7.5K",J872&gt;=7500,"7.5K+")</f>
        <v>&lt;3.5K</v>
      </c>
      <c r="U872">
        <f t="shared" si="13"/>
        <v>0</v>
      </c>
    </row>
    <row r="873" spans="1:21" x14ac:dyDescent="0.25">
      <c r="A873">
        <v>1772</v>
      </c>
      <c r="B873">
        <v>46</v>
      </c>
      <c r="C873" t="s">
        <v>23</v>
      </c>
      <c r="D873" t="s">
        <v>38</v>
      </c>
      <c r="E873" t="s">
        <v>49</v>
      </c>
      <c r="F873" t="s">
        <v>19</v>
      </c>
      <c r="G873" t="s">
        <v>33</v>
      </c>
      <c r="H873" t="s">
        <v>34</v>
      </c>
      <c r="I873">
        <v>26</v>
      </c>
      <c r="J873" s="2">
        <v>15044</v>
      </c>
      <c r="K873" t="s">
        <v>22</v>
      </c>
      <c r="L873">
        <v>4</v>
      </c>
      <c r="M873">
        <v>2</v>
      </c>
      <c r="N873">
        <v>4</v>
      </c>
      <c r="O873">
        <v>4</v>
      </c>
      <c r="P873">
        <v>23</v>
      </c>
      <c r="Q873" t="s">
        <v>22</v>
      </c>
      <c r="R873" t="str" cm="1">
        <f t="array" ref="R873">_xlfn.IFS(N873&lt;=1,"0-1 yrs",N873&lt;=4,"2-4 yrs",N873&lt;=9,"5-9 yrs",N873&gt;9,"10+ yrs")</f>
        <v>2-4 yrs</v>
      </c>
      <c r="S873" t="str" cm="1">
        <f t="array" ref="S873">_xlfn.IFS(B873&lt;=25,"20-25",B873&lt;=35,"26-35",B873&lt;=45,"36-45",B873&gt;45,"46+")</f>
        <v>46+</v>
      </c>
      <c r="T873" t="str" cm="1">
        <f t="array" ref="T873">_xlfn.IFS(J873&lt;3500,"&lt;3.5K",J873&lt;5500,"3.5-5.5K",J873&lt;7500,"5.5-7.5K",J873&gt;=7500,"7.5K+")</f>
        <v>7.5K+</v>
      </c>
      <c r="U873">
        <f t="shared" si="13"/>
        <v>0</v>
      </c>
    </row>
    <row r="874" spans="1:21" x14ac:dyDescent="0.25">
      <c r="A874">
        <v>1642</v>
      </c>
      <c r="B874">
        <v>23</v>
      </c>
      <c r="C874" t="s">
        <v>23</v>
      </c>
      <c r="D874" t="s">
        <v>24</v>
      </c>
      <c r="E874" t="s">
        <v>52</v>
      </c>
      <c r="F874" t="s">
        <v>41</v>
      </c>
      <c r="G874" t="s">
        <v>33</v>
      </c>
      <c r="H874" t="s">
        <v>30</v>
      </c>
      <c r="I874">
        <v>16</v>
      </c>
      <c r="J874" s="2">
        <v>4446</v>
      </c>
      <c r="K874" t="s">
        <v>22</v>
      </c>
      <c r="L874">
        <v>4</v>
      </c>
      <c r="M874">
        <v>4</v>
      </c>
      <c r="N874">
        <v>0</v>
      </c>
      <c r="O874">
        <v>0</v>
      </c>
      <c r="P874">
        <v>0</v>
      </c>
      <c r="Q874" t="s">
        <v>42</v>
      </c>
      <c r="R874" t="str" cm="1">
        <f t="array" ref="R874">_xlfn.IFS(N874&lt;=1,"0-1 yrs",N874&lt;=4,"2-4 yrs",N874&lt;=9,"5-9 yrs",N874&gt;9,"10+ yrs")</f>
        <v>0-1 yrs</v>
      </c>
      <c r="S874" t="str" cm="1">
        <f t="array" ref="S874">_xlfn.IFS(B874&lt;=25,"20-25",B874&lt;=35,"26-35",B874&lt;=45,"36-45",B874&gt;45,"46+")</f>
        <v>20-25</v>
      </c>
      <c r="T874" t="str" cm="1">
        <f t="array" ref="T874">_xlfn.IFS(J874&lt;3500,"&lt;3.5K",J874&lt;5500,"3.5-5.5K",J874&lt;7500,"5.5-7.5K",J874&gt;=7500,"7.5K+")</f>
        <v>3.5-5.5K</v>
      </c>
      <c r="U874">
        <f t="shared" si="13"/>
        <v>1</v>
      </c>
    </row>
    <row r="875" spans="1:21" x14ac:dyDescent="0.25">
      <c r="A875">
        <v>1253</v>
      </c>
      <c r="B875">
        <v>60</v>
      </c>
      <c r="C875" t="s">
        <v>23</v>
      </c>
      <c r="D875" t="s">
        <v>17</v>
      </c>
      <c r="E875" t="s">
        <v>18</v>
      </c>
      <c r="F875" t="s">
        <v>36</v>
      </c>
      <c r="G875" t="s">
        <v>33</v>
      </c>
      <c r="H875" t="s">
        <v>21</v>
      </c>
      <c r="I875">
        <v>20</v>
      </c>
      <c r="J875" s="2">
        <v>15985</v>
      </c>
      <c r="K875" t="s">
        <v>22</v>
      </c>
      <c r="L875">
        <v>4</v>
      </c>
      <c r="M875">
        <v>1</v>
      </c>
      <c r="N875">
        <v>3</v>
      </c>
      <c r="O875">
        <v>2</v>
      </c>
      <c r="P875">
        <v>40</v>
      </c>
      <c r="Q875" t="s">
        <v>42</v>
      </c>
      <c r="R875" t="str" cm="1">
        <f t="array" ref="R875">_xlfn.IFS(N875&lt;=1,"0-1 yrs",N875&lt;=4,"2-4 yrs",N875&lt;=9,"5-9 yrs",N875&gt;9,"10+ yrs")</f>
        <v>2-4 yrs</v>
      </c>
      <c r="S875" t="str" cm="1">
        <f t="array" ref="S875">_xlfn.IFS(B875&lt;=25,"20-25",B875&lt;=35,"26-35",B875&lt;=45,"36-45",B875&gt;45,"46+")</f>
        <v>46+</v>
      </c>
      <c r="T875" t="str" cm="1">
        <f t="array" ref="T875">_xlfn.IFS(J875&lt;3500,"&lt;3.5K",J875&lt;5500,"3.5-5.5K",J875&lt;7500,"5.5-7.5K",J875&gt;=7500,"7.5K+")</f>
        <v>7.5K+</v>
      </c>
      <c r="U875">
        <f t="shared" si="13"/>
        <v>1</v>
      </c>
    </row>
    <row r="876" spans="1:21" x14ac:dyDescent="0.25">
      <c r="A876">
        <v>1580</v>
      </c>
      <c r="B876">
        <v>30</v>
      </c>
      <c r="C876" t="s">
        <v>23</v>
      </c>
      <c r="D876" t="s">
        <v>17</v>
      </c>
      <c r="E876" t="s">
        <v>35</v>
      </c>
      <c r="F876" t="s">
        <v>38</v>
      </c>
      <c r="G876" t="s">
        <v>33</v>
      </c>
      <c r="H876" t="s">
        <v>30</v>
      </c>
      <c r="I876">
        <v>13</v>
      </c>
      <c r="J876" s="2">
        <v>6514</v>
      </c>
      <c r="K876" t="s">
        <v>22</v>
      </c>
      <c r="L876">
        <v>3</v>
      </c>
      <c r="M876">
        <v>1</v>
      </c>
      <c r="N876">
        <v>0</v>
      </c>
      <c r="O876">
        <v>0</v>
      </c>
      <c r="P876">
        <v>6</v>
      </c>
      <c r="Q876" t="s">
        <v>42</v>
      </c>
      <c r="R876" t="str" cm="1">
        <f t="array" ref="R876">_xlfn.IFS(N876&lt;=1,"0-1 yrs",N876&lt;=4,"2-4 yrs",N876&lt;=9,"5-9 yrs",N876&gt;9,"10+ yrs")</f>
        <v>0-1 yrs</v>
      </c>
      <c r="S876" t="str" cm="1">
        <f t="array" ref="S876">_xlfn.IFS(B876&lt;=25,"20-25",B876&lt;=35,"26-35",B876&lt;=45,"36-45",B876&gt;45,"46+")</f>
        <v>26-35</v>
      </c>
      <c r="T876" t="str" cm="1">
        <f t="array" ref="T876">_xlfn.IFS(J876&lt;3500,"&lt;3.5K",J876&lt;5500,"3.5-5.5K",J876&lt;7500,"5.5-7.5K",J876&gt;=7500,"7.5K+")</f>
        <v>5.5-7.5K</v>
      </c>
      <c r="U876">
        <f t="shared" si="13"/>
        <v>1</v>
      </c>
    </row>
    <row r="877" spans="1:21" x14ac:dyDescent="0.25">
      <c r="A877">
        <v>1075</v>
      </c>
      <c r="B877">
        <v>23</v>
      </c>
      <c r="C877" t="s">
        <v>23</v>
      </c>
      <c r="D877" t="s">
        <v>24</v>
      </c>
      <c r="E877" t="s">
        <v>25</v>
      </c>
      <c r="F877" t="s">
        <v>36</v>
      </c>
      <c r="G877" t="s">
        <v>33</v>
      </c>
      <c r="H877" t="s">
        <v>21</v>
      </c>
      <c r="I877">
        <v>21</v>
      </c>
      <c r="J877" s="2">
        <v>9642</v>
      </c>
      <c r="K877" t="s">
        <v>22</v>
      </c>
      <c r="L877">
        <v>4</v>
      </c>
      <c r="M877">
        <v>1</v>
      </c>
      <c r="N877">
        <v>0</v>
      </c>
      <c r="O877">
        <v>0</v>
      </c>
      <c r="P877">
        <v>0</v>
      </c>
      <c r="Q877" t="s">
        <v>22</v>
      </c>
      <c r="R877" t="str" cm="1">
        <f t="array" ref="R877">_xlfn.IFS(N877&lt;=1,"0-1 yrs",N877&lt;=4,"2-4 yrs",N877&lt;=9,"5-9 yrs",N877&gt;9,"10+ yrs")</f>
        <v>0-1 yrs</v>
      </c>
      <c r="S877" t="str" cm="1">
        <f t="array" ref="S877">_xlfn.IFS(B877&lt;=25,"20-25",B877&lt;=35,"26-35",B877&lt;=45,"36-45",B877&gt;45,"46+")</f>
        <v>20-25</v>
      </c>
      <c r="T877" t="str" cm="1">
        <f t="array" ref="T877">_xlfn.IFS(J877&lt;3500,"&lt;3.5K",J877&lt;5500,"3.5-5.5K",J877&lt;7500,"5.5-7.5K",J877&gt;=7500,"7.5K+")</f>
        <v>7.5K+</v>
      </c>
      <c r="U877">
        <f t="shared" si="13"/>
        <v>0</v>
      </c>
    </row>
    <row r="878" spans="1:21" x14ac:dyDescent="0.25">
      <c r="A878">
        <v>1526</v>
      </c>
      <c r="B878">
        <v>36</v>
      </c>
      <c r="C878" t="s">
        <v>16</v>
      </c>
      <c r="D878" t="s">
        <v>24</v>
      </c>
      <c r="E878" t="s">
        <v>45</v>
      </c>
      <c r="F878" t="s">
        <v>32</v>
      </c>
      <c r="G878" t="s">
        <v>37</v>
      </c>
      <c r="H878" t="s">
        <v>30</v>
      </c>
      <c r="I878">
        <v>16</v>
      </c>
      <c r="J878" s="2">
        <v>5493</v>
      </c>
      <c r="K878" t="s">
        <v>22</v>
      </c>
      <c r="L878">
        <v>2</v>
      </c>
      <c r="M878">
        <v>2</v>
      </c>
      <c r="N878">
        <v>3</v>
      </c>
      <c r="O878">
        <v>3</v>
      </c>
      <c r="P878">
        <v>5</v>
      </c>
      <c r="Q878" t="s">
        <v>22</v>
      </c>
      <c r="R878" t="str" cm="1">
        <f t="array" ref="R878">_xlfn.IFS(N878&lt;=1,"0-1 yrs",N878&lt;=4,"2-4 yrs",N878&lt;=9,"5-9 yrs",N878&gt;9,"10+ yrs")</f>
        <v>2-4 yrs</v>
      </c>
      <c r="S878" t="str" cm="1">
        <f t="array" ref="S878">_xlfn.IFS(B878&lt;=25,"20-25",B878&lt;=35,"26-35",B878&lt;=45,"36-45",B878&gt;45,"46+")</f>
        <v>36-45</v>
      </c>
      <c r="T878" t="str" cm="1">
        <f t="array" ref="T878">_xlfn.IFS(J878&lt;3500,"&lt;3.5K",J878&lt;5500,"3.5-5.5K",J878&lt;7500,"5.5-7.5K",J878&gt;=7500,"7.5K+")</f>
        <v>3.5-5.5K</v>
      </c>
      <c r="U878">
        <f t="shared" si="13"/>
        <v>0</v>
      </c>
    </row>
    <row r="879" spans="1:21" x14ac:dyDescent="0.25">
      <c r="A879">
        <v>1909</v>
      </c>
      <c r="B879">
        <v>40</v>
      </c>
      <c r="C879" t="s">
        <v>23</v>
      </c>
      <c r="D879" t="s">
        <v>24</v>
      </c>
      <c r="E879" t="s">
        <v>46</v>
      </c>
      <c r="F879" t="s">
        <v>32</v>
      </c>
      <c r="G879" t="s">
        <v>33</v>
      </c>
      <c r="H879" t="s">
        <v>34</v>
      </c>
      <c r="I879">
        <v>27</v>
      </c>
      <c r="J879" s="2">
        <v>9194</v>
      </c>
      <c r="K879" t="s">
        <v>22</v>
      </c>
      <c r="L879">
        <v>3</v>
      </c>
      <c r="M879">
        <v>1</v>
      </c>
      <c r="N879">
        <v>1</v>
      </c>
      <c r="O879">
        <v>0</v>
      </c>
      <c r="P879">
        <v>20</v>
      </c>
      <c r="Q879" t="s">
        <v>22</v>
      </c>
      <c r="R879" t="str" cm="1">
        <f t="array" ref="R879">_xlfn.IFS(N879&lt;=1,"0-1 yrs",N879&lt;=4,"2-4 yrs",N879&lt;=9,"5-9 yrs",N879&gt;9,"10+ yrs")</f>
        <v>0-1 yrs</v>
      </c>
      <c r="S879" t="str" cm="1">
        <f t="array" ref="S879">_xlfn.IFS(B879&lt;=25,"20-25",B879&lt;=35,"26-35",B879&lt;=45,"36-45",B879&gt;45,"46+")</f>
        <v>36-45</v>
      </c>
      <c r="T879" t="str" cm="1">
        <f t="array" ref="T879">_xlfn.IFS(J879&lt;3500,"&lt;3.5K",J879&lt;5500,"3.5-5.5K",J879&lt;7500,"5.5-7.5K",J879&gt;=7500,"7.5K+")</f>
        <v>7.5K+</v>
      </c>
      <c r="U879">
        <f t="shared" si="13"/>
        <v>0</v>
      </c>
    </row>
    <row r="880" spans="1:21" x14ac:dyDescent="0.25">
      <c r="A880">
        <v>1070</v>
      </c>
      <c r="B880">
        <v>53</v>
      </c>
      <c r="C880" t="s">
        <v>16</v>
      </c>
      <c r="D880" t="s">
        <v>27</v>
      </c>
      <c r="E880" t="s">
        <v>44</v>
      </c>
      <c r="F880" t="s">
        <v>32</v>
      </c>
      <c r="G880" t="s">
        <v>33</v>
      </c>
      <c r="H880" t="s">
        <v>30</v>
      </c>
      <c r="I880">
        <v>15</v>
      </c>
      <c r="J880" s="2">
        <v>10587</v>
      </c>
      <c r="K880" t="s">
        <v>22</v>
      </c>
      <c r="L880">
        <v>3</v>
      </c>
      <c r="M880">
        <v>3</v>
      </c>
      <c r="N880">
        <v>5</v>
      </c>
      <c r="O880">
        <v>2</v>
      </c>
      <c r="P880">
        <v>25</v>
      </c>
      <c r="Q880" t="s">
        <v>22</v>
      </c>
      <c r="R880" t="str" cm="1">
        <f t="array" ref="R880">_xlfn.IFS(N880&lt;=1,"0-1 yrs",N880&lt;=4,"2-4 yrs",N880&lt;=9,"5-9 yrs",N880&gt;9,"10+ yrs")</f>
        <v>5-9 yrs</v>
      </c>
      <c r="S880" t="str" cm="1">
        <f t="array" ref="S880">_xlfn.IFS(B880&lt;=25,"20-25",B880&lt;=35,"26-35",B880&lt;=45,"36-45",B880&gt;45,"46+")</f>
        <v>46+</v>
      </c>
      <c r="T880" t="str" cm="1">
        <f t="array" ref="T880">_xlfn.IFS(J880&lt;3500,"&lt;3.5K",J880&lt;5500,"3.5-5.5K",J880&lt;7500,"5.5-7.5K",J880&gt;=7500,"7.5K+")</f>
        <v>7.5K+</v>
      </c>
      <c r="U880">
        <f t="shared" si="13"/>
        <v>0</v>
      </c>
    </row>
    <row r="881" spans="1:21" x14ac:dyDescent="0.25">
      <c r="A881">
        <v>1779</v>
      </c>
      <c r="B881">
        <v>58</v>
      </c>
      <c r="C881" t="s">
        <v>23</v>
      </c>
      <c r="D881" t="s">
        <v>17</v>
      </c>
      <c r="E881" t="s">
        <v>35</v>
      </c>
      <c r="F881" t="s">
        <v>36</v>
      </c>
      <c r="G881" t="s">
        <v>37</v>
      </c>
      <c r="H881" t="s">
        <v>34</v>
      </c>
      <c r="I881">
        <v>17</v>
      </c>
      <c r="J881" s="2">
        <v>8138</v>
      </c>
      <c r="K881" t="s">
        <v>22</v>
      </c>
      <c r="L881">
        <v>1</v>
      </c>
      <c r="M881">
        <v>2</v>
      </c>
      <c r="N881">
        <v>21</v>
      </c>
      <c r="O881">
        <v>8</v>
      </c>
      <c r="P881">
        <v>34</v>
      </c>
      <c r="Q881" t="s">
        <v>22</v>
      </c>
      <c r="R881" t="str" cm="1">
        <f t="array" ref="R881">_xlfn.IFS(N881&lt;=1,"0-1 yrs",N881&lt;=4,"2-4 yrs",N881&lt;=9,"5-9 yrs",N881&gt;9,"10+ yrs")</f>
        <v>10+ yrs</v>
      </c>
      <c r="S881" t="str" cm="1">
        <f t="array" ref="S881">_xlfn.IFS(B881&lt;=25,"20-25",B881&lt;=35,"26-35",B881&lt;=45,"36-45",B881&gt;45,"46+")</f>
        <v>46+</v>
      </c>
      <c r="T881" t="str" cm="1">
        <f t="array" ref="T881">_xlfn.IFS(J881&lt;3500,"&lt;3.5K",J881&lt;5500,"3.5-5.5K",J881&lt;7500,"5.5-7.5K",J881&gt;=7500,"7.5K+")</f>
        <v>7.5K+</v>
      </c>
      <c r="U881">
        <f t="shared" si="13"/>
        <v>0</v>
      </c>
    </row>
    <row r="882" spans="1:21" x14ac:dyDescent="0.25">
      <c r="A882">
        <v>1916</v>
      </c>
      <c r="B882">
        <v>42</v>
      </c>
      <c r="C882" t="s">
        <v>16</v>
      </c>
      <c r="D882" t="s">
        <v>47</v>
      </c>
      <c r="E882" t="s">
        <v>48</v>
      </c>
      <c r="F882" t="s">
        <v>32</v>
      </c>
      <c r="G882" t="s">
        <v>33</v>
      </c>
      <c r="H882" t="s">
        <v>34</v>
      </c>
      <c r="I882">
        <v>20</v>
      </c>
      <c r="J882" s="2">
        <v>6437</v>
      </c>
      <c r="K882" t="s">
        <v>42</v>
      </c>
      <c r="L882">
        <v>2</v>
      </c>
      <c r="M882">
        <v>2</v>
      </c>
      <c r="N882">
        <v>1</v>
      </c>
      <c r="O882">
        <v>0</v>
      </c>
      <c r="P882">
        <v>10</v>
      </c>
      <c r="Q882" t="s">
        <v>22</v>
      </c>
      <c r="R882" t="str" cm="1">
        <f t="array" ref="R882">_xlfn.IFS(N882&lt;=1,"0-1 yrs",N882&lt;=4,"2-4 yrs",N882&lt;=9,"5-9 yrs",N882&gt;9,"10+ yrs")</f>
        <v>0-1 yrs</v>
      </c>
      <c r="S882" t="str" cm="1">
        <f t="array" ref="S882">_xlfn.IFS(B882&lt;=25,"20-25",B882&lt;=35,"26-35",B882&lt;=45,"36-45",B882&gt;45,"46+")</f>
        <v>36-45</v>
      </c>
      <c r="T882" t="str" cm="1">
        <f t="array" ref="T882">_xlfn.IFS(J882&lt;3500,"&lt;3.5K",J882&lt;5500,"3.5-5.5K",J882&lt;7500,"5.5-7.5K",J882&gt;=7500,"7.5K+")</f>
        <v>5.5-7.5K</v>
      </c>
      <c r="U882">
        <f t="shared" si="13"/>
        <v>0</v>
      </c>
    </row>
    <row r="883" spans="1:21" x14ac:dyDescent="0.25">
      <c r="A883">
        <v>1149</v>
      </c>
      <c r="B883">
        <v>45</v>
      </c>
      <c r="C883" t="s">
        <v>16</v>
      </c>
      <c r="D883" t="s">
        <v>17</v>
      </c>
      <c r="E883" t="s">
        <v>40</v>
      </c>
      <c r="F883" t="s">
        <v>19</v>
      </c>
      <c r="G883" t="s">
        <v>33</v>
      </c>
      <c r="H883" t="s">
        <v>21</v>
      </c>
      <c r="I883">
        <v>25</v>
      </c>
      <c r="J883" s="2">
        <v>8552</v>
      </c>
      <c r="K883" t="s">
        <v>22</v>
      </c>
      <c r="L883">
        <v>2</v>
      </c>
      <c r="M883">
        <v>3</v>
      </c>
      <c r="N883">
        <v>1</v>
      </c>
      <c r="O883">
        <v>0</v>
      </c>
      <c r="P883">
        <v>15</v>
      </c>
      <c r="Q883" t="s">
        <v>22</v>
      </c>
      <c r="R883" t="str" cm="1">
        <f t="array" ref="R883">_xlfn.IFS(N883&lt;=1,"0-1 yrs",N883&lt;=4,"2-4 yrs",N883&lt;=9,"5-9 yrs",N883&gt;9,"10+ yrs")</f>
        <v>0-1 yrs</v>
      </c>
      <c r="S883" t="str" cm="1">
        <f t="array" ref="S883">_xlfn.IFS(B883&lt;=25,"20-25",B883&lt;=35,"26-35",B883&lt;=45,"36-45",B883&gt;45,"46+")</f>
        <v>36-45</v>
      </c>
      <c r="T883" t="str" cm="1">
        <f t="array" ref="T883">_xlfn.IFS(J883&lt;3500,"&lt;3.5K",J883&lt;5500,"3.5-5.5K",J883&lt;7500,"5.5-7.5K",J883&gt;=7500,"7.5K+")</f>
        <v>7.5K+</v>
      </c>
      <c r="U883">
        <f t="shared" si="13"/>
        <v>0</v>
      </c>
    </row>
    <row r="884" spans="1:21" x14ac:dyDescent="0.25">
      <c r="A884">
        <v>1932</v>
      </c>
      <c r="B884">
        <v>38</v>
      </c>
      <c r="C884" t="s">
        <v>23</v>
      </c>
      <c r="D884" t="s">
        <v>24</v>
      </c>
      <c r="E884" t="s">
        <v>25</v>
      </c>
      <c r="F884" t="s">
        <v>41</v>
      </c>
      <c r="G884" t="s">
        <v>20</v>
      </c>
      <c r="H884" t="s">
        <v>34</v>
      </c>
      <c r="I884">
        <v>17</v>
      </c>
      <c r="J884" s="2">
        <v>11120</v>
      </c>
      <c r="K884" t="s">
        <v>42</v>
      </c>
      <c r="L884">
        <v>1</v>
      </c>
      <c r="M884">
        <v>4</v>
      </c>
      <c r="N884">
        <v>3</v>
      </c>
      <c r="O884">
        <v>3</v>
      </c>
      <c r="P884">
        <v>16</v>
      </c>
      <c r="Q884" t="s">
        <v>22</v>
      </c>
      <c r="R884" t="str" cm="1">
        <f t="array" ref="R884">_xlfn.IFS(N884&lt;=1,"0-1 yrs",N884&lt;=4,"2-4 yrs",N884&lt;=9,"5-9 yrs",N884&gt;9,"10+ yrs")</f>
        <v>2-4 yrs</v>
      </c>
      <c r="S884" t="str" cm="1">
        <f t="array" ref="S884">_xlfn.IFS(B884&lt;=25,"20-25",B884&lt;=35,"26-35",B884&lt;=45,"36-45",B884&gt;45,"46+")</f>
        <v>36-45</v>
      </c>
      <c r="T884" t="str" cm="1">
        <f t="array" ref="T884">_xlfn.IFS(J884&lt;3500,"&lt;3.5K",J884&lt;5500,"3.5-5.5K",J884&lt;7500,"5.5-7.5K",J884&gt;=7500,"7.5K+")</f>
        <v>7.5K+</v>
      </c>
      <c r="U884">
        <f t="shared" si="13"/>
        <v>0</v>
      </c>
    </row>
    <row r="885" spans="1:21" x14ac:dyDescent="0.25">
      <c r="A885">
        <v>1879</v>
      </c>
      <c r="B885">
        <v>46</v>
      </c>
      <c r="C885" t="s">
        <v>16</v>
      </c>
      <c r="D885" t="s">
        <v>27</v>
      </c>
      <c r="E885" t="s">
        <v>44</v>
      </c>
      <c r="F885" t="s">
        <v>41</v>
      </c>
      <c r="G885" t="s">
        <v>20</v>
      </c>
      <c r="H885" t="s">
        <v>21</v>
      </c>
      <c r="I885">
        <v>15</v>
      </c>
      <c r="J885" s="2">
        <v>14566</v>
      </c>
      <c r="K885" t="s">
        <v>22</v>
      </c>
      <c r="L885">
        <v>4</v>
      </c>
      <c r="M885">
        <v>3</v>
      </c>
      <c r="N885">
        <v>25</v>
      </c>
      <c r="O885">
        <v>16</v>
      </c>
      <c r="P885">
        <v>26</v>
      </c>
      <c r="Q885" t="s">
        <v>42</v>
      </c>
      <c r="R885" t="str" cm="1">
        <f t="array" ref="R885">_xlfn.IFS(N885&lt;=1,"0-1 yrs",N885&lt;=4,"2-4 yrs",N885&lt;=9,"5-9 yrs",N885&gt;9,"10+ yrs")</f>
        <v>10+ yrs</v>
      </c>
      <c r="S885" t="str" cm="1">
        <f t="array" ref="S885">_xlfn.IFS(B885&lt;=25,"20-25",B885&lt;=35,"26-35",B885&lt;=45,"36-45",B885&gt;45,"46+")</f>
        <v>46+</v>
      </c>
      <c r="T885" t="str" cm="1">
        <f t="array" ref="T885">_xlfn.IFS(J885&lt;3500,"&lt;3.5K",J885&lt;5500,"3.5-5.5K",J885&lt;7500,"5.5-7.5K",J885&gt;=7500,"7.5K+")</f>
        <v>7.5K+</v>
      </c>
      <c r="U885">
        <f t="shared" si="13"/>
        <v>1</v>
      </c>
    </row>
    <row r="886" spans="1:21" x14ac:dyDescent="0.25">
      <c r="A886">
        <v>1131</v>
      </c>
      <c r="B886">
        <v>22</v>
      </c>
      <c r="C886" t="s">
        <v>23</v>
      </c>
      <c r="D886" t="s">
        <v>27</v>
      </c>
      <c r="E886" t="s">
        <v>43</v>
      </c>
      <c r="F886" t="s">
        <v>32</v>
      </c>
      <c r="G886" t="s">
        <v>20</v>
      </c>
      <c r="H886" t="s">
        <v>30</v>
      </c>
      <c r="I886">
        <v>5</v>
      </c>
      <c r="J886" s="2">
        <v>5142</v>
      </c>
      <c r="K886" t="s">
        <v>22</v>
      </c>
      <c r="L886">
        <v>1</v>
      </c>
      <c r="M886">
        <v>4</v>
      </c>
      <c r="N886">
        <v>0</v>
      </c>
      <c r="O886">
        <v>0</v>
      </c>
      <c r="P886">
        <v>0</v>
      </c>
      <c r="Q886" t="s">
        <v>42</v>
      </c>
      <c r="R886" t="str" cm="1">
        <f t="array" ref="R886">_xlfn.IFS(N886&lt;=1,"0-1 yrs",N886&lt;=4,"2-4 yrs",N886&lt;=9,"5-9 yrs",N886&gt;9,"10+ yrs")</f>
        <v>0-1 yrs</v>
      </c>
      <c r="S886" t="str" cm="1">
        <f t="array" ref="S886">_xlfn.IFS(B886&lt;=25,"20-25",B886&lt;=35,"26-35",B886&lt;=45,"36-45",B886&gt;45,"46+")</f>
        <v>20-25</v>
      </c>
      <c r="T886" t="str" cm="1">
        <f t="array" ref="T886">_xlfn.IFS(J886&lt;3500,"&lt;3.5K",J886&lt;5500,"3.5-5.5K",J886&lt;7500,"5.5-7.5K",J886&gt;=7500,"7.5K+")</f>
        <v>3.5-5.5K</v>
      </c>
      <c r="U886">
        <f t="shared" si="13"/>
        <v>1</v>
      </c>
    </row>
    <row r="887" spans="1:21" x14ac:dyDescent="0.25">
      <c r="A887">
        <v>1684</v>
      </c>
      <c r="B887">
        <v>44</v>
      </c>
      <c r="C887" t="s">
        <v>23</v>
      </c>
      <c r="D887" t="s">
        <v>17</v>
      </c>
      <c r="E887" t="s">
        <v>18</v>
      </c>
      <c r="F887" t="s">
        <v>19</v>
      </c>
      <c r="G887" t="s">
        <v>20</v>
      </c>
      <c r="H887" t="s">
        <v>30</v>
      </c>
      <c r="I887">
        <v>25</v>
      </c>
      <c r="J887" s="2">
        <v>13992</v>
      </c>
      <c r="K887" t="s">
        <v>22</v>
      </c>
      <c r="L887">
        <v>1</v>
      </c>
      <c r="M887">
        <v>2</v>
      </c>
      <c r="N887">
        <v>13</v>
      </c>
      <c r="O887">
        <v>7</v>
      </c>
      <c r="P887">
        <v>24</v>
      </c>
      <c r="Q887" t="s">
        <v>22</v>
      </c>
      <c r="R887" t="str" cm="1">
        <f t="array" ref="R887">_xlfn.IFS(N887&lt;=1,"0-1 yrs",N887&lt;=4,"2-4 yrs",N887&lt;=9,"5-9 yrs",N887&gt;9,"10+ yrs")</f>
        <v>10+ yrs</v>
      </c>
      <c r="S887" t="str" cm="1">
        <f t="array" ref="S887">_xlfn.IFS(B887&lt;=25,"20-25",B887&lt;=35,"26-35",B887&lt;=45,"36-45",B887&gt;45,"46+")</f>
        <v>36-45</v>
      </c>
      <c r="T887" t="str" cm="1">
        <f t="array" ref="T887">_xlfn.IFS(J887&lt;3500,"&lt;3.5K",J887&lt;5500,"3.5-5.5K",J887&lt;7500,"5.5-7.5K",J887&gt;=7500,"7.5K+")</f>
        <v>7.5K+</v>
      </c>
      <c r="U887">
        <f t="shared" si="13"/>
        <v>0</v>
      </c>
    </row>
    <row r="888" spans="1:21" x14ac:dyDescent="0.25">
      <c r="A888">
        <v>1150</v>
      </c>
      <c r="B888">
        <v>53</v>
      </c>
      <c r="C888" t="s">
        <v>16</v>
      </c>
      <c r="D888" t="s">
        <v>47</v>
      </c>
      <c r="E888" t="s">
        <v>53</v>
      </c>
      <c r="F888" t="s">
        <v>26</v>
      </c>
      <c r="G888" t="s">
        <v>37</v>
      </c>
      <c r="H888" t="s">
        <v>21</v>
      </c>
      <c r="I888">
        <v>21</v>
      </c>
      <c r="J888" s="2">
        <v>15784</v>
      </c>
      <c r="K888" t="s">
        <v>22</v>
      </c>
      <c r="L888">
        <v>4</v>
      </c>
      <c r="M888">
        <v>1</v>
      </c>
      <c r="N888">
        <v>1</v>
      </c>
      <c r="O888">
        <v>0</v>
      </c>
      <c r="P888">
        <v>29</v>
      </c>
      <c r="Q888" t="s">
        <v>22</v>
      </c>
      <c r="R888" t="str" cm="1">
        <f t="array" ref="R888">_xlfn.IFS(N888&lt;=1,"0-1 yrs",N888&lt;=4,"2-4 yrs",N888&lt;=9,"5-9 yrs",N888&gt;9,"10+ yrs")</f>
        <v>0-1 yrs</v>
      </c>
      <c r="S888" t="str" cm="1">
        <f t="array" ref="S888">_xlfn.IFS(B888&lt;=25,"20-25",B888&lt;=35,"26-35",B888&lt;=45,"36-45",B888&gt;45,"46+")</f>
        <v>46+</v>
      </c>
      <c r="T888" t="str" cm="1">
        <f t="array" ref="T888">_xlfn.IFS(J888&lt;3500,"&lt;3.5K",J888&lt;5500,"3.5-5.5K",J888&lt;7500,"5.5-7.5K",J888&gt;=7500,"7.5K+")</f>
        <v>7.5K+</v>
      </c>
      <c r="U888">
        <f t="shared" si="13"/>
        <v>0</v>
      </c>
    </row>
    <row r="889" spans="1:21" x14ac:dyDescent="0.25">
      <c r="A889">
        <v>1073</v>
      </c>
      <c r="B889">
        <v>51</v>
      </c>
      <c r="C889" t="s">
        <v>16</v>
      </c>
      <c r="D889" t="s">
        <v>47</v>
      </c>
      <c r="E889" t="s">
        <v>50</v>
      </c>
      <c r="F889" t="s">
        <v>29</v>
      </c>
      <c r="G889" t="s">
        <v>20</v>
      </c>
      <c r="H889" t="s">
        <v>30</v>
      </c>
      <c r="I889">
        <v>24</v>
      </c>
      <c r="J889" s="2">
        <v>11802</v>
      </c>
      <c r="K889" t="s">
        <v>22</v>
      </c>
      <c r="L889">
        <v>4</v>
      </c>
      <c r="M889">
        <v>3</v>
      </c>
      <c r="N889">
        <v>17</v>
      </c>
      <c r="O889">
        <v>4</v>
      </c>
      <c r="P889">
        <v>29</v>
      </c>
      <c r="Q889" t="s">
        <v>22</v>
      </c>
      <c r="R889" t="str" cm="1">
        <f t="array" ref="R889">_xlfn.IFS(N889&lt;=1,"0-1 yrs",N889&lt;=4,"2-4 yrs",N889&lt;=9,"5-9 yrs",N889&gt;9,"10+ yrs")</f>
        <v>10+ yrs</v>
      </c>
      <c r="S889" t="str" cm="1">
        <f t="array" ref="S889">_xlfn.IFS(B889&lt;=25,"20-25",B889&lt;=35,"26-35",B889&lt;=45,"36-45",B889&gt;45,"46+")</f>
        <v>46+</v>
      </c>
      <c r="T889" t="str" cm="1">
        <f t="array" ref="T889">_xlfn.IFS(J889&lt;3500,"&lt;3.5K",J889&lt;5500,"3.5-5.5K",J889&lt;7500,"5.5-7.5K",J889&gt;=7500,"7.5K+")</f>
        <v>7.5K+</v>
      </c>
      <c r="U889">
        <f t="shared" si="13"/>
        <v>0</v>
      </c>
    </row>
    <row r="890" spans="1:21" x14ac:dyDescent="0.25">
      <c r="A890">
        <v>1824</v>
      </c>
      <c r="B890">
        <v>49</v>
      </c>
      <c r="C890" t="s">
        <v>16</v>
      </c>
      <c r="D890" t="s">
        <v>24</v>
      </c>
      <c r="E890" t="s">
        <v>52</v>
      </c>
      <c r="F890" t="s">
        <v>38</v>
      </c>
      <c r="G890" t="s">
        <v>33</v>
      </c>
      <c r="H890" t="s">
        <v>34</v>
      </c>
      <c r="I890">
        <v>7</v>
      </c>
      <c r="J890" s="2">
        <v>10464</v>
      </c>
      <c r="K890" t="s">
        <v>42</v>
      </c>
      <c r="L890">
        <v>1</v>
      </c>
      <c r="M890">
        <v>2</v>
      </c>
      <c r="N890">
        <v>5</v>
      </c>
      <c r="O890">
        <v>2</v>
      </c>
      <c r="P890">
        <v>27</v>
      </c>
      <c r="Q890" t="s">
        <v>22</v>
      </c>
      <c r="R890" t="str" cm="1">
        <f t="array" ref="R890">_xlfn.IFS(N890&lt;=1,"0-1 yrs",N890&lt;=4,"2-4 yrs",N890&lt;=9,"5-9 yrs",N890&gt;9,"10+ yrs")</f>
        <v>5-9 yrs</v>
      </c>
      <c r="S890" t="str" cm="1">
        <f t="array" ref="S890">_xlfn.IFS(B890&lt;=25,"20-25",B890&lt;=35,"26-35",B890&lt;=45,"36-45",B890&gt;45,"46+")</f>
        <v>46+</v>
      </c>
      <c r="T890" t="str" cm="1">
        <f t="array" ref="T890">_xlfn.IFS(J890&lt;3500,"&lt;3.5K",J890&lt;5500,"3.5-5.5K",J890&lt;7500,"5.5-7.5K",J890&gt;=7500,"7.5K+")</f>
        <v>7.5K+</v>
      </c>
      <c r="U890">
        <f t="shared" si="13"/>
        <v>0</v>
      </c>
    </row>
    <row r="891" spans="1:21" x14ac:dyDescent="0.25">
      <c r="A891">
        <v>1880</v>
      </c>
      <c r="B891">
        <v>42</v>
      </c>
      <c r="C891" t="s">
        <v>16</v>
      </c>
      <c r="D891" t="s">
        <v>47</v>
      </c>
      <c r="E891" t="s">
        <v>48</v>
      </c>
      <c r="F891" t="s">
        <v>41</v>
      </c>
      <c r="G891" t="s">
        <v>33</v>
      </c>
      <c r="H891" t="s">
        <v>21</v>
      </c>
      <c r="I891">
        <v>26</v>
      </c>
      <c r="J891" s="2">
        <v>9527</v>
      </c>
      <c r="K891" t="s">
        <v>22</v>
      </c>
      <c r="L891">
        <v>2</v>
      </c>
      <c r="M891">
        <v>1</v>
      </c>
      <c r="N891">
        <v>2</v>
      </c>
      <c r="O891">
        <v>1</v>
      </c>
      <c r="P891">
        <v>15</v>
      </c>
      <c r="Q891" t="s">
        <v>22</v>
      </c>
      <c r="R891" t="str" cm="1">
        <f t="array" ref="R891">_xlfn.IFS(N891&lt;=1,"0-1 yrs",N891&lt;=4,"2-4 yrs",N891&lt;=9,"5-9 yrs",N891&gt;9,"10+ yrs")</f>
        <v>2-4 yrs</v>
      </c>
      <c r="S891" t="str" cm="1">
        <f t="array" ref="S891">_xlfn.IFS(B891&lt;=25,"20-25",B891&lt;=35,"26-35",B891&lt;=45,"36-45",B891&gt;45,"46+")</f>
        <v>36-45</v>
      </c>
      <c r="T891" t="str" cm="1">
        <f t="array" ref="T891">_xlfn.IFS(J891&lt;3500,"&lt;3.5K",J891&lt;5500,"3.5-5.5K",J891&lt;7500,"5.5-7.5K",J891&gt;=7500,"7.5K+")</f>
        <v>7.5K+</v>
      </c>
      <c r="U891">
        <f t="shared" si="13"/>
        <v>0</v>
      </c>
    </row>
    <row r="892" spans="1:21" x14ac:dyDescent="0.25">
      <c r="A892">
        <v>1555</v>
      </c>
      <c r="B892">
        <v>60</v>
      </c>
      <c r="C892" t="s">
        <v>16</v>
      </c>
      <c r="D892" t="s">
        <v>17</v>
      </c>
      <c r="E892" t="s">
        <v>40</v>
      </c>
      <c r="F892" t="s">
        <v>29</v>
      </c>
      <c r="G892" t="s">
        <v>20</v>
      </c>
      <c r="H892" t="s">
        <v>21</v>
      </c>
      <c r="I892">
        <v>19</v>
      </c>
      <c r="J892" s="2">
        <v>11064</v>
      </c>
      <c r="K892" t="s">
        <v>22</v>
      </c>
      <c r="L892">
        <v>4</v>
      </c>
      <c r="M892">
        <v>3</v>
      </c>
      <c r="N892">
        <v>10</v>
      </c>
      <c r="O892">
        <v>3</v>
      </c>
      <c r="P892">
        <v>40</v>
      </c>
      <c r="Q892" t="s">
        <v>22</v>
      </c>
      <c r="R892" t="str" cm="1">
        <f t="array" ref="R892">_xlfn.IFS(N892&lt;=1,"0-1 yrs",N892&lt;=4,"2-4 yrs",N892&lt;=9,"5-9 yrs",N892&gt;9,"10+ yrs")</f>
        <v>10+ yrs</v>
      </c>
      <c r="S892" t="str" cm="1">
        <f t="array" ref="S892">_xlfn.IFS(B892&lt;=25,"20-25",B892&lt;=35,"26-35",B892&lt;=45,"36-45",B892&gt;45,"46+")</f>
        <v>46+</v>
      </c>
      <c r="T892" t="str" cm="1">
        <f t="array" ref="T892">_xlfn.IFS(J892&lt;3500,"&lt;3.5K",J892&lt;5500,"3.5-5.5K",J892&lt;7500,"5.5-7.5K",J892&gt;=7500,"7.5K+")</f>
        <v>7.5K+</v>
      </c>
      <c r="U892">
        <f t="shared" si="13"/>
        <v>0</v>
      </c>
    </row>
    <row r="893" spans="1:21" x14ac:dyDescent="0.25">
      <c r="A893">
        <v>1643</v>
      </c>
      <c r="B893">
        <v>31</v>
      </c>
      <c r="C893" t="s">
        <v>16</v>
      </c>
      <c r="D893" t="s">
        <v>17</v>
      </c>
      <c r="E893" t="s">
        <v>18</v>
      </c>
      <c r="F893" t="s">
        <v>38</v>
      </c>
      <c r="G893" t="s">
        <v>37</v>
      </c>
      <c r="H893" t="s">
        <v>30</v>
      </c>
      <c r="I893">
        <v>26</v>
      </c>
      <c r="J893" s="2">
        <v>12348</v>
      </c>
      <c r="K893" t="s">
        <v>22</v>
      </c>
      <c r="L893">
        <v>2</v>
      </c>
      <c r="M893">
        <v>4</v>
      </c>
      <c r="N893">
        <v>4</v>
      </c>
      <c r="O893">
        <v>1</v>
      </c>
      <c r="P893">
        <v>7</v>
      </c>
      <c r="Q893" t="s">
        <v>22</v>
      </c>
      <c r="R893" t="str" cm="1">
        <f t="array" ref="R893">_xlfn.IFS(N893&lt;=1,"0-1 yrs",N893&lt;=4,"2-4 yrs",N893&lt;=9,"5-9 yrs",N893&gt;9,"10+ yrs")</f>
        <v>2-4 yrs</v>
      </c>
      <c r="S893" t="str" cm="1">
        <f t="array" ref="S893">_xlfn.IFS(B893&lt;=25,"20-25",B893&lt;=35,"26-35",B893&lt;=45,"36-45",B893&gt;45,"46+")</f>
        <v>26-35</v>
      </c>
      <c r="T893" t="str" cm="1">
        <f t="array" ref="T893">_xlfn.IFS(J893&lt;3500,"&lt;3.5K",J893&lt;5500,"3.5-5.5K",J893&lt;7500,"5.5-7.5K",J893&gt;=7500,"7.5K+")</f>
        <v>7.5K+</v>
      </c>
      <c r="U893">
        <f t="shared" si="13"/>
        <v>0</v>
      </c>
    </row>
    <row r="894" spans="1:21" x14ac:dyDescent="0.25">
      <c r="A894">
        <v>1649</v>
      </c>
      <c r="B894">
        <v>32</v>
      </c>
      <c r="C894" t="s">
        <v>16</v>
      </c>
      <c r="D894" t="s">
        <v>24</v>
      </c>
      <c r="E894" t="s">
        <v>45</v>
      </c>
      <c r="F894" t="s">
        <v>36</v>
      </c>
      <c r="G894" t="s">
        <v>20</v>
      </c>
      <c r="H894" t="s">
        <v>34</v>
      </c>
      <c r="I894">
        <v>15</v>
      </c>
      <c r="J894" s="2">
        <v>6330</v>
      </c>
      <c r="K894" t="s">
        <v>22</v>
      </c>
      <c r="L894">
        <v>3</v>
      </c>
      <c r="M894">
        <v>3</v>
      </c>
      <c r="N894">
        <v>1</v>
      </c>
      <c r="O894">
        <v>0</v>
      </c>
      <c r="P894">
        <v>5</v>
      </c>
      <c r="Q894" t="s">
        <v>22</v>
      </c>
      <c r="R894" t="str" cm="1">
        <f t="array" ref="R894">_xlfn.IFS(N894&lt;=1,"0-1 yrs",N894&lt;=4,"2-4 yrs",N894&lt;=9,"5-9 yrs",N894&gt;9,"10+ yrs")</f>
        <v>0-1 yrs</v>
      </c>
      <c r="S894" t="str" cm="1">
        <f t="array" ref="S894">_xlfn.IFS(B894&lt;=25,"20-25",B894&lt;=35,"26-35",B894&lt;=45,"36-45",B894&gt;45,"46+")</f>
        <v>26-35</v>
      </c>
      <c r="T894" t="str" cm="1">
        <f t="array" ref="T894">_xlfn.IFS(J894&lt;3500,"&lt;3.5K",J894&lt;5500,"3.5-5.5K",J894&lt;7500,"5.5-7.5K",J894&gt;=7500,"7.5K+")</f>
        <v>5.5-7.5K</v>
      </c>
      <c r="U894">
        <f t="shared" si="13"/>
        <v>0</v>
      </c>
    </row>
    <row r="895" spans="1:21" x14ac:dyDescent="0.25">
      <c r="A895">
        <v>1567</v>
      </c>
      <c r="B895">
        <v>28</v>
      </c>
      <c r="C895" t="s">
        <v>23</v>
      </c>
      <c r="D895" t="s">
        <v>17</v>
      </c>
      <c r="E895" t="s">
        <v>18</v>
      </c>
      <c r="F895" t="s">
        <v>41</v>
      </c>
      <c r="G895" t="s">
        <v>37</v>
      </c>
      <c r="H895" t="s">
        <v>30</v>
      </c>
      <c r="I895">
        <v>26</v>
      </c>
      <c r="J895" s="2">
        <v>10116</v>
      </c>
      <c r="K895" t="s">
        <v>22</v>
      </c>
      <c r="L895">
        <v>3</v>
      </c>
      <c r="M895">
        <v>3</v>
      </c>
      <c r="N895">
        <v>8</v>
      </c>
      <c r="O895">
        <v>4</v>
      </c>
      <c r="P895">
        <v>8</v>
      </c>
      <c r="Q895" t="s">
        <v>22</v>
      </c>
      <c r="R895" t="str" cm="1">
        <f t="array" ref="R895">_xlfn.IFS(N895&lt;=1,"0-1 yrs",N895&lt;=4,"2-4 yrs",N895&lt;=9,"5-9 yrs",N895&gt;9,"10+ yrs")</f>
        <v>5-9 yrs</v>
      </c>
      <c r="S895" t="str" cm="1">
        <f t="array" ref="S895">_xlfn.IFS(B895&lt;=25,"20-25",B895&lt;=35,"26-35",B895&lt;=45,"36-45",B895&gt;45,"46+")</f>
        <v>26-35</v>
      </c>
      <c r="T895" t="str" cm="1">
        <f t="array" ref="T895">_xlfn.IFS(J895&lt;3500,"&lt;3.5K",J895&lt;5500,"3.5-5.5K",J895&lt;7500,"5.5-7.5K",J895&gt;=7500,"7.5K+")</f>
        <v>7.5K+</v>
      </c>
      <c r="U895">
        <f t="shared" si="13"/>
        <v>0</v>
      </c>
    </row>
    <row r="896" spans="1:21" x14ac:dyDescent="0.25">
      <c r="A896">
        <v>1398</v>
      </c>
      <c r="B896">
        <v>57</v>
      </c>
      <c r="C896" t="s">
        <v>23</v>
      </c>
      <c r="D896" t="s">
        <v>17</v>
      </c>
      <c r="E896" t="s">
        <v>35</v>
      </c>
      <c r="F896" t="s">
        <v>26</v>
      </c>
      <c r="G896" t="s">
        <v>20</v>
      </c>
      <c r="H896" t="s">
        <v>21</v>
      </c>
      <c r="I896">
        <v>17</v>
      </c>
      <c r="J896" s="2">
        <v>11538</v>
      </c>
      <c r="K896" t="s">
        <v>42</v>
      </c>
      <c r="L896">
        <v>3</v>
      </c>
      <c r="M896">
        <v>4</v>
      </c>
      <c r="N896">
        <v>9</v>
      </c>
      <c r="O896">
        <v>9</v>
      </c>
      <c r="P896">
        <v>33</v>
      </c>
      <c r="Q896" t="s">
        <v>42</v>
      </c>
      <c r="R896" t="str" cm="1">
        <f t="array" ref="R896">_xlfn.IFS(N896&lt;=1,"0-1 yrs",N896&lt;=4,"2-4 yrs",N896&lt;=9,"5-9 yrs",N896&gt;9,"10+ yrs")</f>
        <v>5-9 yrs</v>
      </c>
      <c r="S896" t="str" cm="1">
        <f t="array" ref="S896">_xlfn.IFS(B896&lt;=25,"20-25",B896&lt;=35,"26-35",B896&lt;=45,"36-45",B896&gt;45,"46+")</f>
        <v>46+</v>
      </c>
      <c r="T896" t="str" cm="1">
        <f t="array" ref="T896">_xlfn.IFS(J896&lt;3500,"&lt;3.5K",J896&lt;5500,"3.5-5.5K",J896&lt;7500,"5.5-7.5K",J896&gt;=7500,"7.5K+")</f>
        <v>7.5K+</v>
      </c>
      <c r="U896">
        <f t="shared" si="13"/>
        <v>1</v>
      </c>
    </row>
    <row r="897" spans="1:21" x14ac:dyDescent="0.25">
      <c r="A897">
        <v>1177</v>
      </c>
      <c r="B897">
        <v>26</v>
      </c>
      <c r="C897" t="s">
        <v>23</v>
      </c>
      <c r="D897" t="s">
        <v>17</v>
      </c>
      <c r="E897" t="s">
        <v>35</v>
      </c>
      <c r="F897" t="s">
        <v>32</v>
      </c>
      <c r="G897" t="s">
        <v>20</v>
      </c>
      <c r="H897" t="s">
        <v>30</v>
      </c>
      <c r="I897">
        <v>14</v>
      </c>
      <c r="J897" s="2">
        <v>4447</v>
      </c>
      <c r="K897" t="s">
        <v>22</v>
      </c>
      <c r="L897">
        <v>2</v>
      </c>
      <c r="M897">
        <v>2</v>
      </c>
      <c r="N897">
        <v>0</v>
      </c>
      <c r="O897">
        <v>0</v>
      </c>
      <c r="P897">
        <v>0</v>
      </c>
      <c r="Q897" t="s">
        <v>22</v>
      </c>
      <c r="R897" t="str" cm="1">
        <f t="array" ref="R897">_xlfn.IFS(N897&lt;=1,"0-1 yrs",N897&lt;=4,"2-4 yrs",N897&lt;=9,"5-9 yrs",N897&gt;9,"10+ yrs")</f>
        <v>0-1 yrs</v>
      </c>
      <c r="S897" t="str" cm="1">
        <f t="array" ref="S897">_xlfn.IFS(B897&lt;=25,"20-25",B897&lt;=35,"26-35",B897&lt;=45,"36-45",B897&gt;45,"46+")</f>
        <v>26-35</v>
      </c>
      <c r="T897" t="str" cm="1">
        <f t="array" ref="T897">_xlfn.IFS(J897&lt;3500,"&lt;3.5K",J897&lt;5500,"3.5-5.5K",J897&lt;7500,"5.5-7.5K",J897&gt;=7500,"7.5K+")</f>
        <v>3.5-5.5K</v>
      </c>
      <c r="U897">
        <f t="shared" si="13"/>
        <v>0</v>
      </c>
    </row>
    <row r="898" spans="1:21" x14ac:dyDescent="0.25">
      <c r="A898">
        <v>1102</v>
      </c>
      <c r="B898">
        <v>25</v>
      </c>
      <c r="C898" t="s">
        <v>16</v>
      </c>
      <c r="D898" t="s">
        <v>27</v>
      </c>
      <c r="E898" t="s">
        <v>44</v>
      </c>
      <c r="F898" t="s">
        <v>36</v>
      </c>
      <c r="G898" t="s">
        <v>20</v>
      </c>
      <c r="H898" t="s">
        <v>34</v>
      </c>
      <c r="I898">
        <v>29</v>
      </c>
      <c r="J898" s="2">
        <v>5166</v>
      </c>
      <c r="K898" t="s">
        <v>22</v>
      </c>
      <c r="L898">
        <v>1</v>
      </c>
      <c r="M898">
        <v>2</v>
      </c>
      <c r="N898">
        <v>0</v>
      </c>
      <c r="O898">
        <v>0</v>
      </c>
      <c r="P898">
        <v>1</v>
      </c>
      <c r="Q898" t="s">
        <v>42</v>
      </c>
      <c r="R898" t="str" cm="1">
        <f t="array" ref="R898">_xlfn.IFS(N898&lt;=1,"0-1 yrs",N898&lt;=4,"2-4 yrs",N898&lt;=9,"5-9 yrs",N898&gt;9,"10+ yrs")</f>
        <v>0-1 yrs</v>
      </c>
      <c r="S898" t="str" cm="1">
        <f t="array" ref="S898">_xlfn.IFS(B898&lt;=25,"20-25",B898&lt;=35,"26-35",B898&lt;=45,"36-45",B898&gt;45,"46+")</f>
        <v>20-25</v>
      </c>
      <c r="T898" t="str" cm="1">
        <f t="array" ref="T898">_xlfn.IFS(J898&lt;3500,"&lt;3.5K",J898&lt;5500,"3.5-5.5K",J898&lt;7500,"5.5-7.5K",J898&gt;=7500,"7.5K+")</f>
        <v>3.5-5.5K</v>
      </c>
      <c r="U898">
        <f t="shared" si="13"/>
        <v>1</v>
      </c>
    </row>
    <row r="899" spans="1:21" x14ac:dyDescent="0.25">
      <c r="A899">
        <v>1220</v>
      </c>
      <c r="B899">
        <v>27</v>
      </c>
      <c r="C899" t="s">
        <v>16</v>
      </c>
      <c r="D899" t="s">
        <v>38</v>
      </c>
      <c r="E899" t="s">
        <v>39</v>
      </c>
      <c r="F899" t="s">
        <v>38</v>
      </c>
      <c r="G899" t="s">
        <v>20</v>
      </c>
      <c r="H899" t="s">
        <v>30</v>
      </c>
      <c r="I899">
        <v>5</v>
      </c>
      <c r="J899" s="2">
        <v>3775</v>
      </c>
      <c r="K899" t="s">
        <v>22</v>
      </c>
      <c r="L899">
        <v>1</v>
      </c>
      <c r="M899">
        <v>3</v>
      </c>
      <c r="N899">
        <v>1</v>
      </c>
      <c r="O899">
        <v>1</v>
      </c>
      <c r="P899">
        <v>7</v>
      </c>
      <c r="Q899" t="s">
        <v>22</v>
      </c>
      <c r="R899" t="str" cm="1">
        <f t="array" ref="R899">_xlfn.IFS(N899&lt;=1,"0-1 yrs",N899&lt;=4,"2-4 yrs",N899&lt;=9,"5-9 yrs",N899&gt;9,"10+ yrs")</f>
        <v>0-1 yrs</v>
      </c>
      <c r="S899" t="str" cm="1">
        <f t="array" ref="S899">_xlfn.IFS(B899&lt;=25,"20-25",B899&lt;=35,"26-35",B899&lt;=45,"36-45",B899&gt;45,"46+")</f>
        <v>26-35</v>
      </c>
      <c r="T899" t="str" cm="1">
        <f t="array" ref="T899">_xlfn.IFS(J899&lt;3500,"&lt;3.5K",J899&lt;5500,"3.5-5.5K",J899&lt;7500,"5.5-7.5K",J899&gt;=7500,"7.5K+")</f>
        <v>3.5-5.5K</v>
      </c>
      <c r="U899">
        <f t="shared" ref="U899:U962" si="14">IF(Q899="Yes",1,0)</f>
        <v>0</v>
      </c>
    </row>
    <row r="900" spans="1:21" x14ac:dyDescent="0.25">
      <c r="A900">
        <v>1491</v>
      </c>
      <c r="B900">
        <v>41</v>
      </c>
      <c r="C900" t="s">
        <v>16</v>
      </c>
      <c r="D900" t="s">
        <v>17</v>
      </c>
      <c r="E900" t="s">
        <v>35</v>
      </c>
      <c r="F900" t="s">
        <v>41</v>
      </c>
      <c r="G900" t="s">
        <v>20</v>
      </c>
      <c r="H900" t="s">
        <v>30</v>
      </c>
      <c r="I900">
        <v>2</v>
      </c>
      <c r="J900" s="2">
        <v>7923</v>
      </c>
      <c r="K900" t="s">
        <v>42</v>
      </c>
      <c r="L900">
        <v>2</v>
      </c>
      <c r="M900">
        <v>3</v>
      </c>
      <c r="N900">
        <v>10</v>
      </c>
      <c r="O900">
        <v>8</v>
      </c>
      <c r="P900">
        <v>18</v>
      </c>
      <c r="Q900" t="s">
        <v>22</v>
      </c>
      <c r="R900" t="str" cm="1">
        <f t="array" ref="R900">_xlfn.IFS(N900&lt;=1,"0-1 yrs",N900&lt;=4,"2-4 yrs",N900&lt;=9,"5-9 yrs",N900&gt;9,"10+ yrs")</f>
        <v>10+ yrs</v>
      </c>
      <c r="S900" t="str" cm="1">
        <f t="array" ref="S900">_xlfn.IFS(B900&lt;=25,"20-25",B900&lt;=35,"26-35",B900&lt;=45,"36-45",B900&gt;45,"46+")</f>
        <v>36-45</v>
      </c>
      <c r="T900" t="str" cm="1">
        <f t="array" ref="T900">_xlfn.IFS(J900&lt;3500,"&lt;3.5K",J900&lt;5500,"3.5-5.5K",J900&lt;7500,"5.5-7.5K",J900&gt;=7500,"7.5K+")</f>
        <v>7.5K+</v>
      </c>
      <c r="U900">
        <f t="shared" si="14"/>
        <v>0</v>
      </c>
    </row>
    <row r="901" spans="1:21" x14ac:dyDescent="0.25">
      <c r="A901">
        <v>1953</v>
      </c>
      <c r="B901">
        <v>26</v>
      </c>
      <c r="C901" t="s">
        <v>23</v>
      </c>
      <c r="D901" t="s">
        <v>17</v>
      </c>
      <c r="E901" t="s">
        <v>40</v>
      </c>
      <c r="F901" t="s">
        <v>38</v>
      </c>
      <c r="G901" t="s">
        <v>20</v>
      </c>
      <c r="H901" t="s">
        <v>30</v>
      </c>
      <c r="I901">
        <v>1</v>
      </c>
      <c r="J901" s="2">
        <v>6433</v>
      </c>
      <c r="K901" t="s">
        <v>22</v>
      </c>
      <c r="L901">
        <v>2</v>
      </c>
      <c r="M901">
        <v>1</v>
      </c>
      <c r="N901">
        <v>0</v>
      </c>
      <c r="O901">
        <v>0</v>
      </c>
      <c r="P901">
        <v>2</v>
      </c>
      <c r="Q901" t="s">
        <v>22</v>
      </c>
      <c r="R901" t="str" cm="1">
        <f t="array" ref="R901">_xlfn.IFS(N901&lt;=1,"0-1 yrs",N901&lt;=4,"2-4 yrs",N901&lt;=9,"5-9 yrs",N901&gt;9,"10+ yrs")</f>
        <v>0-1 yrs</v>
      </c>
      <c r="S901" t="str" cm="1">
        <f t="array" ref="S901">_xlfn.IFS(B901&lt;=25,"20-25",B901&lt;=35,"26-35",B901&lt;=45,"36-45",B901&gt;45,"46+")</f>
        <v>26-35</v>
      </c>
      <c r="T901" t="str" cm="1">
        <f t="array" ref="T901">_xlfn.IFS(J901&lt;3500,"&lt;3.5K",J901&lt;5500,"3.5-5.5K",J901&lt;7500,"5.5-7.5K",J901&gt;=7500,"7.5K+")</f>
        <v>5.5-7.5K</v>
      </c>
      <c r="U901">
        <f t="shared" si="14"/>
        <v>0</v>
      </c>
    </row>
    <row r="902" spans="1:21" x14ac:dyDescent="0.25">
      <c r="A902">
        <v>1976</v>
      </c>
      <c r="B902">
        <v>36</v>
      </c>
      <c r="C902" t="s">
        <v>23</v>
      </c>
      <c r="D902" t="s">
        <v>24</v>
      </c>
      <c r="E902" t="s">
        <v>46</v>
      </c>
      <c r="F902" t="s">
        <v>68</v>
      </c>
      <c r="G902" t="s">
        <v>33</v>
      </c>
      <c r="H902" t="s">
        <v>34</v>
      </c>
      <c r="I902">
        <v>2</v>
      </c>
      <c r="J902" s="2">
        <v>8232</v>
      </c>
      <c r="K902" t="s">
        <v>22</v>
      </c>
      <c r="L902">
        <v>1</v>
      </c>
      <c r="M902">
        <v>2</v>
      </c>
      <c r="N902">
        <v>10</v>
      </c>
      <c r="O902">
        <v>8</v>
      </c>
      <c r="P902">
        <v>12</v>
      </c>
      <c r="Q902" t="s">
        <v>42</v>
      </c>
      <c r="R902" t="str" cm="1">
        <f t="array" ref="R902">_xlfn.IFS(N902&lt;=1,"0-1 yrs",N902&lt;=4,"2-4 yrs",N902&lt;=9,"5-9 yrs",N902&gt;9,"10+ yrs")</f>
        <v>10+ yrs</v>
      </c>
      <c r="S902" t="str" cm="1">
        <f t="array" ref="S902">_xlfn.IFS(B902&lt;=25,"20-25",B902&lt;=35,"26-35",B902&lt;=45,"36-45",B902&gt;45,"46+")</f>
        <v>36-45</v>
      </c>
      <c r="T902" t="str" cm="1">
        <f t="array" ref="T902">_xlfn.IFS(J902&lt;3500,"&lt;3.5K",J902&lt;5500,"3.5-5.5K",J902&lt;7500,"5.5-7.5K",J902&gt;=7500,"7.5K+")</f>
        <v>7.5K+</v>
      </c>
      <c r="U902">
        <f t="shared" si="14"/>
        <v>1</v>
      </c>
    </row>
    <row r="903" spans="1:21" x14ac:dyDescent="0.25">
      <c r="A903">
        <v>1680</v>
      </c>
      <c r="B903">
        <v>45</v>
      </c>
      <c r="C903" t="s">
        <v>16</v>
      </c>
      <c r="D903" t="s">
        <v>24</v>
      </c>
      <c r="E903" t="s">
        <v>25</v>
      </c>
      <c r="F903" t="s">
        <v>19</v>
      </c>
      <c r="G903" t="s">
        <v>37</v>
      </c>
      <c r="H903" t="s">
        <v>34</v>
      </c>
      <c r="I903">
        <v>14</v>
      </c>
      <c r="J903" s="2">
        <v>12853</v>
      </c>
      <c r="K903" t="s">
        <v>42</v>
      </c>
      <c r="L903">
        <v>3</v>
      </c>
      <c r="M903">
        <v>3</v>
      </c>
      <c r="N903">
        <v>4</v>
      </c>
      <c r="O903">
        <v>3</v>
      </c>
      <c r="P903">
        <v>15</v>
      </c>
      <c r="Q903" t="s">
        <v>22</v>
      </c>
      <c r="R903" t="str" cm="1">
        <f t="array" ref="R903">_xlfn.IFS(N903&lt;=1,"0-1 yrs",N903&lt;=4,"2-4 yrs",N903&lt;=9,"5-9 yrs",N903&gt;9,"10+ yrs")</f>
        <v>2-4 yrs</v>
      </c>
      <c r="S903" t="str" cm="1">
        <f t="array" ref="S903">_xlfn.IFS(B903&lt;=25,"20-25",B903&lt;=35,"26-35",B903&lt;=45,"36-45",B903&gt;45,"46+")</f>
        <v>36-45</v>
      </c>
      <c r="T903" t="str" cm="1">
        <f t="array" ref="T903">_xlfn.IFS(J903&lt;3500,"&lt;3.5K",J903&lt;5500,"3.5-5.5K",J903&lt;7500,"5.5-7.5K",J903&gt;=7500,"7.5K+")</f>
        <v>7.5K+</v>
      </c>
      <c r="U903">
        <f t="shared" si="14"/>
        <v>0</v>
      </c>
    </row>
    <row r="904" spans="1:21" x14ac:dyDescent="0.25">
      <c r="A904">
        <v>1194</v>
      </c>
      <c r="B904">
        <v>46</v>
      </c>
      <c r="C904" t="s">
        <v>23</v>
      </c>
      <c r="D904" t="s">
        <v>27</v>
      </c>
      <c r="E904" t="s">
        <v>43</v>
      </c>
      <c r="F904" t="s">
        <v>41</v>
      </c>
      <c r="G904" t="s">
        <v>20</v>
      </c>
      <c r="H904" t="s">
        <v>34</v>
      </c>
      <c r="I904">
        <v>13</v>
      </c>
      <c r="J904" s="2">
        <v>8151</v>
      </c>
      <c r="K904" t="s">
        <v>22</v>
      </c>
      <c r="M904">
        <v>1</v>
      </c>
      <c r="N904">
        <v>6</v>
      </c>
      <c r="O904">
        <v>0</v>
      </c>
      <c r="P904">
        <v>17</v>
      </c>
      <c r="Q904" t="s">
        <v>22</v>
      </c>
      <c r="R904" t="str" cm="1">
        <f t="array" ref="R904">_xlfn.IFS(N904&lt;=1,"0-1 yrs",N904&lt;=4,"2-4 yrs",N904&lt;=9,"5-9 yrs",N904&gt;9,"10+ yrs")</f>
        <v>5-9 yrs</v>
      </c>
      <c r="S904" t="str" cm="1">
        <f t="array" ref="S904">_xlfn.IFS(B904&lt;=25,"20-25",B904&lt;=35,"26-35",B904&lt;=45,"36-45",B904&gt;45,"46+")</f>
        <v>46+</v>
      </c>
      <c r="T904" t="str" cm="1">
        <f t="array" ref="T904">_xlfn.IFS(J904&lt;3500,"&lt;3.5K",J904&lt;5500,"3.5-5.5K",J904&lt;7500,"5.5-7.5K",J904&gt;=7500,"7.5K+")</f>
        <v>7.5K+</v>
      </c>
      <c r="U904">
        <f t="shared" si="14"/>
        <v>0</v>
      </c>
    </row>
    <row r="905" spans="1:21" x14ac:dyDescent="0.25">
      <c r="A905">
        <v>1219</v>
      </c>
      <c r="B905">
        <v>53</v>
      </c>
      <c r="C905" t="s">
        <v>23</v>
      </c>
      <c r="D905" t="s">
        <v>38</v>
      </c>
      <c r="E905" t="s">
        <v>39</v>
      </c>
      <c r="F905" t="s">
        <v>36</v>
      </c>
      <c r="G905" t="s">
        <v>33</v>
      </c>
      <c r="H905" t="s">
        <v>34</v>
      </c>
      <c r="I905">
        <v>28</v>
      </c>
      <c r="J905" s="2">
        <v>9293</v>
      </c>
      <c r="K905" t="s">
        <v>22</v>
      </c>
      <c r="L905">
        <v>3</v>
      </c>
      <c r="M905">
        <v>2</v>
      </c>
      <c r="N905">
        <v>19</v>
      </c>
      <c r="O905">
        <v>6</v>
      </c>
      <c r="P905">
        <v>24</v>
      </c>
      <c r="Q905" t="s">
        <v>22</v>
      </c>
      <c r="R905" t="str" cm="1">
        <f t="array" ref="R905">_xlfn.IFS(N905&lt;=1,"0-1 yrs",N905&lt;=4,"2-4 yrs",N905&lt;=9,"5-9 yrs",N905&gt;9,"10+ yrs")</f>
        <v>10+ yrs</v>
      </c>
      <c r="S905" t="str" cm="1">
        <f t="array" ref="S905">_xlfn.IFS(B905&lt;=25,"20-25",B905&lt;=35,"26-35",B905&lt;=45,"36-45",B905&gt;45,"46+")</f>
        <v>46+</v>
      </c>
      <c r="T905" t="str" cm="1">
        <f t="array" ref="T905">_xlfn.IFS(J905&lt;3500,"&lt;3.5K",J905&lt;5500,"3.5-5.5K",J905&lt;7500,"5.5-7.5K",J905&gt;=7500,"7.5K+")</f>
        <v>7.5K+</v>
      </c>
      <c r="U905">
        <f t="shared" si="14"/>
        <v>0</v>
      </c>
    </row>
    <row r="906" spans="1:21" x14ac:dyDescent="0.25">
      <c r="A906">
        <v>1821</v>
      </c>
      <c r="B906">
        <v>31</v>
      </c>
      <c r="C906" t="s">
        <v>23</v>
      </c>
      <c r="D906" t="s">
        <v>38</v>
      </c>
      <c r="E906" t="s">
        <v>39</v>
      </c>
      <c r="F906" t="s">
        <v>41</v>
      </c>
      <c r="G906" t="s">
        <v>20</v>
      </c>
      <c r="H906" t="s">
        <v>34</v>
      </c>
      <c r="I906">
        <v>23</v>
      </c>
      <c r="J906" s="2">
        <v>5978</v>
      </c>
      <c r="K906" t="s">
        <v>22</v>
      </c>
      <c r="L906">
        <v>4</v>
      </c>
      <c r="M906">
        <v>4</v>
      </c>
      <c r="N906">
        <v>7</v>
      </c>
      <c r="O906">
        <v>2</v>
      </c>
      <c r="P906">
        <v>10</v>
      </c>
      <c r="Q906" t="s">
        <v>22</v>
      </c>
      <c r="R906" t="str" cm="1">
        <f t="array" ref="R906">_xlfn.IFS(N906&lt;=1,"0-1 yrs",N906&lt;=4,"2-4 yrs",N906&lt;=9,"5-9 yrs",N906&gt;9,"10+ yrs")</f>
        <v>5-9 yrs</v>
      </c>
      <c r="S906" t="str" cm="1">
        <f t="array" ref="S906">_xlfn.IFS(B906&lt;=25,"20-25",B906&lt;=35,"26-35",B906&lt;=45,"36-45",B906&gt;45,"46+")</f>
        <v>26-35</v>
      </c>
      <c r="T906" t="str" cm="1">
        <f t="array" ref="T906">_xlfn.IFS(J906&lt;3500,"&lt;3.5K",J906&lt;5500,"3.5-5.5K",J906&lt;7500,"5.5-7.5K",J906&gt;=7500,"7.5K+")</f>
        <v>5.5-7.5K</v>
      </c>
      <c r="U906">
        <f t="shared" si="14"/>
        <v>0</v>
      </c>
    </row>
    <row r="907" spans="1:21" x14ac:dyDescent="0.25">
      <c r="A907">
        <v>1492</v>
      </c>
      <c r="B907">
        <v>38</v>
      </c>
      <c r="C907" t="s">
        <v>16</v>
      </c>
      <c r="D907" t="s">
        <v>24</v>
      </c>
      <c r="E907" t="s">
        <v>45</v>
      </c>
      <c r="F907" t="s">
        <v>32</v>
      </c>
      <c r="G907" t="s">
        <v>37</v>
      </c>
      <c r="H907" t="s">
        <v>30</v>
      </c>
      <c r="I907">
        <v>16</v>
      </c>
      <c r="J907" s="2">
        <v>8032</v>
      </c>
      <c r="K907" t="s">
        <v>22</v>
      </c>
      <c r="L907">
        <v>4</v>
      </c>
      <c r="M907">
        <v>2</v>
      </c>
      <c r="N907">
        <v>8</v>
      </c>
      <c r="O907">
        <v>8</v>
      </c>
      <c r="P907">
        <v>17</v>
      </c>
      <c r="Q907" t="s">
        <v>22</v>
      </c>
      <c r="R907" t="str" cm="1">
        <f t="array" ref="R907">_xlfn.IFS(N907&lt;=1,"0-1 yrs",N907&lt;=4,"2-4 yrs",N907&lt;=9,"5-9 yrs",N907&gt;9,"10+ yrs")</f>
        <v>5-9 yrs</v>
      </c>
      <c r="S907" t="str" cm="1">
        <f t="array" ref="S907">_xlfn.IFS(B907&lt;=25,"20-25",B907&lt;=35,"26-35",B907&lt;=45,"36-45",B907&gt;45,"46+")</f>
        <v>36-45</v>
      </c>
      <c r="T907" t="str" cm="1">
        <f t="array" ref="T907">_xlfn.IFS(J907&lt;3500,"&lt;3.5K",J907&lt;5500,"3.5-5.5K",J907&lt;7500,"5.5-7.5K",J907&gt;=7500,"7.5K+")</f>
        <v>7.5K+</v>
      </c>
      <c r="U907">
        <f t="shared" si="14"/>
        <v>0</v>
      </c>
    </row>
    <row r="908" spans="1:21" x14ac:dyDescent="0.25">
      <c r="A908">
        <v>1882</v>
      </c>
      <c r="B908">
        <v>38</v>
      </c>
      <c r="C908" t="s">
        <v>23</v>
      </c>
      <c r="D908" t="s">
        <v>47</v>
      </c>
      <c r="E908" t="s">
        <v>53</v>
      </c>
      <c r="F908" t="s">
        <v>19</v>
      </c>
      <c r="G908" t="s">
        <v>33</v>
      </c>
      <c r="H908" t="s">
        <v>34</v>
      </c>
      <c r="I908">
        <v>26</v>
      </c>
      <c r="J908" s="2">
        <v>12245</v>
      </c>
      <c r="K908" t="s">
        <v>22</v>
      </c>
      <c r="L908">
        <v>2</v>
      </c>
      <c r="M908">
        <v>2</v>
      </c>
      <c r="N908">
        <v>2</v>
      </c>
      <c r="O908">
        <v>1</v>
      </c>
      <c r="P908">
        <v>10</v>
      </c>
      <c r="Q908" t="s">
        <v>22</v>
      </c>
      <c r="R908" t="str" cm="1">
        <f t="array" ref="R908">_xlfn.IFS(N908&lt;=1,"0-1 yrs",N908&lt;=4,"2-4 yrs",N908&lt;=9,"5-9 yrs",N908&gt;9,"10+ yrs")</f>
        <v>2-4 yrs</v>
      </c>
      <c r="S908" t="str" cm="1">
        <f t="array" ref="S908">_xlfn.IFS(B908&lt;=25,"20-25",B908&lt;=35,"26-35",B908&lt;=45,"36-45",B908&gt;45,"46+")</f>
        <v>36-45</v>
      </c>
      <c r="T908" t="str" cm="1">
        <f t="array" ref="T908">_xlfn.IFS(J908&lt;3500,"&lt;3.5K",J908&lt;5500,"3.5-5.5K",J908&lt;7500,"5.5-7.5K",J908&gt;=7500,"7.5K+")</f>
        <v>7.5K+</v>
      </c>
      <c r="U908">
        <f t="shared" si="14"/>
        <v>0</v>
      </c>
    </row>
    <row r="909" spans="1:21" x14ac:dyDescent="0.25">
      <c r="A909">
        <v>1979</v>
      </c>
      <c r="B909">
        <v>52</v>
      </c>
      <c r="C909" t="s">
        <v>16</v>
      </c>
      <c r="D909" t="s">
        <v>17</v>
      </c>
      <c r="E909" t="s">
        <v>35</v>
      </c>
      <c r="F909" t="s">
        <v>19</v>
      </c>
      <c r="G909" t="s">
        <v>20</v>
      </c>
      <c r="H909" t="s">
        <v>34</v>
      </c>
      <c r="I909">
        <v>13</v>
      </c>
      <c r="J909" s="2">
        <v>10513</v>
      </c>
      <c r="K909" t="s">
        <v>22</v>
      </c>
      <c r="L909">
        <v>2</v>
      </c>
      <c r="M909">
        <v>3</v>
      </c>
      <c r="N909">
        <v>19</v>
      </c>
      <c r="O909">
        <v>8</v>
      </c>
      <c r="P909">
        <v>20</v>
      </c>
      <c r="Q909" t="s">
        <v>22</v>
      </c>
      <c r="R909" t="str" cm="1">
        <f t="array" ref="R909">_xlfn.IFS(N909&lt;=1,"0-1 yrs",N909&lt;=4,"2-4 yrs",N909&lt;=9,"5-9 yrs",N909&gt;9,"10+ yrs")</f>
        <v>10+ yrs</v>
      </c>
      <c r="S909" t="str" cm="1">
        <f t="array" ref="S909">_xlfn.IFS(B909&lt;=25,"20-25",B909&lt;=35,"26-35",B909&lt;=45,"36-45",B909&gt;45,"46+")</f>
        <v>46+</v>
      </c>
      <c r="T909" t="str" cm="1">
        <f t="array" ref="T909">_xlfn.IFS(J909&lt;3500,"&lt;3.5K",J909&lt;5500,"3.5-5.5K",J909&lt;7500,"5.5-7.5K",J909&gt;=7500,"7.5K+")</f>
        <v>7.5K+</v>
      </c>
      <c r="U909">
        <f t="shared" si="14"/>
        <v>0</v>
      </c>
    </row>
    <row r="910" spans="1:21" x14ac:dyDescent="0.25">
      <c r="A910">
        <v>1328</v>
      </c>
      <c r="B910">
        <v>29</v>
      </c>
      <c r="C910" t="s">
        <v>16</v>
      </c>
      <c r="D910" t="s">
        <v>17</v>
      </c>
      <c r="E910" t="s">
        <v>40</v>
      </c>
      <c r="F910" t="s">
        <v>36</v>
      </c>
      <c r="G910" t="s">
        <v>33</v>
      </c>
      <c r="H910" t="s">
        <v>34</v>
      </c>
      <c r="I910">
        <v>24</v>
      </c>
      <c r="J910" s="2">
        <v>7351</v>
      </c>
      <c r="K910" t="s">
        <v>22</v>
      </c>
      <c r="L910">
        <v>3</v>
      </c>
      <c r="M910">
        <v>2</v>
      </c>
      <c r="N910">
        <v>2</v>
      </c>
      <c r="O910">
        <v>0</v>
      </c>
      <c r="P910">
        <v>9</v>
      </c>
      <c r="Q910" t="s">
        <v>42</v>
      </c>
      <c r="R910" t="str" cm="1">
        <f t="array" ref="R910">_xlfn.IFS(N910&lt;=1,"0-1 yrs",N910&lt;=4,"2-4 yrs",N910&lt;=9,"5-9 yrs",N910&gt;9,"10+ yrs")</f>
        <v>2-4 yrs</v>
      </c>
      <c r="S910" t="str" cm="1">
        <f t="array" ref="S910">_xlfn.IFS(B910&lt;=25,"20-25",B910&lt;=35,"26-35",B910&lt;=45,"36-45",B910&gt;45,"46+")</f>
        <v>26-35</v>
      </c>
      <c r="T910" t="str" cm="1">
        <f t="array" ref="T910">_xlfn.IFS(J910&lt;3500,"&lt;3.5K",J910&lt;5500,"3.5-5.5K",J910&lt;7500,"5.5-7.5K",J910&gt;=7500,"7.5K+")</f>
        <v>5.5-7.5K</v>
      </c>
      <c r="U910">
        <f t="shared" si="14"/>
        <v>1</v>
      </c>
    </row>
    <row r="911" spans="1:21" x14ac:dyDescent="0.25">
      <c r="A911">
        <v>1968</v>
      </c>
      <c r="B911">
        <v>59</v>
      </c>
      <c r="C911" t="s">
        <v>16</v>
      </c>
      <c r="D911" t="s">
        <v>24</v>
      </c>
      <c r="E911" t="s">
        <v>52</v>
      </c>
      <c r="F911" t="s">
        <v>19</v>
      </c>
      <c r="G911" t="s">
        <v>37</v>
      </c>
      <c r="H911" t="s">
        <v>34</v>
      </c>
      <c r="I911">
        <v>7</v>
      </c>
      <c r="J911" s="2">
        <v>12907</v>
      </c>
      <c r="K911" t="s">
        <v>22</v>
      </c>
      <c r="L911">
        <v>1</v>
      </c>
      <c r="M911">
        <v>4</v>
      </c>
      <c r="N911">
        <v>14</v>
      </c>
      <c r="O911">
        <v>9</v>
      </c>
      <c r="P911">
        <v>32</v>
      </c>
      <c r="Q911" t="s">
        <v>22</v>
      </c>
      <c r="R911" t="str" cm="1">
        <f t="array" ref="R911">_xlfn.IFS(N911&lt;=1,"0-1 yrs",N911&lt;=4,"2-4 yrs",N911&lt;=9,"5-9 yrs",N911&gt;9,"10+ yrs")</f>
        <v>10+ yrs</v>
      </c>
      <c r="S911" t="str" cm="1">
        <f t="array" ref="S911">_xlfn.IFS(B911&lt;=25,"20-25",B911&lt;=35,"26-35",B911&lt;=45,"36-45",B911&gt;45,"46+")</f>
        <v>46+</v>
      </c>
      <c r="T911" t="str" cm="1">
        <f t="array" ref="T911">_xlfn.IFS(J911&lt;3500,"&lt;3.5K",J911&lt;5500,"3.5-5.5K",J911&lt;7500,"5.5-7.5K",J911&gt;=7500,"7.5K+")</f>
        <v>7.5K+</v>
      </c>
      <c r="U911">
        <f t="shared" si="14"/>
        <v>0</v>
      </c>
    </row>
    <row r="912" spans="1:21" x14ac:dyDescent="0.25">
      <c r="A912">
        <v>1831</v>
      </c>
      <c r="B912">
        <v>41</v>
      </c>
      <c r="C912" t="s">
        <v>16</v>
      </c>
      <c r="D912" t="s">
        <v>24</v>
      </c>
      <c r="E912" t="s">
        <v>45</v>
      </c>
      <c r="F912" t="s">
        <v>38</v>
      </c>
      <c r="G912" t="s">
        <v>37</v>
      </c>
      <c r="H912" t="s">
        <v>21</v>
      </c>
      <c r="I912">
        <v>11</v>
      </c>
      <c r="J912" s="2">
        <v>6276</v>
      </c>
      <c r="K912" t="s">
        <v>42</v>
      </c>
      <c r="L912">
        <v>4</v>
      </c>
      <c r="M912">
        <v>1</v>
      </c>
      <c r="N912">
        <v>3</v>
      </c>
      <c r="O912">
        <v>1</v>
      </c>
      <c r="P912">
        <v>21</v>
      </c>
      <c r="Q912" t="s">
        <v>22</v>
      </c>
      <c r="R912" t="str" cm="1">
        <f t="array" ref="R912">_xlfn.IFS(N912&lt;=1,"0-1 yrs",N912&lt;=4,"2-4 yrs",N912&lt;=9,"5-9 yrs",N912&gt;9,"10+ yrs")</f>
        <v>2-4 yrs</v>
      </c>
      <c r="S912" t="str" cm="1">
        <f t="array" ref="S912">_xlfn.IFS(B912&lt;=25,"20-25",B912&lt;=35,"26-35",B912&lt;=45,"36-45",B912&gt;45,"46+")</f>
        <v>36-45</v>
      </c>
      <c r="T912" t="str" cm="1">
        <f t="array" ref="T912">_xlfn.IFS(J912&lt;3500,"&lt;3.5K",J912&lt;5500,"3.5-5.5K",J912&lt;7500,"5.5-7.5K",J912&gt;=7500,"7.5K+")</f>
        <v>5.5-7.5K</v>
      </c>
      <c r="U912">
        <f t="shared" si="14"/>
        <v>0</v>
      </c>
    </row>
    <row r="913" spans="1:21" x14ac:dyDescent="0.25">
      <c r="A913">
        <v>1902</v>
      </c>
      <c r="B913">
        <v>43</v>
      </c>
      <c r="C913" t="s">
        <v>16</v>
      </c>
      <c r="D913" t="s">
        <v>17</v>
      </c>
      <c r="E913" t="s">
        <v>40</v>
      </c>
      <c r="F913" t="s">
        <v>29</v>
      </c>
      <c r="G913" t="s">
        <v>37</v>
      </c>
      <c r="H913" t="s">
        <v>34</v>
      </c>
      <c r="I913">
        <v>15</v>
      </c>
      <c r="J913" s="2">
        <v>6298</v>
      </c>
      <c r="K913" t="s">
        <v>22</v>
      </c>
      <c r="L913">
        <v>1</v>
      </c>
      <c r="M913">
        <v>3</v>
      </c>
      <c r="N913">
        <v>9</v>
      </c>
      <c r="O913">
        <v>6</v>
      </c>
      <c r="P913">
        <v>12</v>
      </c>
      <c r="Q913" t="s">
        <v>22</v>
      </c>
      <c r="R913" t="str" cm="1">
        <f t="array" ref="R913">_xlfn.IFS(N913&lt;=1,"0-1 yrs",N913&lt;=4,"2-4 yrs",N913&lt;=9,"5-9 yrs",N913&gt;9,"10+ yrs")</f>
        <v>5-9 yrs</v>
      </c>
      <c r="S913" t="str" cm="1">
        <f t="array" ref="S913">_xlfn.IFS(B913&lt;=25,"20-25",B913&lt;=35,"26-35",B913&lt;=45,"36-45",B913&gt;45,"46+")</f>
        <v>36-45</v>
      </c>
      <c r="T913" t="str" cm="1">
        <f t="array" ref="T913">_xlfn.IFS(J913&lt;3500,"&lt;3.5K",J913&lt;5500,"3.5-5.5K",J913&lt;7500,"5.5-7.5K",J913&gt;=7500,"7.5K+")</f>
        <v>5.5-7.5K</v>
      </c>
      <c r="U913">
        <f t="shared" si="14"/>
        <v>0</v>
      </c>
    </row>
    <row r="914" spans="1:21" x14ac:dyDescent="0.25">
      <c r="A914">
        <v>1311</v>
      </c>
      <c r="B914">
        <v>40</v>
      </c>
      <c r="C914" t="s">
        <v>23</v>
      </c>
      <c r="D914" t="s">
        <v>47</v>
      </c>
      <c r="E914" t="s">
        <v>50</v>
      </c>
      <c r="F914" t="s">
        <v>32</v>
      </c>
      <c r="G914" t="s">
        <v>33</v>
      </c>
      <c r="H914" t="s">
        <v>34</v>
      </c>
      <c r="I914">
        <v>8</v>
      </c>
      <c r="J914" s="2">
        <v>9881</v>
      </c>
      <c r="K914" t="s">
        <v>42</v>
      </c>
      <c r="L914">
        <v>4</v>
      </c>
      <c r="M914">
        <v>2</v>
      </c>
      <c r="N914">
        <v>4</v>
      </c>
      <c r="O914">
        <v>1</v>
      </c>
      <c r="P914">
        <v>9</v>
      </c>
      <c r="Q914" t="s">
        <v>22</v>
      </c>
      <c r="R914" t="str" cm="1">
        <f t="array" ref="R914">_xlfn.IFS(N914&lt;=1,"0-1 yrs",N914&lt;=4,"2-4 yrs",N914&lt;=9,"5-9 yrs",N914&gt;9,"10+ yrs")</f>
        <v>2-4 yrs</v>
      </c>
      <c r="S914" t="str" cm="1">
        <f t="array" ref="S914">_xlfn.IFS(B914&lt;=25,"20-25",B914&lt;=35,"26-35",B914&lt;=45,"36-45",B914&gt;45,"46+")</f>
        <v>36-45</v>
      </c>
      <c r="T914" t="str" cm="1">
        <f t="array" ref="T914">_xlfn.IFS(J914&lt;3500,"&lt;3.5K",J914&lt;5500,"3.5-5.5K",J914&lt;7500,"5.5-7.5K",J914&gt;=7500,"7.5K+")</f>
        <v>7.5K+</v>
      </c>
      <c r="U914">
        <f t="shared" si="14"/>
        <v>0</v>
      </c>
    </row>
    <row r="915" spans="1:21" x14ac:dyDescent="0.25">
      <c r="A915">
        <v>1010</v>
      </c>
      <c r="B915">
        <v>54</v>
      </c>
      <c r="C915" t="s">
        <v>16</v>
      </c>
      <c r="D915" t="s">
        <v>17</v>
      </c>
      <c r="E915" t="s">
        <v>40</v>
      </c>
      <c r="F915" t="s">
        <v>26</v>
      </c>
      <c r="G915" t="s">
        <v>20</v>
      </c>
      <c r="H915" t="s">
        <v>34</v>
      </c>
      <c r="I915">
        <v>12</v>
      </c>
      <c r="J915" s="2">
        <v>10408</v>
      </c>
      <c r="K915" t="s">
        <v>42</v>
      </c>
      <c r="L915">
        <v>4</v>
      </c>
      <c r="M915">
        <v>1</v>
      </c>
      <c r="N915">
        <v>0</v>
      </c>
      <c r="O915">
        <v>0</v>
      </c>
      <c r="P915">
        <v>34</v>
      </c>
      <c r="Q915" t="s">
        <v>22</v>
      </c>
      <c r="R915" t="str" cm="1">
        <f t="array" ref="R915">_xlfn.IFS(N915&lt;=1,"0-1 yrs",N915&lt;=4,"2-4 yrs",N915&lt;=9,"5-9 yrs",N915&gt;9,"10+ yrs")</f>
        <v>0-1 yrs</v>
      </c>
      <c r="S915" t="str" cm="1">
        <f t="array" ref="S915">_xlfn.IFS(B915&lt;=25,"20-25",B915&lt;=35,"26-35",B915&lt;=45,"36-45",B915&gt;45,"46+")</f>
        <v>46+</v>
      </c>
      <c r="T915" t="str" cm="1">
        <f t="array" ref="T915">_xlfn.IFS(J915&lt;3500,"&lt;3.5K",J915&lt;5500,"3.5-5.5K",J915&lt;7500,"5.5-7.5K",J915&gt;=7500,"7.5K+")</f>
        <v>7.5K+</v>
      </c>
      <c r="U915">
        <f t="shared" si="14"/>
        <v>0</v>
      </c>
    </row>
    <row r="916" spans="1:21" x14ac:dyDescent="0.25">
      <c r="A916">
        <v>1544</v>
      </c>
      <c r="B916">
        <v>60</v>
      </c>
      <c r="C916" t="s">
        <v>16</v>
      </c>
      <c r="D916" t="s">
        <v>17</v>
      </c>
      <c r="E916" t="s">
        <v>18</v>
      </c>
      <c r="F916" t="s">
        <v>32</v>
      </c>
      <c r="G916" t="s">
        <v>33</v>
      </c>
      <c r="H916" t="s">
        <v>34</v>
      </c>
      <c r="I916">
        <v>23</v>
      </c>
      <c r="J916" s="2">
        <v>16743</v>
      </c>
      <c r="K916" t="s">
        <v>22</v>
      </c>
      <c r="L916">
        <v>1</v>
      </c>
      <c r="M916">
        <v>3</v>
      </c>
      <c r="N916">
        <v>7</v>
      </c>
      <c r="O916">
        <v>7</v>
      </c>
      <c r="P916">
        <v>33</v>
      </c>
      <c r="Q916" t="s">
        <v>22</v>
      </c>
      <c r="R916" t="str" cm="1">
        <f t="array" ref="R916">_xlfn.IFS(N916&lt;=1,"0-1 yrs",N916&lt;=4,"2-4 yrs",N916&lt;=9,"5-9 yrs",N916&gt;9,"10+ yrs")</f>
        <v>5-9 yrs</v>
      </c>
      <c r="S916" t="str" cm="1">
        <f t="array" ref="S916">_xlfn.IFS(B916&lt;=25,"20-25",B916&lt;=35,"26-35",B916&lt;=45,"36-45",B916&gt;45,"46+")</f>
        <v>46+</v>
      </c>
      <c r="T916" t="str" cm="1">
        <f t="array" ref="T916">_xlfn.IFS(J916&lt;3500,"&lt;3.5K",J916&lt;5500,"3.5-5.5K",J916&lt;7500,"5.5-7.5K",J916&gt;=7500,"7.5K+")</f>
        <v>7.5K+</v>
      </c>
      <c r="U916">
        <f t="shared" si="14"/>
        <v>0</v>
      </c>
    </row>
    <row r="917" spans="1:21" x14ac:dyDescent="0.25">
      <c r="A917">
        <v>1600</v>
      </c>
      <c r="B917">
        <v>51</v>
      </c>
      <c r="C917" t="s">
        <v>16</v>
      </c>
      <c r="D917" t="s">
        <v>17</v>
      </c>
      <c r="E917" t="s">
        <v>40</v>
      </c>
      <c r="F917" t="s">
        <v>32</v>
      </c>
      <c r="G917" t="s">
        <v>33</v>
      </c>
      <c r="H917" t="s">
        <v>21</v>
      </c>
      <c r="I917">
        <v>12</v>
      </c>
      <c r="J917" s="2">
        <v>10245</v>
      </c>
      <c r="K917" t="s">
        <v>42</v>
      </c>
      <c r="L917">
        <v>3</v>
      </c>
      <c r="M917">
        <v>4</v>
      </c>
      <c r="N917">
        <v>22</v>
      </c>
      <c r="O917">
        <v>13</v>
      </c>
      <c r="P917">
        <v>28</v>
      </c>
      <c r="Q917" t="s">
        <v>42</v>
      </c>
      <c r="R917" t="str" cm="1">
        <f t="array" ref="R917">_xlfn.IFS(N917&lt;=1,"0-1 yrs",N917&lt;=4,"2-4 yrs",N917&lt;=9,"5-9 yrs",N917&gt;9,"10+ yrs")</f>
        <v>10+ yrs</v>
      </c>
      <c r="S917" t="str" cm="1">
        <f t="array" ref="S917">_xlfn.IFS(B917&lt;=25,"20-25",B917&lt;=35,"26-35",B917&lt;=45,"36-45",B917&gt;45,"46+")</f>
        <v>46+</v>
      </c>
      <c r="T917" t="str" cm="1">
        <f t="array" ref="T917">_xlfn.IFS(J917&lt;3500,"&lt;3.5K",J917&lt;5500,"3.5-5.5K",J917&lt;7500,"5.5-7.5K",J917&gt;=7500,"7.5K+")</f>
        <v>7.5K+</v>
      </c>
      <c r="U917">
        <f t="shared" si="14"/>
        <v>1</v>
      </c>
    </row>
    <row r="918" spans="1:21" x14ac:dyDescent="0.25">
      <c r="A918">
        <v>1273</v>
      </c>
      <c r="B918">
        <v>32</v>
      </c>
      <c r="C918" t="s">
        <v>16</v>
      </c>
      <c r="D918" t="s">
        <v>17</v>
      </c>
      <c r="E918" t="s">
        <v>35</v>
      </c>
      <c r="F918" t="s">
        <v>36</v>
      </c>
      <c r="G918" t="s">
        <v>33</v>
      </c>
      <c r="H918" t="s">
        <v>34</v>
      </c>
      <c r="I918">
        <v>6</v>
      </c>
      <c r="J918" s="2">
        <v>3703</v>
      </c>
      <c r="K918" t="s">
        <v>22</v>
      </c>
      <c r="L918">
        <v>2</v>
      </c>
      <c r="M918">
        <v>2</v>
      </c>
      <c r="N918">
        <v>1</v>
      </c>
      <c r="O918">
        <v>0</v>
      </c>
      <c r="P918">
        <v>1</v>
      </c>
      <c r="Q918" t="s">
        <v>22</v>
      </c>
      <c r="R918" t="str" cm="1">
        <f t="array" ref="R918">_xlfn.IFS(N918&lt;=1,"0-1 yrs",N918&lt;=4,"2-4 yrs",N918&lt;=9,"5-9 yrs",N918&gt;9,"10+ yrs")</f>
        <v>0-1 yrs</v>
      </c>
      <c r="S918" t="str" cm="1">
        <f t="array" ref="S918">_xlfn.IFS(B918&lt;=25,"20-25",B918&lt;=35,"26-35",B918&lt;=45,"36-45",B918&gt;45,"46+")</f>
        <v>26-35</v>
      </c>
      <c r="T918" t="str" cm="1">
        <f t="array" ref="T918">_xlfn.IFS(J918&lt;3500,"&lt;3.5K",J918&lt;5500,"3.5-5.5K",J918&lt;7500,"5.5-7.5K",J918&gt;=7500,"7.5K+")</f>
        <v>3.5-5.5K</v>
      </c>
      <c r="U918">
        <f t="shared" si="14"/>
        <v>0</v>
      </c>
    </row>
    <row r="919" spans="1:21" x14ac:dyDescent="0.25">
      <c r="A919">
        <v>1682</v>
      </c>
      <c r="B919">
        <v>49</v>
      </c>
      <c r="C919" t="s">
        <v>23</v>
      </c>
      <c r="D919" t="s">
        <v>17</v>
      </c>
      <c r="E919" t="s">
        <v>35</v>
      </c>
      <c r="F919" t="s">
        <v>32</v>
      </c>
      <c r="G919" t="s">
        <v>20</v>
      </c>
      <c r="H919" t="s">
        <v>21</v>
      </c>
      <c r="I919">
        <v>13</v>
      </c>
      <c r="J919" s="2">
        <v>6094</v>
      </c>
      <c r="K919" t="s">
        <v>22</v>
      </c>
      <c r="L919">
        <v>2</v>
      </c>
      <c r="M919">
        <v>1</v>
      </c>
      <c r="N919">
        <v>14</v>
      </c>
      <c r="O919">
        <v>1</v>
      </c>
      <c r="P919">
        <v>18</v>
      </c>
      <c r="Q919" t="s">
        <v>22</v>
      </c>
      <c r="R919" t="str" cm="1">
        <f t="array" ref="R919">_xlfn.IFS(N919&lt;=1,"0-1 yrs",N919&lt;=4,"2-4 yrs",N919&lt;=9,"5-9 yrs",N919&gt;9,"10+ yrs")</f>
        <v>10+ yrs</v>
      </c>
      <c r="S919" t="str" cm="1">
        <f t="array" ref="S919">_xlfn.IFS(B919&lt;=25,"20-25",B919&lt;=35,"26-35",B919&lt;=45,"36-45",B919&gt;45,"46+")</f>
        <v>46+</v>
      </c>
      <c r="T919" t="str" cm="1">
        <f t="array" ref="T919">_xlfn.IFS(J919&lt;3500,"&lt;3.5K",J919&lt;5500,"3.5-5.5K",J919&lt;7500,"5.5-7.5K",J919&gt;=7500,"7.5K+")</f>
        <v>5.5-7.5K</v>
      </c>
      <c r="U919">
        <f t="shared" si="14"/>
        <v>0</v>
      </c>
    </row>
    <row r="920" spans="1:21" x14ac:dyDescent="0.25">
      <c r="A920">
        <v>1999</v>
      </c>
      <c r="B920">
        <v>36</v>
      </c>
      <c r="C920" t="s">
        <v>16</v>
      </c>
      <c r="D920" t="s">
        <v>55</v>
      </c>
      <c r="E920" t="s">
        <v>39</v>
      </c>
      <c r="F920" t="s">
        <v>36</v>
      </c>
      <c r="G920" t="s">
        <v>37</v>
      </c>
      <c r="H920" t="s">
        <v>34</v>
      </c>
      <c r="I920">
        <v>20</v>
      </c>
      <c r="J920" s="2">
        <v>4589</v>
      </c>
      <c r="K920" t="s">
        <v>42</v>
      </c>
      <c r="L920">
        <v>3</v>
      </c>
      <c r="M920">
        <v>2</v>
      </c>
      <c r="N920">
        <v>3</v>
      </c>
      <c r="O920">
        <v>1</v>
      </c>
      <c r="P920">
        <v>5</v>
      </c>
      <c r="Q920" t="s">
        <v>22</v>
      </c>
      <c r="R920" t="str" cm="1">
        <f t="array" ref="R920">_xlfn.IFS(N920&lt;=1,"0-1 yrs",N920&lt;=4,"2-4 yrs",N920&lt;=9,"5-9 yrs",N920&gt;9,"10+ yrs")</f>
        <v>2-4 yrs</v>
      </c>
      <c r="S920" t="str" cm="1">
        <f t="array" ref="S920">_xlfn.IFS(B920&lt;=25,"20-25",B920&lt;=35,"26-35",B920&lt;=45,"36-45",B920&gt;45,"46+")</f>
        <v>36-45</v>
      </c>
      <c r="T920" t="str" cm="1">
        <f t="array" ref="T920">_xlfn.IFS(J920&lt;3500,"&lt;3.5K",J920&lt;5500,"3.5-5.5K",J920&lt;7500,"5.5-7.5K",J920&gt;=7500,"7.5K+")</f>
        <v>3.5-5.5K</v>
      </c>
      <c r="U920">
        <f t="shared" si="14"/>
        <v>0</v>
      </c>
    </row>
    <row r="921" spans="1:21" x14ac:dyDescent="0.25">
      <c r="A921">
        <v>1116</v>
      </c>
      <c r="B921">
        <v>40</v>
      </c>
      <c r="C921" t="s">
        <v>16</v>
      </c>
      <c r="D921" t="s">
        <v>24</v>
      </c>
      <c r="E921" t="s">
        <v>46</v>
      </c>
      <c r="F921" t="s">
        <v>26</v>
      </c>
      <c r="G921" t="s">
        <v>20</v>
      </c>
      <c r="H921" t="s">
        <v>30</v>
      </c>
      <c r="I921">
        <v>23</v>
      </c>
      <c r="J921" s="2">
        <v>5845</v>
      </c>
      <c r="K921" t="s">
        <v>22</v>
      </c>
      <c r="L921">
        <v>3</v>
      </c>
      <c r="M921">
        <v>2</v>
      </c>
      <c r="N921">
        <v>8</v>
      </c>
      <c r="O921">
        <v>8</v>
      </c>
      <c r="P921">
        <v>12</v>
      </c>
      <c r="Q921" t="s">
        <v>22</v>
      </c>
      <c r="R921" t="str" cm="1">
        <f t="array" ref="R921">_xlfn.IFS(N921&lt;=1,"0-1 yrs",N921&lt;=4,"2-4 yrs",N921&lt;=9,"5-9 yrs",N921&gt;9,"10+ yrs")</f>
        <v>5-9 yrs</v>
      </c>
      <c r="S921" t="str" cm="1">
        <f t="array" ref="S921">_xlfn.IFS(B921&lt;=25,"20-25",B921&lt;=35,"26-35",B921&lt;=45,"36-45",B921&gt;45,"46+")</f>
        <v>36-45</v>
      </c>
      <c r="T921" t="str" cm="1">
        <f t="array" ref="T921">_xlfn.IFS(J921&lt;3500,"&lt;3.5K",J921&lt;5500,"3.5-5.5K",J921&lt;7500,"5.5-7.5K",J921&gt;=7500,"7.5K+")</f>
        <v>5.5-7.5K</v>
      </c>
      <c r="U921">
        <f t="shared" si="14"/>
        <v>0</v>
      </c>
    </row>
    <row r="922" spans="1:21" x14ac:dyDescent="0.25">
      <c r="A922">
        <v>1013</v>
      </c>
      <c r="B922">
        <v>20</v>
      </c>
      <c r="C922" t="s">
        <v>23</v>
      </c>
      <c r="D922" t="s">
        <v>17</v>
      </c>
      <c r="E922" t="s">
        <v>40</v>
      </c>
      <c r="F922" t="s">
        <v>19</v>
      </c>
      <c r="G922" t="s">
        <v>37</v>
      </c>
      <c r="H922" t="s">
        <v>21</v>
      </c>
      <c r="I922">
        <v>3</v>
      </c>
      <c r="J922" s="2">
        <v>6052</v>
      </c>
      <c r="K922" t="s">
        <v>22</v>
      </c>
      <c r="L922">
        <v>1</v>
      </c>
      <c r="M922">
        <v>1</v>
      </c>
      <c r="N922">
        <v>0</v>
      </c>
      <c r="O922">
        <v>0</v>
      </c>
      <c r="P922">
        <v>0</v>
      </c>
      <c r="Q922" t="s">
        <v>42</v>
      </c>
      <c r="R922" t="str" cm="1">
        <f t="array" ref="R922">_xlfn.IFS(N922&lt;=1,"0-1 yrs",N922&lt;=4,"2-4 yrs",N922&lt;=9,"5-9 yrs",N922&gt;9,"10+ yrs")</f>
        <v>0-1 yrs</v>
      </c>
      <c r="S922" t="str" cm="1">
        <f t="array" ref="S922">_xlfn.IFS(B922&lt;=25,"20-25",B922&lt;=35,"26-35",B922&lt;=45,"36-45",B922&gt;45,"46+")</f>
        <v>20-25</v>
      </c>
      <c r="T922" t="str" cm="1">
        <f t="array" ref="T922">_xlfn.IFS(J922&lt;3500,"&lt;3.5K",J922&lt;5500,"3.5-5.5K",J922&lt;7500,"5.5-7.5K",J922&gt;=7500,"7.5K+")</f>
        <v>5.5-7.5K</v>
      </c>
      <c r="U922">
        <f t="shared" si="14"/>
        <v>1</v>
      </c>
    </row>
    <row r="923" spans="1:21" x14ac:dyDescent="0.25">
      <c r="A923">
        <v>1808</v>
      </c>
      <c r="B923">
        <v>60</v>
      </c>
      <c r="C923" t="s">
        <v>16</v>
      </c>
      <c r="D923" t="s">
        <v>27</v>
      </c>
      <c r="E923" t="s">
        <v>43</v>
      </c>
      <c r="F923" t="s">
        <v>38</v>
      </c>
      <c r="G923" t="s">
        <v>20</v>
      </c>
      <c r="H923" t="s">
        <v>34</v>
      </c>
      <c r="I923">
        <v>18</v>
      </c>
      <c r="J923" s="2">
        <v>11210</v>
      </c>
      <c r="K923" t="s">
        <v>22</v>
      </c>
      <c r="L923">
        <v>4</v>
      </c>
      <c r="M923">
        <v>3</v>
      </c>
      <c r="N923">
        <v>13</v>
      </c>
      <c r="O923">
        <v>8</v>
      </c>
      <c r="P923">
        <v>39</v>
      </c>
      <c r="Q923" t="s">
        <v>22</v>
      </c>
      <c r="R923" t="str" cm="1">
        <f t="array" ref="R923">_xlfn.IFS(N923&lt;=1,"0-1 yrs",N923&lt;=4,"2-4 yrs",N923&lt;=9,"5-9 yrs",N923&gt;9,"10+ yrs")</f>
        <v>10+ yrs</v>
      </c>
      <c r="S923" t="str" cm="1">
        <f t="array" ref="S923">_xlfn.IFS(B923&lt;=25,"20-25",B923&lt;=35,"26-35",B923&lt;=45,"36-45",B923&gt;45,"46+")</f>
        <v>46+</v>
      </c>
      <c r="T923" t="str" cm="1">
        <f t="array" ref="T923">_xlfn.IFS(J923&lt;3500,"&lt;3.5K",J923&lt;5500,"3.5-5.5K",J923&lt;7500,"5.5-7.5K",J923&gt;=7500,"7.5K+")</f>
        <v>7.5K+</v>
      </c>
      <c r="U923">
        <f t="shared" si="14"/>
        <v>0</v>
      </c>
    </row>
    <row r="924" spans="1:21" x14ac:dyDescent="0.25">
      <c r="A924">
        <v>1523</v>
      </c>
      <c r="B924">
        <v>27</v>
      </c>
      <c r="C924" t="s">
        <v>16</v>
      </c>
      <c r="D924" t="s">
        <v>38</v>
      </c>
      <c r="E924" t="s">
        <v>49</v>
      </c>
      <c r="F924" t="s">
        <v>29</v>
      </c>
      <c r="G924" t="s">
        <v>37</v>
      </c>
      <c r="H924" t="s">
        <v>30</v>
      </c>
      <c r="I924">
        <v>8</v>
      </c>
      <c r="J924" s="2">
        <v>10160</v>
      </c>
      <c r="K924" t="s">
        <v>22</v>
      </c>
      <c r="L924">
        <v>1</v>
      </c>
      <c r="M924">
        <v>4</v>
      </c>
      <c r="N924">
        <v>1</v>
      </c>
      <c r="O924">
        <v>1</v>
      </c>
      <c r="P924">
        <v>7</v>
      </c>
      <c r="Q924" t="s">
        <v>22</v>
      </c>
      <c r="R924" t="str" cm="1">
        <f t="array" ref="R924">_xlfn.IFS(N924&lt;=1,"0-1 yrs",N924&lt;=4,"2-4 yrs",N924&lt;=9,"5-9 yrs",N924&gt;9,"10+ yrs")</f>
        <v>0-1 yrs</v>
      </c>
      <c r="S924" t="str" cm="1">
        <f t="array" ref="S924">_xlfn.IFS(B924&lt;=25,"20-25",B924&lt;=35,"26-35",B924&lt;=45,"36-45",B924&gt;45,"46+")</f>
        <v>26-35</v>
      </c>
      <c r="T924" t="str" cm="1">
        <f t="array" ref="T924">_xlfn.IFS(J924&lt;3500,"&lt;3.5K",J924&lt;5500,"3.5-5.5K",J924&lt;7500,"5.5-7.5K",J924&gt;=7500,"7.5K+")</f>
        <v>7.5K+</v>
      </c>
      <c r="U924">
        <f t="shared" si="14"/>
        <v>0</v>
      </c>
    </row>
    <row r="925" spans="1:21" x14ac:dyDescent="0.25">
      <c r="A925">
        <v>1062</v>
      </c>
      <c r="B925">
        <v>26</v>
      </c>
      <c r="C925" t="s">
        <v>23</v>
      </c>
      <c r="D925" t="s">
        <v>47</v>
      </c>
      <c r="E925" t="s">
        <v>50</v>
      </c>
      <c r="F925" t="s">
        <v>19</v>
      </c>
      <c r="G925" t="s">
        <v>37</v>
      </c>
      <c r="H925" t="s">
        <v>30</v>
      </c>
      <c r="I925">
        <v>26</v>
      </c>
      <c r="J925" s="2">
        <v>5648</v>
      </c>
      <c r="K925" t="s">
        <v>42</v>
      </c>
      <c r="L925">
        <v>4</v>
      </c>
      <c r="M925">
        <v>2</v>
      </c>
      <c r="N925">
        <v>0</v>
      </c>
      <c r="O925">
        <v>0</v>
      </c>
      <c r="P925">
        <v>0</v>
      </c>
      <c r="Q925" t="s">
        <v>22</v>
      </c>
      <c r="R925" t="str" cm="1">
        <f t="array" ref="R925">_xlfn.IFS(N925&lt;=1,"0-1 yrs",N925&lt;=4,"2-4 yrs",N925&lt;=9,"5-9 yrs",N925&gt;9,"10+ yrs")</f>
        <v>0-1 yrs</v>
      </c>
      <c r="S925" t="str" cm="1">
        <f t="array" ref="S925">_xlfn.IFS(B925&lt;=25,"20-25",B925&lt;=35,"26-35",B925&lt;=45,"36-45",B925&gt;45,"46+")</f>
        <v>26-35</v>
      </c>
      <c r="T925" t="str" cm="1">
        <f t="array" ref="T925">_xlfn.IFS(J925&lt;3500,"&lt;3.5K",J925&lt;5500,"3.5-5.5K",J925&lt;7500,"5.5-7.5K",J925&gt;=7500,"7.5K+")</f>
        <v>5.5-7.5K</v>
      </c>
      <c r="U925">
        <f t="shared" si="14"/>
        <v>0</v>
      </c>
    </row>
    <row r="926" spans="1:21" x14ac:dyDescent="0.25">
      <c r="A926">
        <v>1381</v>
      </c>
      <c r="B926">
        <v>39</v>
      </c>
      <c r="C926" t="s">
        <v>23</v>
      </c>
      <c r="D926" t="s">
        <v>17</v>
      </c>
      <c r="E926" t="s">
        <v>18</v>
      </c>
      <c r="F926" t="s">
        <v>38</v>
      </c>
      <c r="G926" t="s">
        <v>33</v>
      </c>
      <c r="H926" t="s">
        <v>21</v>
      </c>
      <c r="I926">
        <v>11</v>
      </c>
      <c r="J926" s="2">
        <v>12452</v>
      </c>
      <c r="K926" t="s">
        <v>42</v>
      </c>
      <c r="L926">
        <v>2</v>
      </c>
      <c r="M926">
        <v>3</v>
      </c>
      <c r="N926">
        <v>6</v>
      </c>
      <c r="O926">
        <v>2</v>
      </c>
      <c r="P926">
        <v>19</v>
      </c>
      <c r="Q926" t="s">
        <v>22</v>
      </c>
      <c r="R926" t="str" cm="1">
        <f t="array" ref="R926">_xlfn.IFS(N926&lt;=1,"0-1 yrs",N926&lt;=4,"2-4 yrs",N926&lt;=9,"5-9 yrs",N926&gt;9,"10+ yrs")</f>
        <v>5-9 yrs</v>
      </c>
      <c r="S926" t="str" cm="1">
        <f t="array" ref="S926">_xlfn.IFS(B926&lt;=25,"20-25",B926&lt;=35,"26-35",B926&lt;=45,"36-45",B926&gt;45,"46+")</f>
        <v>36-45</v>
      </c>
      <c r="T926" t="str" cm="1">
        <f t="array" ref="T926">_xlfn.IFS(J926&lt;3500,"&lt;3.5K",J926&lt;5500,"3.5-5.5K",J926&lt;7500,"5.5-7.5K",J926&gt;=7500,"7.5K+")</f>
        <v>7.5K+</v>
      </c>
      <c r="U926">
        <f t="shared" si="14"/>
        <v>0</v>
      </c>
    </row>
    <row r="927" spans="1:21" x14ac:dyDescent="0.25">
      <c r="A927">
        <v>1012</v>
      </c>
      <c r="B927">
        <v>32</v>
      </c>
      <c r="C927" t="s">
        <v>16</v>
      </c>
      <c r="D927" t="s">
        <v>47</v>
      </c>
      <c r="E927" t="s">
        <v>53</v>
      </c>
      <c r="F927" t="s">
        <v>36</v>
      </c>
      <c r="G927" t="s">
        <v>37</v>
      </c>
      <c r="H927" t="s">
        <v>30</v>
      </c>
      <c r="I927">
        <v>8</v>
      </c>
      <c r="J927" s="2">
        <v>9105</v>
      </c>
      <c r="K927" t="s">
        <v>42</v>
      </c>
      <c r="L927">
        <v>4</v>
      </c>
      <c r="M927">
        <v>4</v>
      </c>
      <c r="N927">
        <v>5</v>
      </c>
      <c r="O927">
        <v>5</v>
      </c>
      <c r="P927">
        <v>6</v>
      </c>
      <c r="Q927" t="s">
        <v>42</v>
      </c>
      <c r="R927" t="str" cm="1">
        <f t="array" ref="R927">_xlfn.IFS(N927&lt;=1,"0-1 yrs",N927&lt;=4,"2-4 yrs",N927&lt;=9,"5-9 yrs",N927&gt;9,"10+ yrs")</f>
        <v>5-9 yrs</v>
      </c>
      <c r="S927" t="str" cm="1">
        <f t="array" ref="S927">_xlfn.IFS(B927&lt;=25,"20-25",B927&lt;=35,"26-35",B927&lt;=45,"36-45",B927&gt;45,"46+")</f>
        <v>26-35</v>
      </c>
      <c r="T927" t="str" cm="1">
        <f t="array" ref="T927">_xlfn.IFS(J927&lt;3500,"&lt;3.5K",J927&lt;5500,"3.5-5.5K",J927&lt;7500,"5.5-7.5K",J927&gt;=7500,"7.5K+")</f>
        <v>7.5K+</v>
      </c>
      <c r="U927">
        <f t="shared" si="14"/>
        <v>1</v>
      </c>
    </row>
    <row r="928" spans="1:21" x14ac:dyDescent="0.25">
      <c r="A928">
        <v>1401</v>
      </c>
      <c r="B928">
        <v>23</v>
      </c>
      <c r="C928" t="s">
        <v>23</v>
      </c>
      <c r="D928" t="s">
        <v>27</v>
      </c>
      <c r="E928" t="s">
        <v>44</v>
      </c>
      <c r="F928" t="s">
        <v>38</v>
      </c>
      <c r="G928" t="s">
        <v>37</v>
      </c>
      <c r="H928" t="s">
        <v>34</v>
      </c>
      <c r="I928">
        <v>16</v>
      </c>
      <c r="J928" s="2">
        <v>4268</v>
      </c>
      <c r="K928" t="s">
        <v>22</v>
      </c>
      <c r="L928">
        <v>1</v>
      </c>
      <c r="M928">
        <v>2</v>
      </c>
      <c r="N928">
        <v>0</v>
      </c>
      <c r="O928">
        <v>0</v>
      </c>
      <c r="P928">
        <v>0</v>
      </c>
      <c r="Q928" t="s">
        <v>42</v>
      </c>
      <c r="R928" t="str" cm="1">
        <f t="array" ref="R928">_xlfn.IFS(N928&lt;=1,"0-1 yrs",N928&lt;=4,"2-4 yrs",N928&lt;=9,"5-9 yrs",N928&gt;9,"10+ yrs")</f>
        <v>0-1 yrs</v>
      </c>
      <c r="S928" t="str" cm="1">
        <f t="array" ref="S928">_xlfn.IFS(B928&lt;=25,"20-25",B928&lt;=35,"26-35",B928&lt;=45,"36-45",B928&gt;45,"46+")</f>
        <v>20-25</v>
      </c>
      <c r="T928" t="str" cm="1">
        <f t="array" ref="T928">_xlfn.IFS(J928&lt;3500,"&lt;3.5K",J928&lt;5500,"3.5-5.5K",J928&lt;7500,"5.5-7.5K",J928&gt;=7500,"7.5K+")</f>
        <v>3.5-5.5K</v>
      </c>
      <c r="U928">
        <f t="shared" si="14"/>
        <v>1</v>
      </c>
    </row>
    <row r="929" spans="1:21" x14ac:dyDescent="0.25">
      <c r="A929">
        <v>1986</v>
      </c>
      <c r="B929">
        <v>56</v>
      </c>
      <c r="C929" t="s">
        <v>16</v>
      </c>
      <c r="D929" t="s">
        <v>24</v>
      </c>
      <c r="E929" t="s">
        <v>46</v>
      </c>
      <c r="F929" t="s">
        <v>26</v>
      </c>
      <c r="G929" t="s">
        <v>33</v>
      </c>
      <c r="H929" t="s">
        <v>34</v>
      </c>
      <c r="I929">
        <v>1</v>
      </c>
      <c r="J929" s="2">
        <v>10850</v>
      </c>
      <c r="K929" t="s">
        <v>22</v>
      </c>
      <c r="L929">
        <v>4</v>
      </c>
      <c r="M929">
        <v>2</v>
      </c>
      <c r="N929">
        <v>24</v>
      </c>
      <c r="O929">
        <v>8</v>
      </c>
      <c r="P929">
        <v>36</v>
      </c>
      <c r="Q929" t="s">
        <v>22</v>
      </c>
      <c r="R929" t="str" cm="1">
        <f t="array" ref="R929">_xlfn.IFS(N929&lt;=1,"0-1 yrs",N929&lt;=4,"2-4 yrs",N929&lt;=9,"5-9 yrs",N929&gt;9,"10+ yrs")</f>
        <v>10+ yrs</v>
      </c>
      <c r="S929" t="str" cm="1">
        <f t="array" ref="S929">_xlfn.IFS(B929&lt;=25,"20-25",B929&lt;=35,"26-35",B929&lt;=45,"36-45",B929&gt;45,"46+")</f>
        <v>46+</v>
      </c>
      <c r="T929" t="str" cm="1">
        <f t="array" ref="T929">_xlfn.IFS(J929&lt;3500,"&lt;3.5K",J929&lt;5500,"3.5-5.5K",J929&lt;7500,"5.5-7.5K",J929&gt;=7500,"7.5K+")</f>
        <v>7.5K+</v>
      </c>
      <c r="U929">
        <f t="shared" si="14"/>
        <v>0</v>
      </c>
    </row>
    <row r="930" spans="1:21" x14ac:dyDescent="0.25">
      <c r="A930">
        <v>1765</v>
      </c>
      <c r="B930">
        <v>36</v>
      </c>
      <c r="C930" t="s">
        <v>23</v>
      </c>
      <c r="D930" t="s">
        <v>17</v>
      </c>
      <c r="E930" t="s">
        <v>35</v>
      </c>
      <c r="F930" t="s">
        <v>29</v>
      </c>
      <c r="G930" t="s">
        <v>20</v>
      </c>
      <c r="H930" t="s">
        <v>30</v>
      </c>
      <c r="I930">
        <v>2</v>
      </c>
      <c r="J930" s="2">
        <v>7004</v>
      </c>
      <c r="K930" t="s">
        <v>42</v>
      </c>
      <c r="L930">
        <v>1</v>
      </c>
      <c r="M930">
        <v>2</v>
      </c>
      <c r="N930">
        <v>10</v>
      </c>
      <c r="O930">
        <v>2</v>
      </c>
      <c r="P930">
        <v>13</v>
      </c>
      <c r="Q930" t="s">
        <v>42</v>
      </c>
      <c r="R930" t="str" cm="1">
        <f t="array" ref="R930">_xlfn.IFS(N930&lt;=1,"0-1 yrs",N930&lt;=4,"2-4 yrs",N930&lt;=9,"5-9 yrs",N930&gt;9,"10+ yrs")</f>
        <v>10+ yrs</v>
      </c>
      <c r="S930" t="str" cm="1">
        <f t="array" ref="S930">_xlfn.IFS(B930&lt;=25,"20-25",B930&lt;=35,"26-35",B930&lt;=45,"36-45",B930&gt;45,"46+")</f>
        <v>36-45</v>
      </c>
      <c r="T930" t="str" cm="1">
        <f t="array" ref="T930">_xlfn.IFS(J930&lt;3500,"&lt;3.5K",J930&lt;5500,"3.5-5.5K",J930&lt;7500,"5.5-7.5K",J930&gt;=7500,"7.5K+")</f>
        <v>5.5-7.5K</v>
      </c>
      <c r="U930">
        <f t="shared" si="14"/>
        <v>1</v>
      </c>
    </row>
    <row r="931" spans="1:21" x14ac:dyDescent="0.25">
      <c r="A931">
        <v>1137</v>
      </c>
      <c r="B931">
        <v>56</v>
      </c>
      <c r="C931" t="s">
        <v>16</v>
      </c>
      <c r="D931" t="s">
        <v>38</v>
      </c>
      <c r="E931" t="s">
        <v>39</v>
      </c>
      <c r="F931" t="s">
        <v>32</v>
      </c>
      <c r="G931" t="s">
        <v>37</v>
      </c>
      <c r="H931" t="s">
        <v>21</v>
      </c>
      <c r="I931">
        <v>13</v>
      </c>
      <c r="J931" s="2">
        <v>12839</v>
      </c>
      <c r="K931" t="s">
        <v>22</v>
      </c>
      <c r="L931">
        <v>2</v>
      </c>
      <c r="M931">
        <v>1</v>
      </c>
      <c r="N931">
        <v>1</v>
      </c>
      <c r="O931">
        <v>0</v>
      </c>
      <c r="P931">
        <v>32</v>
      </c>
      <c r="Q931" t="s">
        <v>22</v>
      </c>
      <c r="R931" t="str" cm="1">
        <f t="array" ref="R931">_xlfn.IFS(N931&lt;=1,"0-1 yrs",N931&lt;=4,"2-4 yrs",N931&lt;=9,"5-9 yrs",N931&gt;9,"10+ yrs")</f>
        <v>0-1 yrs</v>
      </c>
      <c r="S931" t="str" cm="1">
        <f t="array" ref="S931">_xlfn.IFS(B931&lt;=25,"20-25",B931&lt;=35,"26-35",B931&lt;=45,"36-45",B931&gt;45,"46+")</f>
        <v>46+</v>
      </c>
      <c r="T931" t="str" cm="1">
        <f t="array" ref="T931">_xlfn.IFS(J931&lt;3500,"&lt;3.5K",J931&lt;5500,"3.5-5.5K",J931&lt;7500,"5.5-7.5K",J931&gt;=7500,"7.5K+")</f>
        <v>7.5K+</v>
      </c>
      <c r="U931">
        <f t="shared" si="14"/>
        <v>0</v>
      </c>
    </row>
    <row r="932" spans="1:21" x14ac:dyDescent="0.25">
      <c r="A932">
        <v>1308</v>
      </c>
      <c r="B932">
        <v>20</v>
      </c>
      <c r="C932" t="s">
        <v>23</v>
      </c>
      <c r="D932" t="s">
        <v>47</v>
      </c>
      <c r="E932" t="s">
        <v>53</v>
      </c>
      <c r="F932" t="s">
        <v>19</v>
      </c>
      <c r="G932" t="s">
        <v>37</v>
      </c>
      <c r="H932" t="s">
        <v>30</v>
      </c>
      <c r="I932">
        <v>4</v>
      </c>
      <c r="J932" s="2">
        <v>10828</v>
      </c>
      <c r="K932" t="s">
        <v>22</v>
      </c>
      <c r="L932">
        <v>1</v>
      </c>
      <c r="M932">
        <v>3</v>
      </c>
      <c r="N932">
        <v>0</v>
      </c>
      <c r="O932">
        <v>0</v>
      </c>
      <c r="P932">
        <v>0</v>
      </c>
      <c r="Q932" t="s">
        <v>22</v>
      </c>
      <c r="R932" t="str" cm="1">
        <f t="array" ref="R932">_xlfn.IFS(N932&lt;=1,"0-1 yrs",N932&lt;=4,"2-4 yrs",N932&lt;=9,"5-9 yrs",N932&gt;9,"10+ yrs")</f>
        <v>0-1 yrs</v>
      </c>
      <c r="S932" t="str" cm="1">
        <f t="array" ref="S932">_xlfn.IFS(B932&lt;=25,"20-25",B932&lt;=35,"26-35",B932&lt;=45,"36-45",B932&gt;45,"46+")</f>
        <v>20-25</v>
      </c>
      <c r="T932" t="str" cm="1">
        <f t="array" ref="T932">_xlfn.IFS(J932&lt;3500,"&lt;3.5K",J932&lt;5500,"3.5-5.5K",J932&lt;7500,"5.5-7.5K",J932&gt;=7500,"7.5K+")</f>
        <v>7.5K+</v>
      </c>
      <c r="U932">
        <f t="shared" si="14"/>
        <v>0</v>
      </c>
    </row>
    <row r="933" spans="1:21" x14ac:dyDescent="0.25">
      <c r="A933">
        <v>1151</v>
      </c>
      <c r="B933">
        <v>29</v>
      </c>
      <c r="C933" t="s">
        <v>23</v>
      </c>
      <c r="D933" t="s">
        <v>27</v>
      </c>
      <c r="E933" t="s">
        <v>28</v>
      </c>
      <c r="F933" t="s">
        <v>36</v>
      </c>
      <c r="G933" t="s">
        <v>37</v>
      </c>
      <c r="H933" t="s">
        <v>21</v>
      </c>
      <c r="I933">
        <v>5</v>
      </c>
      <c r="J933" s="2">
        <v>11168</v>
      </c>
      <c r="K933" t="s">
        <v>22</v>
      </c>
      <c r="L933">
        <v>2</v>
      </c>
      <c r="M933">
        <v>3</v>
      </c>
      <c r="N933">
        <v>4</v>
      </c>
      <c r="O933">
        <v>3</v>
      </c>
      <c r="P933">
        <v>4</v>
      </c>
      <c r="Q933" t="s">
        <v>22</v>
      </c>
      <c r="R933" t="str" cm="1">
        <f t="array" ref="R933">_xlfn.IFS(N933&lt;=1,"0-1 yrs",N933&lt;=4,"2-4 yrs",N933&lt;=9,"5-9 yrs",N933&gt;9,"10+ yrs")</f>
        <v>2-4 yrs</v>
      </c>
      <c r="S933" t="str" cm="1">
        <f t="array" ref="S933">_xlfn.IFS(B933&lt;=25,"20-25",B933&lt;=35,"26-35",B933&lt;=45,"36-45",B933&gt;45,"46+")</f>
        <v>26-35</v>
      </c>
      <c r="T933" t="str" cm="1">
        <f t="array" ref="T933">_xlfn.IFS(J933&lt;3500,"&lt;3.5K",J933&lt;5500,"3.5-5.5K",J933&lt;7500,"5.5-7.5K",J933&gt;=7500,"7.5K+")</f>
        <v>7.5K+</v>
      </c>
      <c r="U933">
        <f t="shared" si="14"/>
        <v>0</v>
      </c>
    </row>
    <row r="934" spans="1:21" x14ac:dyDescent="0.25">
      <c r="A934">
        <v>1208</v>
      </c>
      <c r="B934">
        <v>52</v>
      </c>
      <c r="C934" t="s">
        <v>23</v>
      </c>
      <c r="D934" t="s">
        <v>17</v>
      </c>
      <c r="E934" t="s">
        <v>40</v>
      </c>
      <c r="F934" t="s">
        <v>26</v>
      </c>
      <c r="G934" t="s">
        <v>20</v>
      </c>
      <c r="H934" t="s">
        <v>30</v>
      </c>
      <c r="I934">
        <v>9</v>
      </c>
      <c r="J934" s="2">
        <v>12888</v>
      </c>
      <c r="K934" t="s">
        <v>42</v>
      </c>
      <c r="L934">
        <v>4</v>
      </c>
      <c r="M934">
        <v>2</v>
      </c>
      <c r="N934">
        <v>2</v>
      </c>
      <c r="O934">
        <v>2</v>
      </c>
      <c r="P934">
        <v>32</v>
      </c>
      <c r="Q934" t="s">
        <v>22</v>
      </c>
      <c r="R934" t="str" cm="1">
        <f t="array" ref="R934">_xlfn.IFS(N934&lt;=1,"0-1 yrs",N934&lt;=4,"2-4 yrs",N934&lt;=9,"5-9 yrs",N934&gt;9,"10+ yrs")</f>
        <v>2-4 yrs</v>
      </c>
      <c r="S934" t="str" cm="1">
        <f t="array" ref="S934">_xlfn.IFS(B934&lt;=25,"20-25",B934&lt;=35,"26-35",B934&lt;=45,"36-45",B934&gt;45,"46+")</f>
        <v>46+</v>
      </c>
      <c r="T934" t="str" cm="1">
        <f t="array" ref="T934">_xlfn.IFS(J934&lt;3500,"&lt;3.5K",J934&lt;5500,"3.5-5.5K",J934&lt;7500,"5.5-7.5K",J934&gt;=7500,"7.5K+")</f>
        <v>7.5K+</v>
      </c>
      <c r="U934">
        <f t="shared" si="14"/>
        <v>0</v>
      </c>
    </row>
    <row r="935" spans="1:21" x14ac:dyDescent="0.25">
      <c r="A935">
        <v>1238</v>
      </c>
      <c r="B935">
        <v>32</v>
      </c>
      <c r="C935" t="s">
        <v>23</v>
      </c>
      <c r="D935" t="s">
        <v>24</v>
      </c>
      <c r="E935" t="s">
        <v>25</v>
      </c>
      <c r="F935" t="s">
        <v>26</v>
      </c>
      <c r="G935" t="s">
        <v>20</v>
      </c>
      <c r="H935" t="s">
        <v>30</v>
      </c>
      <c r="I935">
        <v>20</v>
      </c>
      <c r="J935" s="2">
        <v>12757</v>
      </c>
      <c r="K935" t="s">
        <v>22</v>
      </c>
      <c r="L935">
        <v>1</v>
      </c>
      <c r="M935">
        <v>2</v>
      </c>
      <c r="N935">
        <v>4</v>
      </c>
      <c r="O935">
        <v>3</v>
      </c>
      <c r="P935">
        <v>6</v>
      </c>
      <c r="Q935" t="s">
        <v>22</v>
      </c>
      <c r="R935" t="str" cm="1">
        <f t="array" ref="R935">_xlfn.IFS(N935&lt;=1,"0-1 yrs",N935&lt;=4,"2-4 yrs",N935&lt;=9,"5-9 yrs",N935&gt;9,"10+ yrs")</f>
        <v>2-4 yrs</v>
      </c>
      <c r="S935" t="str" cm="1">
        <f t="array" ref="S935">_xlfn.IFS(B935&lt;=25,"20-25",B935&lt;=35,"26-35",B935&lt;=45,"36-45",B935&gt;45,"46+")</f>
        <v>26-35</v>
      </c>
      <c r="T935" t="str" cm="1">
        <f t="array" ref="T935">_xlfn.IFS(J935&lt;3500,"&lt;3.5K",J935&lt;5500,"3.5-5.5K",J935&lt;7500,"5.5-7.5K",J935&gt;=7500,"7.5K+")</f>
        <v>7.5K+</v>
      </c>
      <c r="U935">
        <f t="shared" si="14"/>
        <v>0</v>
      </c>
    </row>
    <row r="936" spans="1:21" x14ac:dyDescent="0.25">
      <c r="A936">
        <v>1041</v>
      </c>
      <c r="B936">
        <v>27</v>
      </c>
      <c r="C936" t="s">
        <v>23</v>
      </c>
      <c r="D936" t="s">
        <v>47</v>
      </c>
      <c r="E936" t="s">
        <v>53</v>
      </c>
      <c r="F936" t="s">
        <v>29</v>
      </c>
      <c r="G936" t="s">
        <v>37</v>
      </c>
      <c r="H936" t="s">
        <v>30</v>
      </c>
      <c r="I936">
        <v>23</v>
      </c>
      <c r="J936" s="2">
        <v>9115</v>
      </c>
      <c r="K936" t="s">
        <v>22</v>
      </c>
      <c r="L936">
        <v>3</v>
      </c>
      <c r="M936">
        <v>4</v>
      </c>
      <c r="N936">
        <v>2</v>
      </c>
      <c r="O936">
        <v>0</v>
      </c>
      <c r="P936">
        <v>3</v>
      </c>
      <c r="Q936" t="s">
        <v>22</v>
      </c>
      <c r="R936" t="str" cm="1">
        <f t="array" ref="R936">_xlfn.IFS(N936&lt;=1,"0-1 yrs",N936&lt;=4,"2-4 yrs",N936&lt;=9,"5-9 yrs",N936&gt;9,"10+ yrs")</f>
        <v>2-4 yrs</v>
      </c>
      <c r="S936" t="str" cm="1">
        <f t="array" ref="S936">_xlfn.IFS(B936&lt;=25,"20-25",B936&lt;=35,"26-35",B936&lt;=45,"36-45",B936&gt;45,"46+")</f>
        <v>26-35</v>
      </c>
      <c r="T936" t="str" cm="1">
        <f t="array" ref="T936">_xlfn.IFS(J936&lt;3500,"&lt;3.5K",J936&lt;5500,"3.5-5.5K",J936&lt;7500,"5.5-7.5K",J936&gt;=7500,"7.5K+")</f>
        <v>7.5K+</v>
      </c>
      <c r="U936">
        <f t="shared" si="14"/>
        <v>0</v>
      </c>
    </row>
    <row r="937" spans="1:21" x14ac:dyDescent="0.25">
      <c r="A937">
        <v>1574</v>
      </c>
      <c r="B937">
        <v>28</v>
      </c>
      <c r="C937" t="s">
        <v>16</v>
      </c>
      <c r="D937" t="s">
        <v>17</v>
      </c>
      <c r="E937" t="s">
        <v>40</v>
      </c>
      <c r="F937" t="s">
        <v>41</v>
      </c>
      <c r="G937" t="s">
        <v>20</v>
      </c>
      <c r="H937" t="s">
        <v>34</v>
      </c>
      <c r="I937">
        <v>17</v>
      </c>
      <c r="J937" s="2">
        <v>5403</v>
      </c>
      <c r="K937" t="s">
        <v>22</v>
      </c>
      <c r="L937">
        <v>2</v>
      </c>
      <c r="M937">
        <v>3</v>
      </c>
      <c r="N937">
        <v>6</v>
      </c>
      <c r="O937">
        <v>5</v>
      </c>
      <c r="P937">
        <v>6</v>
      </c>
      <c r="Q937" t="s">
        <v>22</v>
      </c>
      <c r="R937" t="str" cm="1">
        <f t="array" ref="R937">_xlfn.IFS(N937&lt;=1,"0-1 yrs",N937&lt;=4,"2-4 yrs",N937&lt;=9,"5-9 yrs",N937&gt;9,"10+ yrs")</f>
        <v>5-9 yrs</v>
      </c>
      <c r="S937" t="str" cm="1">
        <f t="array" ref="S937">_xlfn.IFS(B937&lt;=25,"20-25",B937&lt;=35,"26-35",B937&lt;=45,"36-45",B937&gt;45,"46+")</f>
        <v>26-35</v>
      </c>
      <c r="T937" t="str" cm="1">
        <f t="array" ref="T937">_xlfn.IFS(J937&lt;3500,"&lt;3.5K",J937&lt;5500,"3.5-5.5K",J937&lt;7500,"5.5-7.5K",J937&gt;=7500,"7.5K+")</f>
        <v>3.5-5.5K</v>
      </c>
      <c r="U937">
        <f t="shared" si="14"/>
        <v>0</v>
      </c>
    </row>
    <row r="938" spans="1:21" x14ac:dyDescent="0.25">
      <c r="A938">
        <v>1424</v>
      </c>
      <c r="B938">
        <v>49</v>
      </c>
      <c r="C938" t="s">
        <v>16</v>
      </c>
      <c r="D938" t="s">
        <v>24</v>
      </c>
      <c r="E938" t="s">
        <v>52</v>
      </c>
      <c r="F938" t="s">
        <v>36</v>
      </c>
      <c r="G938" t="s">
        <v>20</v>
      </c>
      <c r="H938" t="s">
        <v>21</v>
      </c>
      <c r="I938">
        <v>2</v>
      </c>
      <c r="J938" s="2">
        <v>7795</v>
      </c>
      <c r="K938" t="s">
        <v>22</v>
      </c>
      <c r="L938">
        <v>2</v>
      </c>
      <c r="M938">
        <v>1</v>
      </c>
      <c r="N938">
        <v>8</v>
      </c>
      <c r="O938">
        <v>3</v>
      </c>
      <c r="P938">
        <v>23</v>
      </c>
      <c r="Q938" t="s">
        <v>22</v>
      </c>
      <c r="R938" t="str" cm="1">
        <f t="array" ref="R938">_xlfn.IFS(N938&lt;=1,"0-1 yrs",N938&lt;=4,"2-4 yrs",N938&lt;=9,"5-9 yrs",N938&gt;9,"10+ yrs")</f>
        <v>5-9 yrs</v>
      </c>
      <c r="S938" t="str" cm="1">
        <f t="array" ref="S938">_xlfn.IFS(B938&lt;=25,"20-25",B938&lt;=35,"26-35",B938&lt;=45,"36-45",B938&gt;45,"46+")</f>
        <v>46+</v>
      </c>
      <c r="T938" t="str" cm="1">
        <f t="array" ref="T938">_xlfn.IFS(J938&lt;3500,"&lt;3.5K",J938&lt;5500,"3.5-5.5K",J938&lt;7500,"5.5-7.5K",J938&gt;=7500,"7.5K+")</f>
        <v>7.5K+</v>
      </c>
      <c r="U938">
        <f t="shared" si="14"/>
        <v>0</v>
      </c>
    </row>
    <row r="939" spans="1:21" x14ac:dyDescent="0.25">
      <c r="A939">
        <v>1597</v>
      </c>
      <c r="B939">
        <v>60</v>
      </c>
      <c r="C939" t="s">
        <v>23</v>
      </c>
      <c r="D939" t="s">
        <v>47</v>
      </c>
      <c r="E939" t="s">
        <v>50</v>
      </c>
      <c r="F939" t="s">
        <v>29</v>
      </c>
      <c r="G939" t="s">
        <v>37</v>
      </c>
      <c r="H939" t="s">
        <v>30</v>
      </c>
      <c r="I939">
        <v>5</v>
      </c>
      <c r="J939" s="2">
        <v>11877</v>
      </c>
      <c r="K939" t="s">
        <v>22</v>
      </c>
      <c r="L939">
        <v>3</v>
      </c>
      <c r="M939">
        <v>4</v>
      </c>
      <c r="N939">
        <v>21</v>
      </c>
      <c r="O939">
        <v>20</v>
      </c>
      <c r="P939">
        <v>35</v>
      </c>
      <c r="Q939" t="s">
        <v>22</v>
      </c>
      <c r="R939" t="str" cm="1">
        <f t="array" ref="R939">_xlfn.IFS(N939&lt;=1,"0-1 yrs",N939&lt;=4,"2-4 yrs",N939&lt;=9,"5-9 yrs",N939&gt;9,"10+ yrs")</f>
        <v>10+ yrs</v>
      </c>
      <c r="S939" t="str" cm="1">
        <f t="array" ref="S939">_xlfn.IFS(B939&lt;=25,"20-25",B939&lt;=35,"26-35",B939&lt;=45,"36-45",B939&gt;45,"46+")</f>
        <v>46+</v>
      </c>
      <c r="T939" t="str" cm="1">
        <f t="array" ref="T939">_xlfn.IFS(J939&lt;3500,"&lt;3.5K",J939&lt;5500,"3.5-5.5K",J939&lt;7500,"5.5-7.5K",J939&gt;=7500,"7.5K+")</f>
        <v>7.5K+</v>
      </c>
      <c r="U939">
        <f t="shared" si="14"/>
        <v>0</v>
      </c>
    </row>
    <row r="940" spans="1:21" x14ac:dyDescent="0.25">
      <c r="A940">
        <v>1190</v>
      </c>
      <c r="B940">
        <v>47</v>
      </c>
      <c r="C940" t="s">
        <v>23</v>
      </c>
      <c r="D940" t="s">
        <v>24</v>
      </c>
      <c r="E940" t="s">
        <v>46</v>
      </c>
      <c r="F940" t="s">
        <v>38</v>
      </c>
      <c r="G940" t="s">
        <v>37</v>
      </c>
      <c r="H940" t="s">
        <v>34</v>
      </c>
      <c r="I940">
        <v>9</v>
      </c>
      <c r="J940" s="2">
        <v>12143</v>
      </c>
      <c r="K940" t="s">
        <v>22</v>
      </c>
      <c r="L940">
        <v>3</v>
      </c>
      <c r="M940">
        <v>1</v>
      </c>
      <c r="N940">
        <v>4</v>
      </c>
      <c r="O940">
        <v>2</v>
      </c>
      <c r="P940">
        <v>25</v>
      </c>
      <c r="Q940" t="s">
        <v>42</v>
      </c>
      <c r="R940" t="str" cm="1">
        <f t="array" ref="R940">_xlfn.IFS(N940&lt;=1,"0-1 yrs",N940&lt;=4,"2-4 yrs",N940&lt;=9,"5-9 yrs",N940&gt;9,"10+ yrs")</f>
        <v>2-4 yrs</v>
      </c>
      <c r="S940" t="str" cm="1">
        <f t="array" ref="S940">_xlfn.IFS(B940&lt;=25,"20-25",B940&lt;=35,"26-35",B940&lt;=45,"36-45",B940&gt;45,"46+")</f>
        <v>46+</v>
      </c>
      <c r="T940" t="str" cm="1">
        <f t="array" ref="T940">_xlfn.IFS(J940&lt;3500,"&lt;3.5K",J940&lt;5500,"3.5-5.5K",J940&lt;7500,"5.5-7.5K",J940&gt;=7500,"7.5K+")</f>
        <v>7.5K+</v>
      </c>
      <c r="U940">
        <f t="shared" si="14"/>
        <v>1</v>
      </c>
    </row>
    <row r="941" spans="1:21" x14ac:dyDescent="0.25">
      <c r="A941">
        <v>1673</v>
      </c>
      <c r="B941">
        <v>21</v>
      </c>
      <c r="C941" t="s">
        <v>23</v>
      </c>
      <c r="D941" t="s">
        <v>38</v>
      </c>
      <c r="E941" t="s">
        <v>49</v>
      </c>
      <c r="F941" t="s">
        <v>32</v>
      </c>
      <c r="G941" t="s">
        <v>37</v>
      </c>
      <c r="H941" t="s">
        <v>34</v>
      </c>
      <c r="I941">
        <v>25</v>
      </c>
      <c r="J941" s="2">
        <v>9132</v>
      </c>
      <c r="K941" t="s">
        <v>22</v>
      </c>
      <c r="L941">
        <v>1</v>
      </c>
      <c r="M941">
        <v>2</v>
      </c>
      <c r="N941">
        <v>0</v>
      </c>
      <c r="O941">
        <v>0</v>
      </c>
      <c r="P941">
        <v>0</v>
      </c>
      <c r="Q941" t="s">
        <v>22</v>
      </c>
      <c r="R941" t="str" cm="1">
        <f t="array" ref="R941">_xlfn.IFS(N941&lt;=1,"0-1 yrs",N941&lt;=4,"2-4 yrs",N941&lt;=9,"5-9 yrs",N941&gt;9,"10+ yrs")</f>
        <v>0-1 yrs</v>
      </c>
      <c r="S941" t="str" cm="1">
        <f t="array" ref="S941">_xlfn.IFS(B941&lt;=25,"20-25",B941&lt;=35,"26-35",B941&lt;=45,"36-45",B941&gt;45,"46+")</f>
        <v>20-25</v>
      </c>
      <c r="T941" t="str" cm="1">
        <f t="array" ref="T941">_xlfn.IFS(J941&lt;3500,"&lt;3.5K",J941&lt;5500,"3.5-5.5K",J941&lt;7500,"5.5-7.5K",J941&gt;=7500,"7.5K+")</f>
        <v>7.5K+</v>
      </c>
      <c r="U941">
        <f t="shared" si="14"/>
        <v>0</v>
      </c>
    </row>
    <row r="942" spans="1:21" x14ac:dyDescent="0.25">
      <c r="A942">
        <v>1809</v>
      </c>
      <c r="B942">
        <v>49</v>
      </c>
      <c r="C942" t="s">
        <v>23</v>
      </c>
      <c r="D942" t="s">
        <v>17</v>
      </c>
      <c r="E942" t="s">
        <v>35</v>
      </c>
      <c r="F942" t="s">
        <v>32</v>
      </c>
      <c r="G942" t="s">
        <v>20</v>
      </c>
      <c r="H942" t="s">
        <v>21</v>
      </c>
      <c r="I942">
        <v>24</v>
      </c>
      <c r="J942" s="2">
        <v>8420</v>
      </c>
      <c r="K942" t="s">
        <v>42</v>
      </c>
      <c r="L942">
        <v>4</v>
      </c>
      <c r="M942">
        <v>3</v>
      </c>
      <c r="N942">
        <v>13</v>
      </c>
      <c r="O942">
        <v>3</v>
      </c>
      <c r="P942">
        <v>25</v>
      </c>
      <c r="Q942" t="s">
        <v>22</v>
      </c>
      <c r="R942" t="str" cm="1">
        <f t="array" ref="R942">_xlfn.IFS(N942&lt;=1,"0-1 yrs",N942&lt;=4,"2-4 yrs",N942&lt;=9,"5-9 yrs",N942&gt;9,"10+ yrs")</f>
        <v>10+ yrs</v>
      </c>
      <c r="S942" t="str" cm="1">
        <f t="array" ref="S942">_xlfn.IFS(B942&lt;=25,"20-25",B942&lt;=35,"26-35",B942&lt;=45,"36-45",B942&gt;45,"46+")</f>
        <v>46+</v>
      </c>
      <c r="T942" t="str" cm="1">
        <f t="array" ref="T942">_xlfn.IFS(J942&lt;3500,"&lt;3.5K",J942&lt;5500,"3.5-5.5K",J942&lt;7500,"5.5-7.5K",J942&gt;=7500,"7.5K+")</f>
        <v>7.5K+</v>
      </c>
      <c r="U942">
        <f t="shared" si="14"/>
        <v>0</v>
      </c>
    </row>
    <row r="943" spans="1:21" x14ac:dyDescent="0.25">
      <c r="A943">
        <v>1984</v>
      </c>
      <c r="B943">
        <v>49</v>
      </c>
      <c r="C943" t="s">
        <v>23</v>
      </c>
      <c r="D943" t="s">
        <v>24</v>
      </c>
      <c r="E943" t="s">
        <v>25</v>
      </c>
      <c r="F943" t="s">
        <v>32</v>
      </c>
      <c r="G943" t="s">
        <v>20</v>
      </c>
      <c r="H943" t="s">
        <v>30</v>
      </c>
      <c r="I943">
        <v>4</v>
      </c>
      <c r="J943" s="2">
        <v>13076</v>
      </c>
      <c r="K943" t="s">
        <v>42</v>
      </c>
      <c r="L943">
        <v>1</v>
      </c>
      <c r="M943">
        <v>4</v>
      </c>
      <c r="N943">
        <v>25</v>
      </c>
      <c r="O943">
        <v>6</v>
      </c>
      <c r="P943">
        <v>29</v>
      </c>
      <c r="Q943" t="s">
        <v>42</v>
      </c>
      <c r="R943" t="str" cm="1">
        <f t="array" ref="R943">_xlfn.IFS(N943&lt;=1,"0-1 yrs",N943&lt;=4,"2-4 yrs",N943&lt;=9,"5-9 yrs",N943&gt;9,"10+ yrs")</f>
        <v>10+ yrs</v>
      </c>
      <c r="S943" t="str" cm="1">
        <f t="array" ref="S943">_xlfn.IFS(B943&lt;=25,"20-25",B943&lt;=35,"26-35",B943&lt;=45,"36-45",B943&gt;45,"46+")</f>
        <v>46+</v>
      </c>
      <c r="T943" t="str" cm="1">
        <f t="array" ref="T943">_xlfn.IFS(J943&lt;3500,"&lt;3.5K",J943&lt;5500,"3.5-5.5K",J943&lt;7500,"5.5-7.5K",J943&gt;=7500,"7.5K+")</f>
        <v>7.5K+</v>
      </c>
      <c r="U943">
        <f t="shared" si="14"/>
        <v>1</v>
      </c>
    </row>
    <row r="944" spans="1:21" x14ac:dyDescent="0.25">
      <c r="A944">
        <v>1490</v>
      </c>
      <c r="B944">
        <v>20</v>
      </c>
      <c r="C944" t="s">
        <v>16</v>
      </c>
      <c r="D944" t="s">
        <v>27</v>
      </c>
      <c r="E944" t="s">
        <v>31</v>
      </c>
      <c r="F944" t="s">
        <v>29</v>
      </c>
      <c r="G944" t="s">
        <v>33</v>
      </c>
      <c r="H944" t="s">
        <v>21</v>
      </c>
      <c r="I944">
        <v>29</v>
      </c>
      <c r="J944" s="2">
        <v>8046</v>
      </c>
      <c r="K944" t="s">
        <v>42</v>
      </c>
      <c r="L944">
        <v>4</v>
      </c>
      <c r="M944">
        <v>3</v>
      </c>
      <c r="N944">
        <v>0</v>
      </c>
      <c r="O944">
        <v>0</v>
      </c>
      <c r="P944">
        <v>0</v>
      </c>
      <c r="Q944" t="s">
        <v>22</v>
      </c>
      <c r="R944" t="str" cm="1">
        <f t="array" ref="R944">_xlfn.IFS(N944&lt;=1,"0-1 yrs",N944&lt;=4,"2-4 yrs",N944&lt;=9,"5-9 yrs",N944&gt;9,"10+ yrs")</f>
        <v>0-1 yrs</v>
      </c>
      <c r="S944" t="str" cm="1">
        <f t="array" ref="S944">_xlfn.IFS(B944&lt;=25,"20-25",B944&lt;=35,"26-35",B944&lt;=45,"36-45",B944&gt;45,"46+")</f>
        <v>20-25</v>
      </c>
      <c r="T944" t="str" cm="1">
        <f t="array" ref="T944">_xlfn.IFS(J944&lt;3500,"&lt;3.5K",J944&lt;5500,"3.5-5.5K",J944&lt;7500,"5.5-7.5K",J944&gt;=7500,"7.5K+")</f>
        <v>7.5K+</v>
      </c>
      <c r="U944">
        <f t="shared" si="14"/>
        <v>0</v>
      </c>
    </row>
    <row r="945" spans="1:21" x14ac:dyDescent="0.25">
      <c r="A945">
        <v>1981</v>
      </c>
      <c r="B945">
        <v>33</v>
      </c>
      <c r="C945" t="s">
        <v>16</v>
      </c>
      <c r="D945" t="s">
        <v>38</v>
      </c>
      <c r="E945" t="s">
        <v>49</v>
      </c>
      <c r="F945" t="s">
        <v>41</v>
      </c>
      <c r="G945" t="s">
        <v>20</v>
      </c>
      <c r="H945" t="s">
        <v>30</v>
      </c>
      <c r="I945">
        <v>13</v>
      </c>
      <c r="J945" s="2">
        <v>8935</v>
      </c>
      <c r="K945" t="s">
        <v>22</v>
      </c>
      <c r="L945">
        <v>2</v>
      </c>
      <c r="M945">
        <v>4</v>
      </c>
      <c r="N945">
        <v>1</v>
      </c>
      <c r="O945">
        <v>0</v>
      </c>
      <c r="P945">
        <v>4</v>
      </c>
      <c r="Q945" t="s">
        <v>22</v>
      </c>
      <c r="R945" t="str" cm="1">
        <f t="array" ref="R945">_xlfn.IFS(N945&lt;=1,"0-1 yrs",N945&lt;=4,"2-4 yrs",N945&lt;=9,"5-9 yrs",N945&gt;9,"10+ yrs")</f>
        <v>0-1 yrs</v>
      </c>
      <c r="S945" t="str" cm="1">
        <f t="array" ref="S945">_xlfn.IFS(B945&lt;=25,"20-25",B945&lt;=35,"26-35",B945&lt;=45,"36-45",B945&gt;45,"46+")</f>
        <v>26-35</v>
      </c>
      <c r="T945" t="str" cm="1">
        <f t="array" ref="T945">_xlfn.IFS(J945&lt;3500,"&lt;3.5K",J945&lt;5500,"3.5-5.5K",J945&lt;7500,"5.5-7.5K",J945&gt;=7500,"7.5K+")</f>
        <v>7.5K+</v>
      </c>
      <c r="U945">
        <f t="shared" si="14"/>
        <v>0</v>
      </c>
    </row>
    <row r="946" spans="1:21" x14ac:dyDescent="0.25">
      <c r="A946">
        <v>1987</v>
      </c>
      <c r="B946">
        <v>22</v>
      </c>
      <c r="C946" t="s">
        <v>23</v>
      </c>
      <c r="D946" t="s">
        <v>27</v>
      </c>
      <c r="E946" t="s">
        <v>31</v>
      </c>
      <c r="F946" t="s">
        <v>26</v>
      </c>
      <c r="G946" t="s">
        <v>20</v>
      </c>
      <c r="H946" t="s">
        <v>30</v>
      </c>
      <c r="I946">
        <v>20</v>
      </c>
      <c r="J946" s="2">
        <v>4562</v>
      </c>
      <c r="K946" t="s">
        <v>22</v>
      </c>
      <c r="L946">
        <v>1</v>
      </c>
      <c r="M946">
        <v>3</v>
      </c>
      <c r="N946">
        <v>1</v>
      </c>
      <c r="O946">
        <v>1</v>
      </c>
      <c r="P946">
        <v>2</v>
      </c>
      <c r="Q946" t="s">
        <v>42</v>
      </c>
      <c r="R946" t="str" cm="1">
        <f t="array" ref="R946">_xlfn.IFS(N946&lt;=1,"0-1 yrs",N946&lt;=4,"2-4 yrs",N946&lt;=9,"5-9 yrs",N946&gt;9,"10+ yrs")</f>
        <v>0-1 yrs</v>
      </c>
      <c r="S946" t="str" cm="1">
        <f t="array" ref="S946">_xlfn.IFS(B946&lt;=25,"20-25",B946&lt;=35,"26-35",B946&lt;=45,"36-45",B946&gt;45,"46+")</f>
        <v>20-25</v>
      </c>
      <c r="T946" t="str" cm="1">
        <f t="array" ref="T946">_xlfn.IFS(J946&lt;3500,"&lt;3.5K",J946&lt;5500,"3.5-5.5K",J946&lt;7500,"5.5-7.5K",J946&gt;=7500,"7.5K+")</f>
        <v>3.5-5.5K</v>
      </c>
      <c r="U946">
        <f t="shared" si="14"/>
        <v>1</v>
      </c>
    </row>
    <row r="947" spans="1:21" x14ac:dyDescent="0.25">
      <c r="A947">
        <v>1383</v>
      </c>
      <c r="B947">
        <v>41</v>
      </c>
      <c r="C947" t="s">
        <v>16</v>
      </c>
      <c r="D947" t="s">
        <v>17</v>
      </c>
      <c r="E947" t="s">
        <v>18</v>
      </c>
      <c r="F947" t="s">
        <v>32</v>
      </c>
      <c r="G947" t="s">
        <v>37</v>
      </c>
      <c r="H947" t="s">
        <v>30</v>
      </c>
      <c r="I947">
        <v>3</v>
      </c>
      <c r="J947" s="2">
        <v>11286</v>
      </c>
      <c r="K947" t="s">
        <v>22</v>
      </c>
      <c r="L947">
        <v>1</v>
      </c>
      <c r="M947">
        <v>1</v>
      </c>
      <c r="N947">
        <v>0</v>
      </c>
      <c r="O947">
        <v>0</v>
      </c>
      <c r="P947">
        <v>15</v>
      </c>
      <c r="Q947" t="s">
        <v>42</v>
      </c>
      <c r="R947" t="str" cm="1">
        <f t="array" ref="R947">_xlfn.IFS(N947&lt;=1,"0-1 yrs",N947&lt;=4,"2-4 yrs",N947&lt;=9,"5-9 yrs",N947&gt;9,"10+ yrs")</f>
        <v>0-1 yrs</v>
      </c>
      <c r="S947" t="str" cm="1">
        <f t="array" ref="S947">_xlfn.IFS(B947&lt;=25,"20-25",B947&lt;=35,"26-35",B947&lt;=45,"36-45",B947&gt;45,"46+")</f>
        <v>36-45</v>
      </c>
      <c r="T947" t="str" cm="1">
        <f t="array" ref="T947">_xlfn.IFS(J947&lt;3500,"&lt;3.5K",J947&lt;5500,"3.5-5.5K",J947&lt;7500,"5.5-7.5K",J947&gt;=7500,"7.5K+")</f>
        <v>7.5K+</v>
      </c>
      <c r="U947">
        <f t="shared" si="14"/>
        <v>1</v>
      </c>
    </row>
    <row r="948" spans="1:21" x14ac:dyDescent="0.25">
      <c r="A948">
        <v>1560</v>
      </c>
      <c r="B948">
        <v>47</v>
      </c>
      <c r="C948" t="s">
        <v>23</v>
      </c>
      <c r="D948" t="s">
        <v>47</v>
      </c>
      <c r="E948" t="s">
        <v>53</v>
      </c>
      <c r="F948" t="s">
        <v>38</v>
      </c>
      <c r="G948" t="s">
        <v>33</v>
      </c>
      <c r="H948" t="s">
        <v>34</v>
      </c>
      <c r="I948">
        <v>11</v>
      </c>
      <c r="J948" s="2">
        <v>13363</v>
      </c>
      <c r="K948" t="s">
        <v>22</v>
      </c>
      <c r="L948">
        <v>2</v>
      </c>
      <c r="M948">
        <v>4</v>
      </c>
      <c r="N948">
        <v>4</v>
      </c>
      <c r="O948">
        <v>1</v>
      </c>
      <c r="P948">
        <v>24</v>
      </c>
      <c r="Q948" t="s">
        <v>22</v>
      </c>
      <c r="R948" t="str" cm="1">
        <f t="array" ref="R948">_xlfn.IFS(N948&lt;=1,"0-1 yrs",N948&lt;=4,"2-4 yrs",N948&lt;=9,"5-9 yrs",N948&gt;9,"10+ yrs")</f>
        <v>2-4 yrs</v>
      </c>
      <c r="S948" t="str" cm="1">
        <f t="array" ref="S948">_xlfn.IFS(B948&lt;=25,"20-25",B948&lt;=35,"26-35",B948&lt;=45,"36-45",B948&gt;45,"46+")</f>
        <v>46+</v>
      </c>
      <c r="T948" t="str" cm="1">
        <f t="array" ref="T948">_xlfn.IFS(J948&lt;3500,"&lt;3.5K",J948&lt;5500,"3.5-5.5K",J948&lt;7500,"5.5-7.5K",J948&gt;=7500,"7.5K+")</f>
        <v>7.5K+</v>
      </c>
      <c r="U948">
        <f t="shared" si="14"/>
        <v>0</v>
      </c>
    </row>
    <row r="949" spans="1:21" x14ac:dyDescent="0.25">
      <c r="A949">
        <v>1676</v>
      </c>
      <c r="B949">
        <v>49</v>
      </c>
      <c r="C949" t="s">
        <v>23</v>
      </c>
      <c r="D949" t="s">
        <v>17</v>
      </c>
      <c r="E949" t="s">
        <v>18</v>
      </c>
      <c r="F949" t="s">
        <v>38</v>
      </c>
      <c r="G949" t="s">
        <v>37</v>
      </c>
      <c r="H949" t="s">
        <v>30</v>
      </c>
      <c r="I949">
        <v>17</v>
      </c>
      <c r="J949" s="2">
        <v>14852</v>
      </c>
      <c r="K949" t="s">
        <v>22</v>
      </c>
      <c r="L949">
        <v>2</v>
      </c>
      <c r="M949">
        <v>2</v>
      </c>
      <c r="N949">
        <v>22</v>
      </c>
      <c r="O949">
        <v>7</v>
      </c>
      <c r="P949">
        <v>29</v>
      </c>
      <c r="Q949" t="s">
        <v>22</v>
      </c>
      <c r="R949" t="str" cm="1">
        <f t="array" ref="R949">_xlfn.IFS(N949&lt;=1,"0-1 yrs",N949&lt;=4,"2-4 yrs",N949&lt;=9,"5-9 yrs",N949&gt;9,"10+ yrs")</f>
        <v>10+ yrs</v>
      </c>
      <c r="S949" t="str" cm="1">
        <f t="array" ref="S949">_xlfn.IFS(B949&lt;=25,"20-25",B949&lt;=35,"26-35",B949&lt;=45,"36-45",B949&gt;45,"46+")</f>
        <v>46+</v>
      </c>
      <c r="T949" t="str" cm="1">
        <f t="array" ref="T949">_xlfn.IFS(J949&lt;3500,"&lt;3.5K",J949&lt;5500,"3.5-5.5K",J949&lt;7500,"5.5-7.5K",J949&gt;=7500,"7.5K+")</f>
        <v>7.5K+</v>
      </c>
      <c r="U949">
        <f t="shared" si="14"/>
        <v>0</v>
      </c>
    </row>
    <row r="950" spans="1:21" x14ac:dyDescent="0.25">
      <c r="A950">
        <v>1457</v>
      </c>
      <c r="B950">
        <v>46</v>
      </c>
      <c r="C950" t="s">
        <v>23</v>
      </c>
      <c r="D950" t="s">
        <v>17</v>
      </c>
      <c r="E950" t="s">
        <v>40</v>
      </c>
      <c r="F950" t="s">
        <v>38</v>
      </c>
      <c r="G950" t="s">
        <v>33</v>
      </c>
      <c r="H950" t="s">
        <v>34</v>
      </c>
      <c r="I950">
        <v>23</v>
      </c>
      <c r="J950" s="2">
        <v>12513</v>
      </c>
      <c r="K950" t="s">
        <v>22</v>
      </c>
      <c r="L950">
        <v>2</v>
      </c>
      <c r="M950">
        <v>4</v>
      </c>
      <c r="N950">
        <v>3</v>
      </c>
      <c r="O950">
        <v>3</v>
      </c>
      <c r="P950">
        <v>26</v>
      </c>
      <c r="Q950" t="s">
        <v>22</v>
      </c>
      <c r="R950" t="str" cm="1">
        <f t="array" ref="R950">_xlfn.IFS(N950&lt;=1,"0-1 yrs",N950&lt;=4,"2-4 yrs",N950&lt;=9,"5-9 yrs",N950&gt;9,"10+ yrs")</f>
        <v>2-4 yrs</v>
      </c>
      <c r="S950" t="str" cm="1">
        <f t="array" ref="S950">_xlfn.IFS(B950&lt;=25,"20-25",B950&lt;=35,"26-35",B950&lt;=45,"36-45",B950&gt;45,"46+")</f>
        <v>46+</v>
      </c>
      <c r="T950" t="str" cm="1">
        <f t="array" ref="T950">_xlfn.IFS(J950&lt;3500,"&lt;3.5K",J950&lt;5500,"3.5-5.5K",J950&lt;7500,"5.5-7.5K",J950&gt;=7500,"7.5K+")</f>
        <v>7.5K+</v>
      </c>
      <c r="U950">
        <f t="shared" si="14"/>
        <v>0</v>
      </c>
    </row>
    <row r="951" spans="1:21" x14ac:dyDescent="0.25">
      <c r="A951">
        <v>1202</v>
      </c>
      <c r="B951">
        <v>26</v>
      </c>
      <c r="C951" t="s">
        <v>23</v>
      </c>
      <c r="D951" t="s">
        <v>24</v>
      </c>
      <c r="E951" t="s">
        <v>25</v>
      </c>
      <c r="F951" t="s">
        <v>41</v>
      </c>
      <c r="G951" t="s">
        <v>20</v>
      </c>
      <c r="H951" t="s">
        <v>21</v>
      </c>
      <c r="I951">
        <v>1</v>
      </c>
      <c r="J951" s="2">
        <v>8887</v>
      </c>
      <c r="K951" t="s">
        <v>22</v>
      </c>
      <c r="L951">
        <v>1</v>
      </c>
      <c r="M951">
        <v>1</v>
      </c>
      <c r="N951">
        <v>0</v>
      </c>
      <c r="O951">
        <v>0</v>
      </c>
      <c r="P951">
        <v>6</v>
      </c>
      <c r="Q951" t="s">
        <v>42</v>
      </c>
      <c r="R951" t="str" cm="1">
        <f t="array" ref="R951">_xlfn.IFS(N951&lt;=1,"0-1 yrs",N951&lt;=4,"2-4 yrs",N951&lt;=9,"5-9 yrs",N951&gt;9,"10+ yrs")</f>
        <v>0-1 yrs</v>
      </c>
      <c r="S951" t="str" cm="1">
        <f t="array" ref="S951">_xlfn.IFS(B951&lt;=25,"20-25",B951&lt;=35,"26-35",B951&lt;=45,"36-45",B951&gt;45,"46+")</f>
        <v>26-35</v>
      </c>
      <c r="T951" t="str" cm="1">
        <f t="array" ref="T951">_xlfn.IFS(J951&lt;3500,"&lt;3.5K",J951&lt;5500,"3.5-5.5K",J951&lt;7500,"5.5-7.5K",J951&gt;=7500,"7.5K+")</f>
        <v>7.5K+</v>
      </c>
      <c r="U951">
        <f t="shared" si="14"/>
        <v>1</v>
      </c>
    </row>
    <row r="952" spans="1:21" x14ac:dyDescent="0.25">
      <c r="A952">
        <v>1978</v>
      </c>
      <c r="B952">
        <v>34</v>
      </c>
      <c r="C952" t="s">
        <v>23</v>
      </c>
      <c r="D952" t="s">
        <v>38</v>
      </c>
      <c r="E952" t="s">
        <v>39</v>
      </c>
      <c r="F952" t="s">
        <v>38</v>
      </c>
      <c r="G952" t="s">
        <v>37</v>
      </c>
      <c r="H952" t="s">
        <v>21</v>
      </c>
      <c r="I952">
        <v>1</v>
      </c>
      <c r="J952" s="2">
        <v>6336</v>
      </c>
      <c r="K952" t="s">
        <v>42</v>
      </c>
      <c r="L952">
        <v>4</v>
      </c>
      <c r="M952">
        <v>2</v>
      </c>
      <c r="N952">
        <v>1</v>
      </c>
      <c r="O952">
        <v>1</v>
      </c>
      <c r="P952">
        <v>9</v>
      </c>
      <c r="Q952" t="s">
        <v>22</v>
      </c>
      <c r="R952" t="str" cm="1">
        <f t="array" ref="R952">_xlfn.IFS(N952&lt;=1,"0-1 yrs",N952&lt;=4,"2-4 yrs",N952&lt;=9,"5-9 yrs",N952&gt;9,"10+ yrs")</f>
        <v>0-1 yrs</v>
      </c>
      <c r="S952" t="str" cm="1">
        <f t="array" ref="S952">_xlfn.IFS(B952&lt;=25,"20-25",B952&lt;=35,"26-35",B952&lt;=45,"36-45",B952&gt;45,"46+")</f>
        <v>26-35</v>
      </c>
      <c r="T952" t="str" cm="1">
        <f t="array" ref="T952">_xlfn.IFS(J952&lt;3500,"&lt;3.5K",J952&lt;5500,"3.5-5.5K",J952&lt;7500,"5.5-7.5K",J952&gt;=7500,"7.5K+")</f>
        <v>5.5-7.5K</v>
      </c>
      <c r="U952">
        <f t="shared" si="14"/>
        <v>0</v>
      </c>
    </row>
    <row r="953" spans="1:21" x14ac:dyDescent="0.25">
      <c r="A953">
        <v>1192</v>
      </c>
      <c r="B953">
        <v>41</v>
      </c>
      <c r="C953" t="s">
        <v>23</v>
      </c>
      <c r="D953" t="s">
        <v>24</v>
      </c>
      <c r="E953" t="s">
        <v>46</v>
      </c>
      <c r="F953" t="s">
        <v>36</v>
      </c>
      <c r="G953" t="s">
        <v>33</v>
      </c>
      <c r="H953" t="s">
        <v>21</v>
      </c>
      <c r="I953">
        <v>3</v>
      </c>
      <c r="J953" s="2">
        <v>5575</v>
      </c>
      <c r="K953" t="s">
        <v>42</v>
      </c>
      <c r="L953">
        <v>4</v>
      </c>
      <c r="M953">
        <v>1</v>
      </c>
      <c r="N953">
        <v>13</v>
      </c>
      <c r="O953">
        <v>11</v>
      </c>
      <c r="P953">
        <v>21</v>
      </c>
      <c r="Q953" t="s">
        <v>22</v>
      </c>
      <c r="R953" t="str" cm="1">
        <f t="array" ref="R953">_xlfn.IFS(N953&lt;=1,"0-1 yrs",N953&lt;=4,"2-4 yrs",N953&lt;=9,"5-9 yrs",N953&gt;9,"10+ yrs")</f>
        <v>10+ yrs</v>
      </c>
      <c r="S953" t="str" cm="1">
        <f t="array" ref="S953">_xlfn.IFS(B953&lt;=25,"20-25",B953&lt;=35,"26-35",B953&lt;=45,"36-45",B953&gt;45,"46+")</f>
        <v>36-45</v>
      </c>
      <c r="T953" t="str" cm="1">
        <f t="array" ref="T953">_xlfn.IFS(J953&lt;3500,"&lt;3.5K",J953&lt;5500,"3.5-5.5K",J953&lt;7500,"5.5-7.5K",J953&gt;=7500,"7.5K+")</f>
        <v>5.5-7.5K</v>
      </c>
      <c r="U953">
        <f t="shared" si="14"/>
        <v>0</v>
      </c>
    </row>
    <row r="954" spans="1:21" x14ac:dyDescent="0.25">
      <c r="A954">
        <v>1585</v>
      </c>
      <c r="B954">
        <v>59</v>
      </c>
      <c r="C954" t="s">
        <v>16</v>
      </c>
      <c r="D954" t="s">
        <v>38</v>
      </c>
      <c r="E954" t="s">
        <v>49</v>
      </c>
      <c r="F954" t="s">
        <v>26</v>
      </c>
      <c r="G954" t="s">
        <v>37</v>
      </c>
      <c r="H954" t="s">
        <v>34</v>
      </c>
      <c r="I954">
        <v>26</v>
      </c>
      <c r="J954" s="2">
        <v>14623</v>
      </c>
      <c r="K954" t="s">
        <v>22</v>
      </c>
      <c r="L954">
        <v>4</v>
      </c>
      <c r="M954">
        <v>1</v>
      </c>
      <c r="N954">
        <v>6</v>
      </c>
      <c r="O954">
        <v>3</v>
      </c>
      <c r="P954">
        <v>33</v>
      </c>
      <c r="Q954" t="s">
        <v>22</v>
      </c>
      <c r="R954" t="str" cm="1">
        <f t="array" ref="R954">_xlfn.IFS(N954&lt;=1,"0-1 yrs",N954&lt;=4,"2-4 yrs",N954&lt;=9,"5-9 yrs",N954&gt;9,"10+ yrs")</f>
        <v>5-9 yrs</v>
      </c>
      <c r="S954" t="str" cm="1">
        <f t="array" ref="S954">_xlfn.IFS(B954&lt;=25,"20-25",B954&lt;=35,"26-35",B954&lt;=45,"36-45",B954&gt;45,"46+")</f>
        <v>46+</v>
      </c>
      <c r="T954" t="str" cm="1">
        <f t="array" ref="T954">_xlfn.IFS(J954&lt;3500,"&lt;3.5K",J954&lt;5500,"3.5-5.5K",J954&lt;7500,"5.5-7.5K",J954&gt;=7500,"7.5K+")</f>
        <v>7.5K+</v>
      </c>
      <c r="U954">
        <f t="shared" si="14"/>
        <v>0</v>
      </c>
    </row>
    <row r="955" spans="1:21" x14ac:dyDescent="0.25">
      <c r="A955">
        <v>1089</v>
      </c>
      <c r="B955">
        <v>22</v>
      </c>
      <c r="C955" t="s">
        <v>23</v>
      </c>
      <c r="D955" t="s">
        <v>17</v>
      </c>
      <c r="E955" t="s">
        <v>18</v>
      </c>
      <c r="F955" t="s">
        <v>19</v>
      </c>
      <c r="G955" t="s">
        <v>33</v>
      </c>
      <c r="H955" t="s">
        <v>21</v>
      </c>
      <c r="I955">
        <v>23</v>
      </c>
      <c r="J955" s="2">
        <v>9306</v>
      </c>
      <c r="K955" t="s">
        <v>22</v>
      </c>
      <c r="L955">
        <v>3</v>
      </c>
      <c r="M955">
        <v>4</v>
      </c>
      <c r="N955">
        <v>0</v>
      </c>
      <c r="O955">
        <v>0</v>
      </c>
      <c r="P955">
        <v>0</v>
      </c>
      <c r="Q955" t="s">
        <v>22</v>
      </c>
      <c r="R955" t="str" cm="1">
        <f t="array" ref="R955">_xlfn.IFS(N955&lt;=1,"0-1 yrs",N955&lt;=4,"2-4 yrs",N955&lt;=9,"5-9 yrs",N955&gt;9,"10+ yrs")</f>
        <v>0-1 yrs</v>
      </c>
      <c r="S955" t="str" cm="1">
        <f t="array" ref="S955">_xlfn.IFS(B955&lt;=25,"20-25",B955&lt;=35,"26-35",B955&lt;=45,"36-45",B955&gt;45,"46+")</f>
        <v>20-25</v>
      </c>
      <c r="T955" t="str" cm="1">
        <f t="array" ref="T955">_xlfn.IFS(J955&lt;3500,"&lt;3.5K",J955&lt;5500,"3.5-5.5K",J955&lt;7500,"5.5-7.5K",J955&gt;=7500,"7.5K+")</f>
        <v>7.5K+</v>
      </c>
      <c r="U955">
        <f t="shared" si="14"/>
        <v>0</v>
      </c>
    </row>
    <row r="956" spans="1:21" x14ac:dyDescent="0.25">
      <c r="A956">
        <v>1166</v>
      </c>
      <c r="B956">
        <v>35</v>
      </c>
      <c r="C956" t="s">
        <v>23</v>
      </c>
      <c r="D956" t="s">
        <v>24</v>
      </c>
      <c r="E956" t="s">
        <v>25</v>
      </c>
      <c r="F956" t="s">
        <v>19</v>
      </c>
      <c r="G956" t="s">
        <v>20</v>
      </c>
      <c r="H956" t="s">
        <v>21</v>
      </c>
      <c r="I956">
        <v>3</v>
      </c>
      <c r="J956" s="2">
        <v>10336</v>
      </c>
      <c r="K956" t="s">
        <v>22</v>
      </c>
      <c r="L956">
        <v>4</v>
      </c>
      <c r="M956">
        <v>3</v>
      </c>
      <c r="N956">
        <v>2</v>
      </c>
      <c r="O956">
        <v>1</v>
      </c>
      <c r="P956">
        <v>10</v>
      </c>
      <c r="Q956" t="s">
        <v>42</v>
      </c>
      <c r="R956" t="str" cm="1">
        <f t="array" ref="R956">_xlfn.IFS(N956&lt;=1,"0-1 yrs",N956&lt;=4,"2-4 yrs",N956&lt;=9,"5-9 yrs",N956&gt;9,"10+ yrs")</f>
        <v>2-4 yrs</v>
      </c>
      <c r="S956" t="str" cm="1">
        <f t="array" ref="S956">_xlfn.IFS(B956&lt;=25,"20-25",B956&lt;=35,"26-35",B956&lt;=45,"36-45",B956&gt;45,"46+")</f>
        <v>26-35</v>
      </c>
      <c r="T956" t="str" cm="1">
        <f t="array" ref="T956">_xlfn.IFS(J956&lt;3500,"&lt;3.5K",J956&lt;5500,"3.5-5.5K",J956&lt;7500,"5.5-7.5K",J956&gt;=7500,"7.5K+")</f>
        <v>7.5K+</v>
      </c>
      <c r="U956">
        <f t="shared" si="14"/>
        <v>1</v>
      </c>
    </row>
    <row r="957" spans="1:21" x14ac:dyDescent="0.25">
      <c r="A957">
        <v>1124</v>
      </c>
      <c r="B957">
        <v>46</v>
      </c>
      <c r="C957" t="s">
        <v>16</v>
      </c>
      <c r="D957" t="s">
        <v>47</v>
      </c>
      <c r="E957" t="s">
        <v>53</v>
      </c>
      <c r="F957" t="s">
        <v>19</v>
      </c>
      <c r="G957" t="s">
        <v>20</v>
      </c>
      <c r="H957" t="s">
        <v>34</v>
      </c>
      <c r="I957">
        <v>17</v>
      </c>
      <c r="J957" s="2">
        <v>16163</v>
      </c>
      <c r="K957" t="s">
        <v>22</v>
      </c>
      <c r="L957">
        <v>2</v>
      </c>
      <c r="M957">
        <v>2</v>
      </c>
      <c r="N957">
        <v>5</v>
      </c>
      <c r="O957">
        <v>2</v>
      </c>
      <c r="P957">
        <v>22</v>
      </c>
      <c r="Q957" t="s">
        <v>22</v>
      </c>
      <c r="R957" t="str" cm="1">
        <f t="array" ref="R957">_xlfn.IFS(N957&lt;=1,"0-1 yrs",N957&lt;=4,"2-4 yrs",N957&lt;=9,"5-9 yrs",N957&gt;9,"10+ yrs")</f>
        <v>5-9 yrs</v>
      </c>
      <c r="S957" t="str" cm="1">
        <f t="array" ref="S957">_xlfn.IFS(B957&lt;=25,"20-25",B957&lt;=35,"26-35",B957&lt;=45,"36-45",B957&gt;45,"46+")</f>
        <v>46+</v>
      </c>
      <c r="T957" t="str" cm="1">
        <f t="array" ref="T957">_xlfn.IFS(J957&lt;3500,"&lt;3.5K",J957&lt;5500,"3.5-5.5K",J957&lt;7500,"5.5-7.5K",J957&gt;=7500,"7.5K+")</f>
        <v>7.5K+</v>
      </c>
      <c r="U957">
        <f t="shared" si="14"/>
        <v>0</v>
      </c>
    </row>
    <row r="958" spans="1:21" x14ac:dyDescent="0.25">
      <c r="A958">
        <v>1141</v>
      </c>
      <c r="B958">
        <v>23</v>
      </c>
      <c r="C958" t="s">
        <v>23</v>
      </c>
      <c r="D958" t="s">
        <v>38</v>
      </c>
      <c r="E958" t="s">
        <v>39</v>
      </c>
      <c r="F958" t="s">
        <v>19</v>
      </c>
      <c r="G958" t="s">
        <v>20</v>
      </c>
      <c r="H958" t="s">
        <v>30</v>
      </c>
      <c r="I958">
        <v>21</v>
      </c>
      <c r="J958" s="2">
        <v>3437</v>
      </c>
      <c r="K958" t="s">
        <v>22</v>
      </c>
      <c r="L958">
        <v>4</v>
      </c>
      <c r="M958">
        <v>3</v>
      </c>
      <c r="N958">
        <v>0</v>
      </c>
      <c r="O958">
        <v>0</v>
      </c>
      <c r="P958">
        <v>0</v>
      </c>
      <c r="Q958" t="s">
        <v>22</v>
      </c>
      <c r="R958" t="str" cm="1">
        <f t="array" ref="R958">_xlfn.IFS(N958&lt;=1,"0-1 yrs",N958&lt;=4,"2-4 yrs",N958&lt;=9,"5-9 yrs",N958&gt;9,"10+ yrs")</f>
        <v>0-1 yrs</v>
      </c>
      <c r="S958" t="str" cm="1">
        <f t="array" ref="S958">_xlfn.IFS(B958&lt;=25,"20-25",B958&lt;=35,"26-35",B958&lt;=45,"36-45",B958&gt;45,"46+")</f>
        <v>20-25</v>
      </c>
      <c r="T958" t="str" cm="1">
        <f t="array" ref="T958">_xlfn.IFS(J958&lt;3500,"&lt;3.5K",J958&lt;5500,"3.5-5.5K",J958&lt;7500,"5.5-7.5K",J958&gt;=7500,"7.5K+")</f>
        <v>&lt;3.5K</v>
      </c>
      <c r="U958">
        <f t="shared" si="14"/>
        <v>0</v>
      </c>
    </row>
    <row r="959" spans="1:21" x14ac:dyDescent="0.25">
      <c r="A959">
        <v>1897</v>
      </c>
      <c r="B959">
        <v>37</v>
      </c>
      <c r="C959" t="s">
        <v>23</v>
      </c>
      <c r="D959" t="s">
        <v>17</v>
      </c>
      <c r="E959" t="s">
        <v>40</v>
      </c>
      <c r="F959" t="s">
        <v>29</v>
      </c>
      <c r="G959" t="s">
        <v>37</v>
      </c>
      <c r="H959" t="s">
        <v>30</v>
      </c>
      <c r="I959">
        <v>10</v>
      </c>
      <c r="J959" s="2">
        <v>7334</v>
      </c>
      <c r="K959" t="s">
        <v>22</v>
      </c>
      <c r="L959">
        <v>4</v>
      </c>
      <c r="M959">
        <v>2</v>
      </c>
      <c r="N959">
        <v>1</v>
      </c>
      <c r="O959">
        <v>1</v>
      </c>
      <c r="P959">
        <v>13</v>
      </c>
      <c r="Q959" t="s">
        <v>22</v>
      </c>
      <c r="R959" t="str" cm="1">
        <f t="array" ref="R959">_xlfn.IFS(N959&lt;=1,"0-1 yrs",N959&lt;=4,"2-4 yrs",N959&lt;=9,"5-9 yrs",N959&gt;9,"10+ yrs")</f>
        <v>0-1 yrs</v>
      </c>
      <c r="S959" t="str" cm="1">
        <f t="array" ref="S959">_xlfn.IFS(B959&lt;=25,"20-25",B959&lt;=35,"26-35",B959&lt;=45,"36-45",B959&gt;45,"46+")</f>
        <v>36-45</v>
      </c>
      <c r="T959" t="str" cm="1">
        <f t="array" ref="T959">_xlfn.IFS(J959&lt;3500,"&lt;3.5K",J959&lt;5500,"3.5-5.5K",J959&lt;7500,"5.5-7.5K",J959&gt;=7500,"7.5K+")</f>
        <v>5.5-7.5K</v>
      </c>
      <c r="U959">
        <f t="shared" si="14"/>
        <v>0</v>
      </c>
    </row>
    <row r="960" spans="1:21" x14ac:dyDescent="0.25">
      <c r="A960">
        <v>1951</v>
      </c>
      <c r="B960">
        <v>39</v>
      </c>
      <c r="C960" t="s">
        <v>23</v>
      </c>
      <c r="D960" t="s">
        <v>27</v>
      </c>
      <c r="E960" t="s">
        <v>31</v>
      </c>
      <c r="F960" t="s">
        <v>26</v>
      </c>
      <c r="G960" t="s">
        <v>20</v>
      </c>
      <c r="H960" t="s">
        <v>21</v>
      </c>
      <c r="I960">
        <v>26</v>
      </c>
      <c r="J960" s="2">
        <v>9427</v>
      </c>
      <c r="K960" t="s">
        <v>22</v>
      </c>
      <c r="L960">
        <v>3</v>
      </c>
      <c r="M960">
        <v>4</v>
      </c>
      <c r="N960">
        <v>6</v>
      </c>
      <c r="O960">
        <v>3</v>
      </c>
      <c r="P960">
        <v>7</v>
      </c>
      <c r="Q960" t="s">
        <v>22</v>
      </c>
      <c r="R960" t="str" cm="1">
        <f t="array" ref="R960">_xlfn.IFS(N960&lt;=1,"0-1 yrs",N960&lt;=4,"2-4 yrs",N960&lt;=9,"5-9 yrs",N960&gt;9,"10+ yrs")</f>
        <v>5-9 yrs</v>
      </c>
      <c r="S960" t="str" cm="1">
        <f t="array" ref="S960">_xlfn.IFS(B960&lt;=25,"20-25",B960&lt;=35,"26-35",B960&lt;=45,"36-45",B960&gt;45,"46+")</f>
        <v>36-45</v>
      </c>
      <c r="T960" t="str" cm="1">
        <f t="array" ref="T960">_xlfn.IFS(J960&lt;3500,"&lt;3.5K",J960&lt;5500,"3.5-5.5K",J960&lt;7500,"5.5-7.5K",J960&gt;=7500,"7.5K+")</f>
        <v>7.5K+</v>
      </c>
      <c r="U960">
        <f t="shared" si="14"/>
        <v>0</v>
      </c>
    </row>
    <row r="961" spans="1:21" x14ac:dyDescent="0.25">
      <c r="A961">
        <v>1929</v>
      </c>
      <c r="B961">
        <v>43</v>
      </c>
      <c r="C961" t="s">
        <v>23</v>
      </c>
      <c r="D961" t="s">
        <v>47</v>
      </c>
      <c r="E961" t="s">
        <v>48</v>
      </c>
      <c r="F961" t="s">
        <v>38</v>
      </c>
      <c r="G961" t="s">
        <v>20</v>
      </c>
      <c r="H961" t="s">
        <v>34</v>
      </c>
      <c r="I961">
        <v>23</v>
      </c>
      <c r="J961" s="2">
        <v>9337</v>
      </c>
      <c r="K961" t="s">
        <v>22</v>
      </c>
      <c r="L961">
        <v>3</v>
      </c>
      <c r="M961">
        <v>4</v>
      </c>
      <c r="N961">
        <v>4</v>
      </c>
      <c r="O961">
        <v>1</v>
      </c>
      <c r="P961">
        <v>23</v>
      </c>
      <c r="Q961" t="s">
        <v>22</v>
      </c>
      <c r="R961" t="str" cm="1">
        <f t="array" ref="R961">_xlfn.IFS(N961&lt;=1,"0-1 yrs",N961&lt;=4,"2-4 yrs",N961&lt;=9,"5-9 yrs",N961&gt;9,"10+ yrs")</f>
        <v>2-4 yrs</v>
      </c>
      <c r="S961" t="str" cm="1">
        <f t="array" ref="S961">_xlfn.IFS(B961&lt;=25,"20-25",B961&lt;=35,"26-35",B961&lt;=45,"36-45",B961&gt;45,"46+")</f>
        <v>36-45</v>
      </c>
      <c r="T961" t="str" cm="1">
        <f t="array" ref="T961">_xlfn.IFS(J961&lt;3500,"&lt;3.5K",J961&lt;5500,"3.5-5.5K",J961&lt;7500,"5.5-7.5K",J961&gt;=7500,"7.5K+")</f>
        <v>7.5K+</v>
      </c>
      <c r="U961">
        <f t="shared" si="14"/>
        <v>0</v>
      </c>
    </row>
    <row r="962" spans="1:21" x14ac:dyDescent="0.25">
      <c r="A962">
        <v>1250</v>
      </c>
      <c r="B962">
        <v>30</v>
      </c>
      <c r="C962" t="s">
        <v>16</v>
      </c>
      <c r="D962" t="s">
        <v>24</v>
      </c>
      <c r="E962" t="s">
        <v>25</v>
      </c>
      <c r="F962" t="s">
        <v>26</v>
      </c>
      <c r="G962" t="s">
        <v>33</v>
      </c>
      <c r="H962" t="s">
        <v>34</v>
      </c>
      <c r="I962">
        <v>29</v>
      </c>
      <c r="J962" s="2">
        <v>10530</v>
      </c>
      <c r="K962" t="s">
        <v>22</v>
      </c>
      <c r="L962">
        <v>4</v>
      </c>
      <c r="M962">
        <v>2</v>
      </c>
      <c r="N962">
        <v>4</v>
      </c>
      <c r="O962">
        <v>3</v>
      </c>
      <c r="P962">
        <v>7</v>
      </c>
      <c r="Q962" t="s">
        <v>22</v>
      </c>
      <c r="R962" t="str" cm="1">
        <f t="array" ref="R962">_xlfn.IFS(N962&lt;=1,"0-1 yrs",N962&lt;=4,"2-4 yrs",N962&lt;=9,"5-9 yrs",N962&gt;9,"10+ yrs")</f>
        <v>2-4 yrs</v>
      </c>
      <c r="S962" t="str" cm="1">
        <f t="array" ref="S962">_xlfn.IFS(B962&lt;=25,"20-25",B962&lt;=35,"26-35",B962&lt;=45,"36-45",B962&gt;45,"46+")</f>
        <v>26-35</v>
      </c>
      <c r="T962" t="str" cm="1">
        <f t="array" ref="T962">_xlfn.IFS(J962&lt;3500,"&lt;3.5K",J962&lt;5500,"3.5-5.5K",J962&lt;7500,"5.5-7.5K",J962&gt;=7500,"7.5K+")</f>
        <v>7.5K+</v>
      </c>
      <c r="U962">
        <f t="shared" si="14"/>
        <v>0</v>
      </c>
    </row>
    <row r="963" spans="1:21" x14ac:dyDescent="0.25">
      <c r="A963">
        <v>1942</v>
      </c>
      <c r="B963">
        <v>23</v>
      </c>
      <c r="C963" t="s">
        <v>23</v>
      </c>
      <c r="D963" t="s">
        <v>24</v>
      </c>
      <c r="E963" t="s">
        <v>45</v>
      </c>
      <c r="F963" t="s">
        <v>32</v>
      </c>
      <c r="G963" t="s">
        <v>20</v>
      </c>
      <c r="H963" t="s">
        <v>30</v>
      </c>
      <c r="I963">
        <v>15</v>
      </c>
      <c r="J963" s="2">
        <v>6807</v>
      </c>
      <c r="K963" t="s">
        <v>42</v>
      </c>
      <c r="L963">
        <v>4</v>
      </c>
      <c r="M963">
        <v>4</v>
      </c>
      <c r="N963">
        <v>0</v>
      </c>
      <c r="O963">
        <v>0</v>
      </c>
      <c r="P963">
        <v>0</v>
      </c>
      <c r="Q963" t="s">
        <v>42</v>
      </c>
      <c r="R963" t="str" cm="1">
        <f t="array" ref="R963">_xlfn.IFS(N963&lt;=1,"0-1 yrs",N963&lt;=4,"2-4 yrs",N963&lt;=9,"5-9 yrs",N963&gt;9,"10+ yrs")</f>
        <v>0-1 yrs</v>
      </c>
      <c r="S963" t="str" cm="1">
        <f t="array" ref="S963">_xlfn.IFS(B963&lt;=25,"20-25",B963&lt;=35,"26-35",B963&lt;=45,"36-45",B963&gt;45,"46+")</f>
        <v>20-25</v>
      </c>
      <c r="T963" t="str" cm="1">
        <f t="array" ref="T963">_xlfn.IFS(J963&lt;3500,"&lt;3.5K",J963&lt;5500,"3.5-5.5K",J963&lt;7500,"5.5-7.5K",J963&gt;=7500,"7.5K+")</f>
        <v>5.5-7.5K</v>
      </c>
      <c r="U963">
        <f t="shared" ref="U963:U1001" si="15">IF(Q963="Yes",1,0)</f>
        <v>1</v>
      </c>
    </row>
    <row r="964" spans="1:21" x14ac:dyDescent="0.25">
      <c r="A964">
        <v>1520</v>
      </c>
      <c r="B964">
        <v>20</v>
      </c>
      <c r="C964" t="s">
        <v>23</v>
      </c>
      <c r="D964" t="s">
        <v>24</v>
      </c>
      <c r="E964" t="s">
        <v>25</v>
      </c>
      <c r="F964" t="s">
        <v>26</v>
      </c>
      <c r="G964" t="s">
        <v>37</v>
      </c>
      <c r="H964" t="s">
        <v>30</v>
      </c>
      <c r="I964">
        <v>29</v>
      </c>
      <c r="J964" s="2">
        <v>6439</v>
      </c>
      <c r="K964" t="s">
        <v>22</v>
      </c>
      <c r="L964">
        <v>4</v>
      </c>
      <c r="M964">
        <v>4</v>
      </c>
      <c r="N964">
        <v>0</v>
      </c>
      <c r="O964">
        <v>0</v>
      </c>
      <c r="P964">
        <v>0</v>
      </c>
      <c r="Q964" t="s">
        <v>22</v>
      </c>
      <c r="R964" t="str" cm="1">
        <f t="array" ref="R964">_xlfn.IFS(N964&lt;=1,"0-1 yrs",N964&lt;=4,"2-4 yrs",N964&lt;=9,"5-9 yrs",N964&gt;9,"10+ yrs")</f>
        <v>0-1 yrs</v>
      </c>
      <c r="S964" t="str" cm="1">
        <f t="array" ref="S964">_xlfn.IFS(B964&lt;=25,"20-25",B964&lt;=35,"26-35",B964&lt;=45,"36-45",B964&gt;45,"46+")</f>
        <v>20-25</v>
      </c>
      <c r="T964" t="str" cm="1">
        <f t="array" ref="T964">_xlfn.IFS(J964&lt;3500,"&lt;3.5K",J964&lt;5500,"3.5-5.5K",J964&lt;7500,"5.5-7.5K",J964&gt;=7500,"7.5K+")</f>
        <v>5.5-7.5K</v>
      </c>
      <c r="U964">
        <f t="shared" si="15"/>
        <v>0</v>
      </c>
    </row>
    <row r="965" spans="1:21" x14ac:dyDescent="0.25">
      <c r="A965">
        <v>1411</v>
      </c>
      <c r="B965">
        <v>25</v>
      </c>
      <c r="C965" t="s">
        <v>23</v>
      </c>
      <c r="D965" t="s">
        <v>24</v>
      </c>
      <c r="E965" t="s">
        <v>25</v>
      </c>
      <c r="F965" t="s">
        <v>38</v>
      </c>
      <c r="G965" t="s">
        <v>20</v>
      </c>
      <c r="H965" t="s">
        <v>34</v>
      </c>
      <c r="I965">
        <v>22</v>
      </c>
      <c r="J965" s="2">
        <v>8011</v>
      </c>
      <c r="K965" t="s">
        <v>22</v>
      </c>
      <c r="L965">
        <v>2</v>
      </c>
      <c r="M965">
        <v>1</v>
      </c>
      <c r="N965">
        <v>2</v>
      </c>
      <c r="O965">
        <v>2</v>
      </c>
      <c r="P965">
        <v>5</v>
      </c>
      <c r="Q965" t="s">
        <v>42</v>
      </c>
      <c r="R965" t="str" cm="1">
        <f t="array" ref="R965">_xlfn.IFS(N965&lt;=1,"0-1 yrs",N965&lt;=4,"2-4 yrs",N965&lt;=9,"5-9 yrs",N965&gt;9,"10+ yrs")</f>
        <v>2-4 yrs</v>
      </c>
      <c r="S965" t="str" cm="1">
        <f t="array" ref="S965">_xlfn.IFS(B965&lt;=25,"20-25",B965&lt;=35,"26-35",B965&lt;=45,"36-45",B965&gt;45,"46+")</f>
        <v>20-25</v>
      </c>
      <c r="T965" t="str" cm="1">
        <f t="array" ref="T965">_xlfn.IFS(J965&lt;3500,"&lt;3.5K",J965&lt;5500,"3.5-5.5K",J965&lt;7500,"5.5-7.5K",J965&gt;=7500,"7.5K+")</f>
        <v>7.5K+</v>
      </c>
      <c r="U965">
        <f t="shared" si="15"/>
        <v>1</v>
      </c>
    </row>
    <row r="966" spans="1:21" x14ac:dyDescent="0.25">
      <c r="A966">
        <v>1487</v>
      </c>
      <c r="B966">
        <v>37</v>
      </c>
      <c r="C966" t="s">
        <v>23</v>
      </c>
      <c r="D966" t="s">
        <v>27</v>
      </c>
      <c r="E966" t="s">
        <v>43</v>
      </c>
      <c r="F966" t="s">
        <v>41</v>
      </c>
      <c r="G966" t="s">
        <v>33</v>
      </c>
      <c r="H966" t="s">
        <v>34</v>
      </c>
      <c r="I966">
        <v>7</v>
      </c>
      <c r="J966" s="2">
        <v>9668</v>
      </c>
      <c r="K966" t="s">
        <v>22</v>
      </c>
      <c r="L966">
        <v>2</v>
      </c>
      <c r="M966">
        <v>3</v>
      </c>
      <c r="N966">
        <v>2</v>
      </c>
      <c r="O966">
        <v>1</v>
      </c>
      <c r="P966">
        <v>11</v>
      </c>
      <c r="Q966" t="s">
        <v>22</v>
      </c>
      <c r="R966" t="str" cm="1">
        <f t="array" ref="R966">_xlfn.IFS(N966&lt;=1,"0-1 yrs",N966&lt;=4,"2-4 yrs",N966&lt;=9,"5-9 yrs",N966&gt;9,"10+ yrs")</f>
        <v>2-4 yrs</v>
      </c>
      <c r="S966" t="str" cm="1">
        <f t="array" ref="S966">_xlfn.IFS(B966&lt;=25,"20-25",B966&lt;=35,"26-35",B966&lt;=45,"36-45",B966&gt;45,"46+")</f>
        <v>36-45</v>
      </c>
      <c r="T966" t="str" cm="1">
        <f t="array" ref="T966">_xlfn.IFS(J966&lt;3500,"&lt;3.5K",J966&lt;5500,"3.5-5.5K",J966&lt;7500,"5.5-7.5K",J966&gt;=7500,"7.5K+")</f>
        <v>7.5K+</v>
      </c>
      <c r="U966">
        <f t="shared" si="15"/>
        <v>0</v>
      </c>
    </row>
    <row r="967" spans="1:21" x14ac:dyDescent="0.25">
      <c r="A967">
        <v>1367</v>
      </c>
      <c r="B967">
        <v>29</v>
      </c>
      <c r="C967" t="s">
        <v>16</v>
      </c>
      <c r="D967" t="s">
        <v>47</v>
      </c>
      <c r="E967" t="s">
        <v>48</v>
      </c>
      <c r="F967" t="s">
        <v>32</v>
      </c>
      <c r="G967" t="s">
        <v>33</v>
      </c>
      <c r="H967" t="s">
        <v>30</v>
      </c>
      <c r="I967">
        <v>4</v>
      </c>
      <c r="J967" s="2">
        <v>9332</v>
      </c>
      <c r="K967" t="s">
        <v>22</v>
      </c>
      <c r="L967">
        <v>4</v>
      </c>
      <c r="M967">
        <v>3</v>
      </c>
      <c r="N967">
        <v>6</v>
      </c>
      <c r="O967">
        <v>2</v>
      </c>
      <c r="P967">
        <v>8</v>
      </c>
      <c r="Q967" t="s">
        <v>22</v>
      </c>
      <c r="R967" t="str" cm="1">
        <f t="array" ref="R967">_xlfn.IFS(N967&lt;=1,"0-1 yrs",N967&lt;=4,"2-4 yrs",N967&lt;=9,"5-9 yrs",N967&gt;9,"10+ yrs")</f>
        <v>5-9 yrs</v>
      </c>
      <c r="S967" t="str" cm="1">
        <f t="array" ref="S967">_xlfn.IFS(B967&lt;=25,"20-25",B967&lt;=35,"26-35",B967&lt;=45,"36-45",B967&gt;45,"46+")</f>
        <v>26-35</v>
      </c>
      <c r="T967" t="str" cm="1">
        <f t="array" ref="T967">_xlfn.IFS(J967&lt;3500,"&lt;3.5K",J967&lt;5500,"3.5-5.5K",J967&lt;7500,"5.5-7.5K",J967&gt;=7500,"7.5K+")</f>
        <v>7.5K+</v>
      </c>
      <c r="U967">
        <f t="shared" si="15"/>
        <v>0</v>
      </c>
    </row>
    <row r="968" spans="1:21" x14ac:dyDescent="0.25">
      <c r="A968">
        <v>1681</v>
      </c>
      <c r="B968">
        <v>35</v>
      </c>
      <c r="C968" t="s">
        <v>16</v>
      </c>
      <c r="D968" t="s">
        <v>38</v>
      </c>
      <c r="E968" t="s">
        <v>39</v>
      </c>
      <c r="F968" t="s">
        <v>41</v>
      </c>
      <c r="G968" t="s">
        <v>20</v>
      </c>
      <c r="H968" t="s">
        <v>30</v>
      </c>
      <c r="I968">
        <v>28</v>
      </c>
      <c r="J968" s="2">
        <v>4712</v>
      </c>
      <c r="K968" t="s">
        <v>22</v>
      </c>
      <c r="L968">
        <v>4</v>
      </c>
      <c r="M968">
        <v>2</v>
      </c>
      <c r="N968">
        <v>2</v>
      </c>
      <c r="O968">
        <v>0</v>
      </c>
      <c r="P968">
        <v>9</v>
      </c>
      <c r="Q968" t="s">
        <v>42</v>
      </c>
      <c r="R968" t="str" cm="1">
        <f t="array" ref="R968">_xlfn.IFS(N968&lt;=1,"0-1 yrs",N968&lt;=4,"2-4 yrs",N968&lt;=9,"5-9 yrs",N968&gt;9,"10+ yrs")</f>
        <v>2-4 yrs</v>
      </c>
      <c r="S968" t="str" cm="1">
        <f t="array" ref="S968">_xlfn.IFS(B968&lt;=25,"20-25",B968&lt;=35,"26-35",B968&lt;=45,"36-45",B968&gt;45,"46+")</f>
        <v>26-35</v>
      </c>
      <c r="T968" t="str" cm="1">
        <f t="array" ref="T968">_xlfn.IFS(J968&lt;3500,"&lt;3.5K",J968&lt;5500,"3.5-5.5K",J968&lt;7500,"5.5-7.5K",J968&gt;=7500,"7.5K+")</f>
        <v>3.5-5.5K</v>
      </c>
      <c r="U968">
        <f t="shared" si="15"/>
        <v>1</v>
      </c>
    </row>
    <row r="969" spans="1:21" x14ac:dyDescent="0.25">
      <c r="A969">
        <v>1972</v>
      </c>
      <c r="B969">
        <v>26</v>
      </c>
      <c r="C969" t="s">
        <v>16</v>
      </c>
      <c r="D969" t="s">
        <v>38</v>
      </c>
      <c r="E969" t="s">
        <v>49</v>
      </c>
      <c r="F969" t="s">
        <v>26</v>
      </c>
      <c r="G969" t="s">
        <v>20</v>
      </c>
      <c r="H969" t="s">
        <v>30</v>
      </c>
      <c r="I969">
        <v>1</v>
      </c>
      <c r="J969" s="2">
        <v>8783</v>
      </c>
      <c r="K969" t="s">
        <v>22</v>
      </c>
      <c r="L969">
        <v>2</v>
      </c>
      <c r="M969">
        <v>2</v>
      </c>
      <c r="N969">
        <v>1</v>
      </c>
      <c r="O969">
        <v>1</v>
      </c>
      <c r="P969">
        <v>6</v>
      </c>
      <c r="Q969" t="s">
        <v>42</v>
      </c>
      <c r="R969" t="str" cm="1">
        <f t="array" ref="R969">_xlfn.IFS(N969&lt;=1,"0-1 yrs",N969&lt;=4,"2-4 yrs",N969&lt;=9,"5-9 yrs",N969&gt;9,"10+ yrs")</f>
        <v>0-1 yrs</v>
      </c>
      <c r="S969" t="str" cm="1">
        <f t="array" ref="S969">_xlfn.IFS(B969&lt;=25,"20-25",B969&lt;=35,"26-35",B969&lt;=45,"36-45",B969&gt;45,"46+")</f>
        <v>26-35</v>
      </c>
      <c r="T969" t="str" cm="1">
        <f t="array" ref="T969">_xlfn.IFS(J969&lt;3500,"&lt;3.5K",J969&lt;5500,"3.5-5.5K",J969&lt;7500,"5.5-7.5K",J969&gt;=7500,"7.5K+")</f>
        <v>7.5K+</v>
      </c>
      <c r="U969">
        <f t="shared" si="15"/>
        <v>1</v>
      </c>
    </row>
    <row r="970" spans="1:21" x14ac:dyDescent="0.25">
      <c r="A970">
        <v>1899</v>
      </c>
      <c r="B970">
        <v>25</v>
      </c>
      <c r="C970" t="s">
        <v>23</v>
      </c>
      <c r="D970" t="s">
        <v>17</v>
      </c>
      <c r="E970" t="s">
        <v>40</v>
      </c>
      <c r="F970" t="s">
        <v>26</v>
      </c>
      <c r="G970" t="s">
        <v>20</v>
      </c>
      <c r="H970" t="s">
        <v>30</v>
      </c>
      <c r="I970">
        <v>21</v>
      </c>
      <c r="J970" s="2">
        <v>6071</v>
      </c>
      <c r="K970" t="s">
        <v>22</v>
      </c>
      <c r="L970">
        <v>4</v>
      </c>
      <c r="M970">
        <v>4</v>
      </c>
      <c r="N970">
        <v>4</v>
      </c>
      <c r="O970">
        <v>2</v>
      </c>
      <c r="P970">
        <v>5</v>
      </c>
      <c r="Q970" t="s">
        <v>42</v>
      </c>
      <c r="R970" t="str" cm="1">
        <f t="array" ref="R970">_xlfn.IFS(N970&lt;=1,"0-1 yrs",N970&lt;=4,"2-4 yrs",N970&lt;=9,"5-9 yrs",N970&gt;9,"10+ yrs")</f>
        <v>2-4 yrs</v>
      </c>
      <c r="S970" t="str" cm="1">
        <f t="array" ref="S970">_xlfn.IFS(B970&lt;=25,"20-25",B970&lt;=35,"26-35",B970&lt;=45,"36-45",B970&gt;45,"46+")</f>
        <v>20-25</v>
      </c>
      <c r="T970" t="str" cm="1">
        <f t="array" ref="T970">_xlfn.IFS(J970&lt;3500,"&lt;3.5K",J970&lt;5500,"3.5-5.5K",J970&lt;7500,"5.5-7.5K",J970&gt;=7500,"7.5K+")</f>
        <v>5.5-7.5K</v>
      </c>
      <c r="U970">
        <f t="shared" si="15"/>
        <v>1</v>
      </c>
    </row>
    <row r="971" spans="1:21" x14ac:dyDescent="0.25">
      <c r="A971">
        <v>1270</v>
      </c>
      <c r="B971">
        <v>54</v>
      </c>
      <c r="C971" t="s">
        <v>23</v>
      </c>
      <c r="D971" t="s">
        <v>24</v>
      </c>
      <c r="E971" t="s">
        <v>45</v>
      </c>
      <c r="F971" t="s">
        <v>19</v>
      </c>
      <c r="G971" t="s">
        <v>33</v>
      </c>
      <c r="H971" t="s">
        <v>21</v>
      </c>
      <c r="I971">
        <v>22</v>
      </c>
      <c r="J971" s="2">
        <v>13105</v>
      </c>
      <c r="K971" t="s">
        <v>42</v>
      </c>
      <c r="L971">
        <v>1</v>
      </c>
      <c r="M971">
        <v>4</v>
      </c>
      <c r="N971">
        <v>25</v>
      </c>
      <c r="O971">
        <v>0</v>
      </c>
      <c r="P971">
        <v>27</v>
      </c>
      <c r="Q971" t="s">
        <v>42</v>
      </c>
      <c r="R971" t="str" cm="1">
        <f t="array" ref="R971">_xlfn.IFS(N971&lt;=1,"0-1 yrs",N971&lt;=4,"2-4 yrs",N971&lt;=9,"5-9 yrs",N971&gt;9,"10+ yrs")</f>
        <v>10+ yrs</v>
      </c>
      <c r="S971" t="str" cm="1">
        <f t="array" ref="S971">_xlfn.IFS(B971&lt;=25,"20-25",B971&lt;=35,"26-35",B971&lt;=45,"36-45",B971&gt;45,"46+")</f>
        <v>46+</v>
      </c>
      <c r="T971" t="str" cm="1">
        <f t="array" ref="T971">_xlfn.IFS(J971&lt;3500,"&lt;3.5K",J971&lt;5500,"3.5-5.5K",J971&lt;7500,"5.5-7.5K",J971&gt;=7500,"7.5K+")</f>
        <v>7.5K+</v>
      </c>
      <c r="U971">
        <f t="shared" si="15"/>
        <v>1</v>
      </c>
    </row>
    <row r="972" spans="1:21" x14ac:dyDescent="0.25">
      <c r="A972">
        <v>1090</v>
      </c>
      <c r="B972">
        <v>30</v>
      </c>
      <c r="C972" t="s">
        <v>16</v>
      </c>
      <c r="D972" t="s">
        <v>17</v>
      </c>
      <c r="E972" t="s">
        <v>35</v>
      </c>
      <c r="F972" t="s">
        <v>41</v>
      </c>
      <c r="G972" t="s">
        <v>20</v>
      </c>
      <c r="H972" t="s">
        <v>30</v>
      </c>
      <c r="I972">
        <v>13</v>
      </c>
      <c r="J972" s="2">
        <v>4797</v>
      </c>
      <c r="K972" t="s">
        <v>22</v>
      </c>
      <c r="L972">
        <v>1</v>
      </c>
      <c r="M972">
        <v>2</v>
      </c>
      <c r="N972">
        <v>5</v>
      </c>
      <c r="O972">
        <v>0</v>
      </c>
      <c r="P972">
        <v>8</v>
      </c>
      <c r="Q972" t="s">
        <v>22</v>
      </c>
      <c r="R972" t="str" cm="1">
        <f t="array" ref="R972">_xlfn.IFS(N972&lt;=1,"0-1 yrs",N972&lt;=4,"2-4 yrs",N972&lt;=9,"5-9 yrs",N972&gt;9,"10+ yrs")</f>
        <v>5-9 yrs</v>
      </c>
      <c r="S972" t="str" cm="1">
        <f t="array" ref="S972">_xlfn.IFS(B972&lt;=25,"20-25",B972&lt;=35,"26-35",B972&lt;=45,"36-45",B972&gt;45,"46+")</f>
        <v>26-35</v>
      </c>
      <c r="T972" t="str" cm="1">
        <f t="array" ref="T972">_xlfn.IFS(J972&lt;3500,"&lt;3.5K",J972&lt;5500,"3.5-5.5K",J972&lt;7500,"5.5-7.5K",J972&gt;=7500,"7.5K+")</f>
        <v>3.5-5.5K</v>
      </c>
      <c r="U972">
        <f t="shared" si="15"/>
        <v>0</v>
      </c>
    </row>
    <row r="973" spans="1:21" x14ac:dyDescent="0.25">
      <c r="A973">
        <v>1067</v>
      </c>
      <c r="B973">
        <v>26</v>
      </c>
      <c r="C973" t="s">
        <v>16</v>
      </c>
      <c r="D973" t="s">
        <v>47</v>
      </c>
      <c r="E973" t="s">
        <v>50</v>
      </c>
      <c r="F973" t="s">
        <v>26</v>
      </c>
      <c r="G973" t="s">
        <v>37</v>
      </c>
      <c r="H973" t="s">
        <v>34</v>
      </c>
      <c r="I973">
        <v>19</v>
      </c>
      <c r="J973" s="2">
        <v>8077</v>
      </c>
      <c r="K973" t="s">
        <v>42</v>
      </c>
      <c r="L973">
        <v>1</v>
      </c>
      <c r="M973">
        <v>4</v>
      </c>
      <c r="N973">
        <v>2</v>
      </c>
      <c r="O973">
        <v>1</v>
      </c>
      <c r="P973">
        <v>2</v>
      </c>
      <c r="Q973" t="s">
        <v>22</v>
      </c>
      <c r="R973" t="str" cm="1">
        <f t="array" ref="R973">_xlfn.IFS(N973&lt;=1,"0-1 yrs",N973&lt;=4,"2-4 yrs",N973&lt;=9,"5-9 yrs",N973&gt;9,"10+ yrs")</f>
        <v>2-4 yrs</v>
      </c>
      <c r="S973" t="str" cm="1">
        <f t="array" ref="S973">_xlfn.IFS(B973&lt;=25,"20-25",B973&lt;=35,"26-35",B973&lt;=45,"36-45",B973&gt;45,"46+")</f>
        <v>26-35</v>
      </c>
      <c r="T973" t="str" cm="1">
        <f t="array" ref="T973">_xlfn.IFS(J973&lt;3500,"&lt;3.5K",J973&lt;5500,"3.5-5.5K",J973&lt;7500,"5.5-7.5K",J973&gt;=7500,"7.5K+")</f>
        <v>7.5K+</v>
      </c>
      <c r="U973">
        <f t="shared" si="15"/>
        <v>0</v>
      </c>
    </row>
    <row r="974" spans="1:21" x14ac:dyDescent="0.25">
      <c r="A974">
        <v>1069</v>
      </c>
      <c r="B974">
        <v>60</v>
      </c>
      <c r="C974" t="s">
        <v>16</v>
      </c>
      <c r="D974" t="s">
        <v>27</v>
      </c>
      <c r="E974" t="s">
        <v>31</v>
      </c>
      <c r="F974" t="s">
        <v>32</v>
      </c>
      <c r="G974" t="s">
        <v>33</v>
      </c>
      <c r="H974" t="s">
        <v>34</v>
      </c>
      <c r="I974">
        <v>11</v>
      </c>
      <c r="J974" s="2">
        <v>11082</v>
      </c>
      <c r="K974" t="s">
        <v>22</v>
      </c>
      <c r="L974">
        <v>2</v>
      </c>
      <c r="M974">
        <v>1</v>
      </c>
      <c r="N974">
        <v>14</v>
      </c>
      <c r="O974">
        <v>0</v>
      </c>
      <c r="P974">
        <v>33</v>
      </c>
      <c r="Q974" t="s">
        <v>22</v>
      </c>
      <c r="R974" t="str" cm="1">
        <f t="array" ref="R974">_xlfn.IFS(N974&lt;=1,"0-1 yrs",N974&lt;=4,"2-4 yrs",N974&lt;=9,"5-9 yrs",N974&gt;9,"10+ yrs")</f>
        <v>10+ yrs</v>
      </c>
      <c r="S974" t="str" cm="1">
        <f t="array" ref="S974">_xlfn.IFS(B974&lt;=25,"20-25",B974&lt;=35,"26-35",B974&lt;=45,"36-45",B974&gt;45,"46+")</f>
        <v>46+</v>
      </c>
      <c r="T974" t="str" cm="1">
        <f t="array" ref="T974">_xlfn.IFS(J974&lt;3500,"&lt;3.5K",J974&lt;5500,"3.5-5.5K",J974&lt;7500,"5.5-7.5K",J974&gt;=7500,"7.5K+")</f>
        <v>7.5K+</v>
      </c>
      <c r="U974">
        <f t="shared" si="15"/>
        <v>0</v>
      </c>
    </row>
    <row r="975" spans="1:21" x14ac:dyDescent="0.25">
      <c r="A975">
        <v>1433</v>
      </c>
      <c r="B975">
        <v>48</v>
      </c>
      <c r="C975" t="s">
        <v>16</v>
      </c>
      <c r="D975" t="s">
        <v>27</v>
      </c>
      <c r="E975" t="s">
        <v>44</v>
      </c>
      <c r="F975" t="s">
        <v>36</v>
      </c>
      <c r="G975" t="s">
        <v>33</v>
      </c>
      <c r="H975" t="s">
        <v>34</v>
      </c>
      <c r="I975">
        <v>6</v>
      </c>
      <c r="J975" s="2">
        <v>7429</v>
      </c>
      <c r="K975" t="s">
        <v>22</v>
      </c>
      <c r="L975">
        <v>1</v>
      </c>
      <c r="M975">
        <v>1</v>
      </c>
      <c r="N975">
        <v>2</v>
      </c>
      <c r="O975">
        <v>0</v>
      </c>
      <c r="P975">
        <v>17</v>
      </c>
      <c r="Q975" t="s">
        <v>42</v>
      </c>
      <c r="R975" t="str" cm="1">
        <f t="array" ref="R975">_xlfn.IFS(N975&lt;=1,"0-1 yrs",N975&lt;=4,"2-4 yrs",N975&lt;=9,"5-9 yrs",N975&gt;9,"10+ yrs")</f>
        <v>2-4 yrs</v>
      </c>
      <c r="S975" t="str" cm="1">
        <f t="array" ref="S975">_xlfn.IFS(B975&lt;=25,"20-25",B975&lt;=35,"26-35",B975&lt;=45,"36-45",B975&gt;45,"46+")</f>
        <v>46+</v>
      </c>
      <c r="T975" t="str" cm="1">
        <f t="array" ref="T975">_xlfn.IFS(J975&lt;3500,"&lt;3.5K",J975&lt;5500,"3.5-5.5K",J975&lt;7500,"5.5-7.5K",J975&gt;=7500,"7.5K+")</f>
        <v>5.5-7.5K</v>
      </c>
      <c r="U975">
        <f t="shared" si="15"/>
        <v>1</v>
      </c>
    </row>
    <row r="976" spans="1:21" x14ac:dyDescent="0.25">
      <c r="A976">
        <v>1719</v>
      </c>
      <c r="B976">
        <v>53</v>
      </c>
      <c r="C976" t="s">
        <v>23</v>
      </c>
      <c r="D976" t="s">
        <v>24</v>
      </c>
      <c r="E976" t="s">
        <v>25</v>
      </c>
      <c r="F976" t="s">
        <v>19</v>
      </c>
      <c r="G976" t="s">
        <v>33</v>
      </c>
      <c r="H976" t="s">
        <v>34</v>
      </c>
      <c r="I976">
        <v>29</v>
      </c>
      <c r="J976" s="2">
        <v>12361</v>
      </c>
      <c r="K976" t="s">
        <v>42</v>
      </c>
      <c r="L976">
        <v>1</v>
      </c>
      <c r="M976">
        <v>2</v>
      </c>
      <c r="N976">
        <v>3</v>
      </c>
      <c r="O976">
        <v>0</v>
      </c>
      <c r="P976">
        <v>24</v>
      </c>
      <c r="Q976" t="s">
        <v>42</v>
      </c>
      <c r="R976" t="str" cm="1">
        <f t="array" ref="R976">_xlfn.IFS(N976&lt;=1,"0-1 yrs",N976&lt;=4,"2-4 yrs",N976&lt;=9,"5-9 yrs",N976&gt;9,"10+ yrs")</f>
        <v>2-4 yrs</v>
      </c>
      <c r="S976" t="str" cm="1">
        <f t="array" ref="S976">_xlfn.IFS(B976&lt;=25,"20-25",B976&lt;=35,"26-35",B976&lt;=45,"36-45",B976&gt;45,"46+")</f>
        <v>46+</v>
      </c>
      <c r="T976" t="str" cm="1">
        <f t="array" ref="T976">_xlfn.IFS(J976&lt;3500,"&lt;3.5K",J976&lt;5500,"3.5-5.5K",J976&lt;7500,"5.5-7.5K",J976&gt;=7500,"7.5K+")</f>
        <v>7.5K+</v>
      </c>
      <c r="U976">
        <f t="shared" si="15"/>
        <v>1</v>
      </c>
    </row>
    <row r="977" spans="1:21" x14ac:dyDescent="0.25">
      <c r="A977">
        <v>1571</v>
      </c>
      <c r="B977">
        <v>28</v>
      </c>
      <c r="C977" t="s">
        <v>16</v>
      </c>
      <c r="D977" t="s">
        <v>24</v>
      </c>
      <c r="E977" t="s">
        <v>46</v>
      </c>
      <c r="F977" t="s">
        <v>32</v>
      </c>
      <c r="G977" t="s">
        <v>20</v>
      </c>
      <c r="H977" t="s">
        <v>34</v>
      </c>
      <c r="I977">
        <v>3</v>
      </c>
      <c r="J977" s="2">
        <v>9883</v>
      </c>
      <c r="K977" t="s">
        <v>22</v>
      </c>
      <c r="L977">
        <v>4</v>
      </c>
      <c r="M977">
        <v>2</v>
      </c>
      <c r="N977">
        <v>5</v>
      </c>
      <c r="O977">
        <v>4</v>
      </c>
      <c r="P977">
        <v>8</v>
      </c>
      <c r="Q977" t="s">
        <v>22</v>
      </c>
      <c r="R977" t="str" cm="1">
        <f t="array" ref="R977">_xlfn.IFS(N977&lt;=1,"0-1 yrs",N977&lt;=4,"2-4 yrs",N977&lt;=9,"5-9 yrs",N977&gt;9,"10+ yrs")</f>
        <v>5-9 yrs</v>
      </c>
      <c r="S977" t="str" cm="1">
        <f t="array" ref="S977">_xlfn.IFS(B977&lt;=25,"20-25",B977&lt;=35,"26-35",B977&lt;=45,"36-45",B977&gt;45,"46+")</f>
        <v>26-35</v>
      </c>
      <c r="T977" t="str" cm="1">
        <f t="array" ref="T977">_xlfn.IFS(J977&lt;3500,"&lt;3.5K",J977&lt;5500,"3.5-5.5K",J977&lt;7500,"5.5-7.5K",J977&gt;=7500,"7.5K+")</f>
        <v>7.5K+</v>
      </c>
      <c r="U977">
        <f t="shared" si="15"/>
        <v>0</v>
      </c>
    </row>
    <row r="978" spans="1:21" x14ac:dyDescent="0.25">
      <c r="A978">
        <v>1447</v>
      </c>
      <c r="B978">
        <v>56</v>
      </c>
      <c r="C978" t="s">
        <v>23</v>
      </c>
      <c r="D978" t="s">
        <v>24</v>
      </c>
      <c r="E978" t="s">
        <v>45</v>
      </c>
      <c r="F978" t="s">
        <v>32</v>
      </c>
      <c r="G978" t="s">
        <v>20</v>
      </c>
      <c r="H978" t="s">
        <v>21</v>
      </c>
      <c r="I978">
        <v>6</v>
      </c>
      <c r="J978" s="2">
        <v>11062</v>
      </c>
      <c r="K978" t="s">
        <v>22</v>
      </c>
      <c r="L978">
        <v>3</v>
      </c>
      <c r="M978">
        <v>1</v>
      </c>
      <c r="N978">
        <v>21</v>
      </c>
      <c r="O978">
        <v>15</v>
      </c>
      <c r="P978">
        <v>28</v>
      </c>
      <c r="Q978" t="s">
        <v>22</v>
      </c>
      <c r="R978" t="str" cm="1">
        <f t="array" ref="R978">_xlfn.IFS(N978&lt;=1,"0-1 yrs",N978&lt;=4,"2-4 yrs",N978&lt;=9,"5-9 yrs",N978&gt;9,"10+ yrs")</f>
        <v>10+ yrs</v>
      </c>
      <c r="S978" t="str" cm="1">
        <f t="array" ref="S978">_xlfn.IFS(B978&lt;=25,"20-25",B978&lt;=35,"26-35",B978&lt;=45,"36-45",B978&gt;45,"46+")</f>
        <v>46+</v>
      </c>
      <c r="T978" t="str" cm="1">
        <f t="array" ref="T978">_xlfn.IFS(J978&lt;3500,"&lt;3.5K",J978&lt;5500,"3.5-5.5K",J978&lt;7500,"5.5-7.5K",J978&gt;=7500,"7.5K+")</f>
        <v>7.5K+</v>
      </c>
      <c r="U978">
        <f t="shared" si="15"/>
        <v>0</v>
      </c>
    </row>
    <row r="979" spans="1:21" x14ac:dyDescent="0.25">
      <c r="A979">
        <v>1286</v>
      </c>
      <c r="B979">
        <v>57</v>
      </c>
      <c r="C979" t="s">
        <v>16</v>
      </c>
      <c r="D979" t="s">
        <v>24</v>
      </c>
      <c r="E979" t="s">
        <v>25</v>
      </c>
      <c r="F979" t="s">
        <v>38</v>
      </c>
      <c r="G979" t="s">
        <v>37</v>
      </c>
      <c r="H979" t="s">
        <v>21</v>
      </c>
      <c r="I979">
        <v>26</v>
      </c>
      <c r="J979" s="2">
        <v>17061</v>
      </c>
      <c r="K979" t="s">
        <v>22</v>
      </c>
      <c r="L979">
        <v>2</v>
      </c>
      <c r="M979">
        <v>1</v>
      </c>
      <c r="N979">
        <v>25</v>
      </c>
      <c r="O979">
        <v>10</v>
      </c>
      <c r="P979">
        <v>36</v>
      </c>
      <c r="Q979" t="s">
        <v>22</v>
      </c>
      <c r="R979" t="str" cm="1">
        <f t="array" ref="R979">_xlfn.IFS(N979&lt;=1,"0-1 yrs",N979&lt;=4,"2-4 yrs",N979&lt;=9,"5-9 yrs",N979&gt;9,"10+ yrs")</f>
        <v>10+ yrs</v>
      </c>
      <c r="S979" t="str" cm="1">
        <f t="array" ref="S979">_xlfn.IFS(B979&lt;=25,"20-25",B979&lt;=35,"26-35",B979&lt;=45,"36-45",B979&gt;45,"46+")</f>
        <v>46+</v>
      </c>
      <c r="T979" t="str" cm="1">
        <f t="array" ref="T979">_xlfn.IFS(J979&lt;3500,"&lt;3.5K",J979&lt;5500,"3.5-5.5K",J979&lt;7500,"5.5-7.5K",J979&gt;=7500,"7.5K+")</f>
        <v>7.5K+</v>
      </c>
      <c r="U979">
        <f t="shared" si="15"/>
        <v>0</v>
      </c>
    </row>
    <row r="980" spans="1:21" x14ac:dyDescent="0.25">
      <c r="A980">
        <v>1035</v>
      </c>
      <c r="B980">
        <v>37</v>
      </c>
      <c r="C980" t="s">
        <v>16</v>
      </c>
      <c r="D980" t="s">
        <v>24</v>
      </c>
      <c r="E980" t="s">
        <v>52</v>
      </c>
      <c r="F980" t="s">
        <v>32</v>
      </c>
      <c r="G980" t="s">
        <v>37</v>
      </c>
      <c r="H980" t="s">
        <v>34</v>
      </c>
      <c r="I980">
        <v>8</v>
      </c>
      <c r="J980" s="2">
        <v>7316</v>
      </c>
      <c r="K980" t="s">
        <v>42</v>
      </c>
      <c r="L980">
        <v>3</v>
      </c>
      <c r="M980">
        <v>1</v>
      </c>
      <c r="N980">
        <v>1</v>
      </c>
      <c r="O980">
        <v>1</v>
      </c>
      <c r="P980">
        <v>5</v>
      </c>
      <c r="Q980" t="s">
        <v>42</v>
      </c>
      <c r="R980" t="str" cm="1">
        <f t="array" ref="R980">_xlfn.IFS(N980&lt;=1,"0-1 yrs",N980&lt;=4,"2-4 yrs",N980&lt;=9,"5-9 yrs",N980&gt;9,"10+ yrs")</f>
        <v>0-1 yrs</v>
      </c>
      <c r="S980" t="str" cm="1">
        <f t="array" ref="S980">_xlfn.IFS(B980&lt;=25,"20-25",B980&lt;=35,"26-35",B980&lt;=45,"36-45",B980&gt;45,"46+")</f>
        <v>36-45</v>
      </c>
      <c r="T980" t="str" cm="1">
        <f t="array" ref="T980">_xlfn.IFS(J980&lt;3500,"&lt;3.5K",J980&lt;5500,"3.5-5.5K",J980&lt;7500,"5.5-7.5K",J980&gt;=7500,"7.5K+")</f>
        <v>5.5-7.5K</v>
      </c>
      <c r="U980">
        <f t="shared" si="15"/>
        <v>1</v>
      </c>
    </row>
    <row r="981" spans="1:21" x14ac:dyDescent="0.25">
      <c r="A981">
        <v>1486</v>
      </c>
      <c r="B981">
        <v>58</v>
      </c>
      <c r="C981" t="s">
        <v>23</v>
      </c>
      <c r="D981" t="s">
        <v>24</v>
      </c>
      <c r="E981" t="s">
        <v>45</v>
      </c>
      <c r="F981" t="s">
        <v>41</v>
      </c>
      <c r="G981" t="s">
        <v>33</v>
      </c>
      <c r="H981" t="s">
        <v>34</v>
      </c>
      <c r="I981">
        <v>15</v>
      </c>
      <c r="J981" s="2">
        <v>12143</v>
      </c>
      <c r="K981" t="s">
        <v>22</v>
      </c>
      <c r="L981">
        <v>1</v>
      </c>
      <c r="M981">
        <v>4</v>
      </c>
      <c r="N981">
        <v>11</v>
      </c>
      <c r="O981">
        <v>2</v>
      </c>
      <c r="P981">
        <v>33</v>
      </c>
      <c r="Q981" t="s">
        <v>22</v>
      </c>
      <c r="R981" t="str" cm="1">
        <f t="array" ref="R981">_xlfn.IFS(N981&lt;=1,"0-1 yrs",N981&lt;=4,"2-4 yrs",N981&lt;=9,"5-9 yrs",N981&gt;9,"10+ yrs")</f>
        <v>10+ yrs</v>
      </c>
      <c r="S981" t="str" cm="1">
        <f t="array" ref="S981">_xlfn.IFS(B981&lt;=25,"20-25",B981&lt;=35,"26-35",B981&lt;=45,"36-45",B981&gt;45,"46+")</f>
        <v>46+</v>
      </c>
      <c r="T981" t="str" cm="1">
        <f t="array" ref="T981">_xlfn.IFS(J981&lt;3500,"&lt;3.5K",J981&lt;5500,"3.5-5.5K",J981&lt;7500,"5.5-7.5K",J981&gt;=7500,"7.5K+")</f>
        <v>7.5K+</v>
      </c>
      <c r="U981">
        <f t="shared" si="15"/>
        <v>0</v>
      </c>
    </row>
    <row r="982" spans="1:21" x14ac:dyDescent="0.25">
      <c r="A982">
        <v>1429</v>
      </c>
      <c r="B982">
        <v>49</v>
      </c>
      <c r="C982" t="s">
        <v>16</v>
      </c>
      <c r="D982" t="s">
        <v>38</v>
      </c>
      <c r="E982" t="s">
        <v>49</v>
      </c>
      <c r="F982" t="s">
        <v>38</v>
      </c>
      <c r="G982" t="s">
        <v>20</v>
      </c>
      <c r="H982" t="s">
        <v>30</v>
      </c>
      <c r="I982">
        <v>3</v>
      </c>
      <c r="J982" s="2">
        <v>10156</v>
      </c>
      <c r="K982" t="s">
        <v>22</v>
      </c>
      <c r="L982">
        <v>4</v>
      </c>
      <c r="M982">
        <v>1</v>
      </c>
      <c r="N982">
        <v>12</v>
      </c>
      <c r="O982">
        <v>2</v>
      </c>
      <c r="P982">
        <v>26</v>
      </c>
      <c r="Q982" t="s">
        <v>22</v>
      </c>
      <c r="R982" t="str" cm="1">
        <f t="array" ref="R982">_xlfn.IFS(N982&lt;=1,"0-1 yrs",N982&lt;=4,"2-4 yrs",N982&lt;=9,"5-9 yrs",N982&gt;9,"10+ yrs")</f>
        <v>10+ yrs</v>
      </c>
      <c r="S982" t="str" cm="1">
        <f t="array" ref="S982">_xlfn.IFS(B982&lt;=25,"20-25",B982&lt;=35,"26-35",B982&lt;=45,"36-45",B982&gt;45,"46+")</f>
        <v>46+</v>
      </c>
      <c r="T982" t="str" cm="1">
        <f t="array" ref="T982">_xlfn.IFS(J982&lt;3500,"&lt;3.5K",J982&lt;5500,"3.5-5.5K",J982&lt;7500,"5.5-7.5K",J982&gt;=7500,"7.5K+")</f>
        <v>7.5K+</v>
      </c>
      <c r="U982">
        <f t="shared" si="15"/>
        <v>0</v>
      </c>
    </row>
    <row r="983" spans="1:21" x14ac:dyDescent="0.25">
      <c r="A983">
        <v>1109</v>
      </c>
      <c r="B983">
        <v>22</v>
      </c>
      <c r="C983" t="s">
        <v>16</v>
      </c>
      <c r="D983" t="s">
        <v>17</v>
      </c>
      <c r="E983" t="s">
        <v>40</v>
      </c>
      <c r="F983" t="s">
        <v>19</v>
      </c>
      <c r="G983" t="s">
        <v>33</v>
      </c>
      <c r="H983" t="s">
        <v>30</v>
      </c>
      <c r="I983">
        <v>21</v>
      </c>
      <c r="J983" s="2">
        <v>6305</v>
      </c>
      <c r="K983" t="s">
        <v>42</v>
      </c>
      <c r="L983">
        <v>4</v>
      </c>
      <c r="M983">
        <v>3</v>
      </c>
      <c r="N983">
        <v>0</v>
      </c>
      <c r="O983">
        <v>0</v>
      </c>
      <c r="P983">
        <v>0</v>
      </c>
      <c r="Q983" t="s">
        <v>42</v>
      </c>
      <c r="R983" t="str" cm="1">
        <f t="array" ref="R983">_xlfn.IFS(N983&lt;=1,"0-1 yrs",N983&lt;=4,"2-4 yrs",N983&lt;=9,"5-9 yrs",N983&gt;9,"10+ yrs")</f>
        <v>0-1 yrs</v>
      </c>
      <c r="S983" t="str" cm="1">
        <f t="array" ref="S983">_xlfn.IFS(B983&lt;=25,"20-25",B983&lt;=35,"26-35",B983&lt;=45,"36-45",B983&gt;45,"46+")</f>
        <v>20-25</v>
      </c>
      <c r="T983" t="str" cm="1">
        <f t="array" ref="T983">_xlfn.IFS(J983&lt;3500,"&lt;3.5K",J983&lt;5500,"3.5-5.5K",J983&lt;7500,"5.5-7.5K",J983&gt;=7500,"7.5K+")</f>
        <v>5.5-7.5K</v>
      </c>
      <c r="U983">
        <f t="shared" si="15"/>
        <v>1</v>
      </c>
    </row>
    <row r="984" spans="1:21" x14ac:dyDescent="0.25">
      <c r="A984">
        <v>1557</v>
      </c>
      <c r="B984">
        <v>31</v>
      </c>
      <c r="C984" t="s">
        <v>23</v>
      </c>
      <c r="D984" t="s">
        <v>24</v>
      </c>
      <c r="E984" t="s">
        <v>45</v>
      </c>
      <c r="F984" t="s">
        <v>32</v>
      </c>
      <c r="G984" t="s">
        <v>37</v>
      </c>
      <c r="H984" t="s">
        <v>30</v>
      </c>
      <c r="I984">
        <v>5</v>
      </c>
      <c r="J984" s="2">
        <v>6715</v>
      </c>
      <c r="K984" t="s">
        <v>22</v>
      </c>
      <c r="L984">
        <v>3</v>
      </c>
      <c r="M984">
        <v>1</v>
      </c>
      <c r="N984">
        <v>0</v>
      </c>
      <c r="O984">
        <v>0</v>
      </c>
      <c r="P984">
        <v>7</v>
      </c>
      <c r="Q984" t="s">
        <v>42</v>
      </c>
      <c r="R984" t="str" cm="1">
        <f t="array" ref="R984">_xlfn.IFS(N984&lt;=1,"0-1 yrs",N984&lt;=4,"2-4 yrs",N984&lt;=9,"5-9 yrs",N984&gt;9,"10+ yrs")</f>
        <v>0-1 yrs</v>
      </c>
      <c r="S984" t="str" cm="1">
        <f t="array" ref="S984">_xlfn.IFS(B984&lt;=25,"20-25",B984&lt;=35,"26-35",B984&lt;=45,"36-45",B984&gt;45,"46+")</f>
        <v>26-35</v>
      </c>
      <c r="T984" t="str" cm="1">
        <f t="array" ref="T984">_xlfn.IFS(J984&lt;3500,"&lt;3.5K",J984&lt;5500,"3.5-5.5K",J984&lt;7500,"5.5-7.5K",J984&gt;=7500,"7.5K+")</f>
        <v>5.5-7.5K</v>
      </c>
      <c r="U984">
        <f t="shared" si="15"/>
        <v>1</v>
      </c>
    </row>
    <row r="985" spans="1:21" x14ac:dyDescent="0.25">
      <c r="A985">
        <v>1651</v>
      </c>
      <c r="B985">
        <v>54</v>
      </c>
      <c r="C985" t="s">
        <v>16</v>
      </c>
      <c r="D985" t="s">
        <v>27</v>
      </c>
      <c r="E985" t="s">
        <v>28</v>
      </c>
      <c r="F985" t="s">
        <v>32</v>
      </c>
      <c r="G985" t="s">
        <v>37</v>
      </c>
      <c r="H985" t="s">
        <v>34</v>
      </c>
      <c r="I985">
        <v>7</v>
      </c>
      <c r="J985" s="2">
        <v>13001</v>
      </c>
      <c r="K985" t="s">
        <v>22</v>
      </c>
      <c r="L985">
        <v>4</v>
      </c>
      <c r="M985">
        <v>4</v>
      </c>
      <c r="N985">
        <v>5</v>
      </c>
      <c r="O985">
        <v>3</v>
      </c>
      <c r="P985">
        <v>34</v>
      </c>
      <c r="Q985" t="s">
        <v>22</v>
      </c>
      <c r="R985" t="str" cm="1">
        <f t="array" ref="R985">_xlfn.IFS(N985&lt;=1,"0-1 yrs",N985&lt;=4,"2-4 yrs",N985&lt;=9,"5-9 yrs",N985&gt;9,"10+ yrs")</f>
        <v>5-9 yrs</v>
      </c>
      <c r="S985" t="str" cm="1">
        <f t="array" ref="S985">_xlfn.IFS(B985&lt;=25,"20-25",B985&lt;=35,"26-35",B985&lt;=45,"36-45",B985&gt;45,"46+")</f>
        <v>46+</v>
      </c>
      <c r="T985" t="str" cm="1">
        <f t="array" ref="T985">_xlfn.IFS(J985&lt;3500,"&lt;3.5K",J985&lt;5500,"3.5-5.5K",J985&lt;7500,"5.5-7.5K",J985&gt;=7500,"7.5K+")</f>
        <v>7.5K+</v>
      </c>
      <c r="U985">
        <f t="shared" si="15"/>
        <v>0</v>
      </c>
    </row>
    <row r="986" spans="1:21" x14ac:dyDescent="0.25">
      <c r="A986">
        <v>1378</v>
      </c>
      <c r="B986">
        <v>37</v>
      </c>
      <c r="C986" t="s">
        <v>16</v>
      </c>
      <c r="D986" t="s">
        <v>27</v>
      </c>
      <c r="E986" t="s">
        <v>31</v>
      </c>
      <c r="F986" t="s">
        <v>26</v>
      </c>
      <c r="G986" t="s">
        <v>33</v>
      </c>
      <c r="H986" t="s">
        <v>34</v>
      </c>
      <c r="I986">
        <v>6</v>
      </c>
      <c r="J986" s="2">
        <v>8205</v>
      </c>
      <c r="K986" t="s">
        <v>22</v>
      </c>
      <c r="L986">
        <v>3</v>
      </c>
      <c r="M986">
        <v>2</v>
      </c>
      <c r="N986">
        <v>3</v>
      </c>
      <c r="O986">
        <v>2</v>
      </c>
      <c r="P986">
        <v>7</v>
      </c>
      <c r="Q986" t="s">
        <v>22</v>
      </c>
      <c r="R986" t="str" cm="1">
        <f t="array" ref="R986">_xlfn.IFS(N986&lt;=1,"0-1 yrs",N986&lt;=4,"2-4 yrs",N986&lt;=9,"5-9 yrs",N986&gt;9,"10+ yrs")</f>
        <v>2-4 yrs</v>
      </c>
      <c r="S986" t="str" cm="1">
        <f t="array" ref="S986">_xlfn.IFS(B986&lt;=25,"20-25",B986&lt;=35,"26-35",B986&lt;=45,"36-45",B986&gt;45,"46+")</f>
        <v>36-45</v>
      </c>
      <c r="T986" t="str" cm="1">
        <f t="array" ref="T986">_xlfn.IFS(J986&lt;3500,"&lt;3.5K",J986&lt;5500,"3.5-5.5K",J986&lt;7500,"5.5-7.5K",J986&gt;=7500,"7.5K+")</f>
        <v>7.5K+</v>
      </c>
      <c r="U986">
        <f t="shared" si="15"/>
        <v>0</v>
      </c>
    </row>
    <row r="987" spans="1:21" x14ac:dyDescent="0.25">
      <c r="A987">
        <v>1711</v>
      </c>
      <c r="B987">
        <v>23</v>
      </c>
      <c r="C987" t="s">
        <v>16</v>
      </c>
      <c r="D987" t="s">
        <v>17</v>
      </c>
      <c r="E987" t="s">
        <v>40</v>
      </c>
      <c r="F987" t="s">
        <v>26</v>
      </c>
      <c r="G987" t="s">
        <v>20</v>
      </c>
      <c r="H987" t="s">
        <v>30</v>
      </c>
      <c r="I987">
        <v>7</v>
      </c>
      <c r="J987" s="2">
        <v>4519</v>
      </c>
      <c r="K987" t="s">
        <v>42</v>
      </c>
      <c r="L987">
        <v>4</v>
      </c>
      <c r="M987">
        <v>2</v>
      </c>
      <c r="N987">
        <v>0</v>
      </c>
      <c r="O987">
        <v>0</v>
      </c>
      <c r="P987">
        <v>0</v>
      </c>
      <c r="Q987" t="s">
        <v>22</v>
      </c>
      <c r="R987" t="str" cm="1">
        <f t="array" ref="R987">_xlfn.IFS(N987&lt;=1,"0-1 yrs",N987&lt;=4,"2-4 yrs",N987&lt;=9,"5-9 yrs",N987&gt;9,"10+ yrs")</f>
        <v>0-1 yrs</v>
      </c>
      <c r="S987" t="str" cm="1">
        <f t="array" ref="S987">_xlfn.IFS(B987&lt;=25,"20-25",B987&lt;=35,"26-35",B987&lt;=45,"36-45",B987&gt;45,"46+")</f>
        <v>20-25</v>
      </c>
      <c r="T987" t="str" cm="1">
        <f t="array" ref="T987">_xlfn.IFS(J987&lt;3500,"&lt;3.5K",J987&lt;5500,"3.5-5.5K",J987&lt;7500,"5.5-7.5K",J987&gt;=7500,"7.5K+")</f>
        <v>3.5-5.5K</v>
      </c>
      <c r="U987">
        <f t="shared" si="15"/>
        <v>0</v>
      </c>
    </row>
    <row r="988" spans="1:21" x14ac:dyDescent="0.25">
      <c r="A988">
        <v>1920</v>
      </c>
      <c r="B988">
        <v>60</v>
      </c>
      <c r="C988" t="s">
        <v>23</v>
      </c>
      <c r="D988" t="s">
        <v>47</v>
      </c>
      <c r="E988" t="s">
        <v>48</v>
      </c>
      <c r="F988" t="s">
        <v>26</v>
      </c>
      <c r="G988" t="s">
        <v>33</v>
      </c>
      <c r="H988" t="s">
        <v>30</v>
      </c>
      <c r="I988">
        <v>29</v>
      </c>
      <c r="J988" s="2">
        <v>11229</v>
      </c>
      <c r="K988" t="s">
        <v>22</v>
      </c>
      <c r="L988">
        <v>2</v>
      </c>
      <c r="M988">
        <v>3</v>
      </c>
      <c r="N988">
        <v>6</v>
      </c>
      <c r="O988">
        <v>2</v>
      </c>
      <c r="P988">
        <v>33</v>
      </c>
      <c r="Q988" t="s">
        <v>22</v>
      </c>
      <c r="R988" t="str" cm="1">
        <f t="array" ref="R988">_xlfn.IFS(N988&lt;=1,"0-1 yrs",N988&lt;=4,"2-4 yrs",N988&lt;=9,"5-9 yrs",N988&gt;9,"10+ yrs")</f>
        <v>5-9 yrs</v>
      </c>
      <c r="S988" t="str" cm="1">
        <f t="array" ref="S988">_xlfn.IFS(B988&lt;=25,"20-25",B988&lt;=35,"26-35",B988&lt;=45,"36-45",B988&gt;45,"46+")</f>
        <v>46+</v>
      </c>
      <c r="T988" t="str" cm="1">
        <f t="array" ref="T988">_xlfn.IFS(J988&lt;3500,"&lt;3.5K",J988&lt;5500,"3.5-5.5K",J988&lt;7500,"5.5-7.5K",J988&gt;=7500,"7.5K+")</f>
        <v>7.5K+</v>
      </c>
      <c r="U988">
        <f t="shared" si="15"/>
        <v>0</v>
      </c>
    </row>
    <row r="989" spans="1:21" x14ac:dyDescent="0.25">
      <c r="A989">
        <v>1538</v>
      </c>
      <c r="B989">
        <v>35</v>
      </c>
      <c r="C989" t="s">
        <v>23</v>
      </c>
      <c r="D989" t="s">
        <v>24</v>
      </c>
      <c r="E989" t="s">
        <v>52</v>
      </c>
      <c r="F989" t="s">
        <v>32</v>
      </c>
      <c r="G989" t="s">
        <v>33</v>
      </c>
      <c r="H989" t="s">
        <v>34</v>
      </c>
      <c r="I989">
        <v>20</v>
      </c>
      <c r="J989" s="2">
        <v>6156</v>
      </c>
      <c r="K989" t="s">
        <v>22</v>
      </c>
      <c r="L989">
        <v>1</v>
      </c>
      <c r="M989">
        <v>4</v>
      </c>
      <c r="N989">
        <v>4</v>
      </c>
      <c r="O989">
        <v>3</v>
      </c>
      <c r="P989">
        <v>5</v>
      </c>
      <c r="Q989" t="s">
        <v>22</v>
      </c>
      <c r="R989" t="str" cm="1">
        <f t="array" ref="R989">_xlfn.IFS(N989&lt;=1,"0-1 yrs",N989&lt;=4,"2-4 yrs",N989&lt;=9,"5-9 yrs",N989&gt;9,"10+ yrs")</f>
        <v>2-4 yrs</v>
      </c>
      <c r="S989" t="str" cm="1">
        <f t="array" ref="S989">_xlfn.IFS(B989&lt;=25,"20-25",B989&lt;=35,"26-35",B989&lt;=45,"36-45",B989&gt;45,"46+")</f>
        <v>26-35</v>
      </c>
      <c r="T989" t="str" cm="1">
        <f t="array" ref="T989">_xlfn.IFS(J989&lt;3500,"&lt;3.5K",J989&lt;5500,"3.5-5.5K",J989&lt;7500,"5.5-7.5K",J989&gt;=7500,"7.5K+")</f>
        <v>5.5-7.5K</v>
      </c>
      <c r="U989">
        <f t="shared" si="15"/>
        <v>0</v>
      </c>
    </row>
    <row r="990" spans="1:21" x14ac:dyDescent="0.25">
      <c r="A990">
        <v>1726</v>
      </c>
      <c r="B990">
        <v>43</v>
      </c>
      <c r="C990" t="s">
        <v>23</v>
      </c>
      <c r="D990" t="s">
        <v>27</v>
      </c>
      <c r="E990" t="s">
        <v>28</v>
      </c>
      <c r="F990" t="s">
        <v>19</v>
      </c>
      <c r="G990" t="s">
        <v>37</v>
      </c>
      <c r="H990" t="s">
        <v>21</v>
      </c>
      <c r="I990">
        <v>29</v>
      </c>
      <c r="J990" s="2">
        <v>13602</v>
      </c>
      <c r="K990" t="s">
        <v>22</v>
      </c>
      <c r="L990">
        <v>3</v>
      </c>
      <c r="M990">
        <v>4</v>
      </c>
      <c r="N990">
        <v>12</v>
      </c>
      <c r="O990">
        <v>10</v>
      </c>
      <c r="P990">
        <v>19</v>
      </c>
      <c r="Q990" t="s">
        <v>22</v>
      </c>
      <c r="R990" t="str" cm="1">
        <f t="array" ref="R990">_xlfn.IFS(N990&lt;=1,"0-1 yrs",N990&lt;=4,"2-4 yrs",N990&lt;=9,"5-9 yrs",N990&gt;9,"10+ yrs")</f>
        <v>10+ yrs</v>
      </c>
      <c r="S990" t="str" cm="1">
        <f t="array" ref="S990">_xlfn.IFS(B990&lt;=25,"20-25",B990&lt;=35,"26-35",B990&lt;=45,"36-45",B990&gt;45,"46+")</f>
        <v>36-45</v>
      </c>
      <c r="T990" t="str" cm="1">
        <f t="array" ref="T990">_xlfn.IFS(J990&lt;3500,"&lt;3.5K",J990&lt;5500,"3.5-5.5K",J990&lt;7500,"5.5-7.5K",J990&gt;=7500,"7.5K+")</f>
        <v>7.5K+</v>
      </c>
      <c r="U990">
        <f t="shared" si="15"/>
        <v>0</v>
      </c>
    </row>
    <row r="991" spans="1:21" x14ac:dyDescent="0.25">
      <c r="A991">
        <v>1022</v>
      </c>
      <c r="B991">
        <v>58</v>
      </c>
      <c r="C991" t="s">
        <v>16</v>
      </c>
      <c r="D991" t="s">
        <v>17</v>
      </c>
      <c r="E991" t="s">
        <v>35</v>
      </c>
      <c r="F991" t="s">
        <v>38</v>
      </c>
      <c r="G991" t="s">
        <v>20</v>
      </c>
      <c r="H991" t="s">
        <v>21</v>
      </c>
      <c r="I991">
        <v>28</v>
      </c>
      <c r="J991" s="2">
        <v>12743</v>
      </c>
      <c r="K991" t="s">
        <v>22</v>
      </c>
      <c r="L991">
        <v>4</v>
      </c>
      <c r="M991">
        <v>3</v>
      </c>
      <c r="N991">
        <v>21</v>
      </c>
      <c r="O991">
        <v>20</v>
      </c>
      <c r="P991">
        <v>35</v>
      </c>
      <c r="Q991" t="s">
        <v>42</v>
      </c>
      <c r="R991" t="str" cm="1">
        <f t="array" ref="R991">_xlfn.IFS(N991&lt;=1,"0-1 yrs",N991&lt;=4,"2-4 yrs",N991&lt;=9,"5-9 yrs",N991&gt;9,"10+ yrs")</f>
        <v>10+ yrs</v>
      </c>
      <c r="S991" t="str" cm="1">
        <f t="array" ref="S991">_xlfn.IFS(B991&lt;=25,"20-25",B991&lt;=35,"26-35",B991&lt;=45,"36-45",B991&gt;45,"46+")</f>
        <v>46+</v>
      </c>
      <c r="T991" t="str" cm="1">
        <f t="array" ref="T991">_xlfn.IFS(J991&lt;3500,"&lt;3.5K",J991&lt;5500,"3.5-5.5K",J991&lt;7500,"5.5-7.5K",J991&gt;=7500,"7.5K+")</f>
        <v>7.5K+</v>
      </c>
      <c r="U991">
        <f t="shared" si="15"/>
        <v>1</v>
      </c>
    </row>
    <row r="992" spans="1:21" x14ac:dyDescent="0.25">
      <c r="A992">
        <v>1441</v>
      </c>
      <c r="B992">
        <v>57</v>
      </c>
      <c r="C992" t="s">
        <v>23</v>
      </c>
      <c r="D992" t="s">
        <v>24</v>
      </c>
      <c r="E992" t="s">
        <v>52</v>
      </c>
      <c r="F992" t="s">
        <v>36</v>
      </c>
      <c r="G992" t="s">
        <v>37</v>
      </c>
      <c r="H992" t="s">
        <v>21</v>
      </c>
      <c r="I992">
        <v>15</v>
      </c>
      <c r="J992" s="2">
        <v>9516</v>
      </c>
      <c r="K992" t="s">
        <v>22</v>
      </c>
      <c r="L992">
        <v>1</v>
      </c>
      <c r="M992">
        <v>1</v>
      </c>
      <c r="N992">
        <v>24</v>
      </c>
      <c r="O992">
        <v>8</v>
      </c>
      <c r="P992">
        <v>24</v>
      </c>
      <c r="Q992" t="s">
        <v>22</v>
      </c>
      <c r="R992" t="str" cm="1">
        <f t="array" ref="R992">_xlfn.IFS(N992&lt;=1,"0-1 yrs",N992&lt;=4,"2-4 yrs",N992&lt;=9,"5-9 yrs",N992&gt;9,"10+ yrs")</f>
        <v>10+ yrs</v>
      </c>
      <c r="S992" t="str" cm="1">
        <f t="array" ref="S992">_xlfn.IFS(B992&lt;=25,"20-25",B992&lt;=35,"26-35",B992&lt;=45,"36-45",B992&gt;45,"46+")</f>
        <v>46+</v>
      </c>
      <c r="T992" t="str" cm="1">
        <f t="array" ref="T992">_xlfn.IFS(J992&lt;3500,"&lt;3.5K",J992&lt;5500,"3.5-5.5K",J992&lt;7500,"5.5-7.5K",J992&gt;=7500,"7.5K+")</f>
        <v>7.5K+</v>
      </c>
      <c r="U992">
        <f t="shared" si="15"/>
        <v>0</v>
      </c>
    </row>
    <row r="993" spans="1:21" x14ac:dyDescent="0.25">
      <c r="A993">
        <v>1716</v>
      </c>
      <c r="B993">
        <v>59</v>
      </c>
      <c r="C993" t="s">
        <v>16</v>
      </c>
      <c r="D993" t="s">
        <v>24</v>
      </c>
      <c r="E993" t="s">
        <v>45</v>
      </c>
      <c r="F993" t="s">
        <v>36</v>
      </c>
      <c r="G993" t="s">
        <v>33</v>
      </c>
      <c r="H993" t="s">
        <v>21</v>
      </c>
      <c r="I993">
        <v>28</v>
      </c>
      <c r="J993" s="2">
        <v>10074</v>
      </c>
      <c r="K993" t="s">
        <v>22</v>
      </c>
      <c r="L993">
        <v>4</v>
      </c>
      <c r="M993">
        <v>2</v>
      </c>
      <c r="N993">
        <v>6</v>
      </c>
      <c r="O993">
        <v>0</v>
      </c>
      <c r="P993">
        <v>26</v>
      </c>
      <c r="Q993" t="s">
        <v>22</v>
      </c>
      <c r="R993" t="str" cm="1">
        <f t="array" ref="R993">_xlfn.IFS(N993&lt;=1,"0-1 yrs",N993&lt;=4,"2-4 yrs",N993&lt;=9,"5-9 yrs",N993&gt;9,"10+ yrs")</f>
        <v>5-9 yrs</v>
      </c>
      <c r="S993" t="str" cm="1">
        <f t="array" ref="S993">_xlfn.IFS(B993&lt;=25,"20-25",B993&lt;=35,"26-35",B993&lt;=45,"36-45",B993&gt;45,"46+")</f>
        <v>46+</v>
      </c>
      <c r="T993" t="str" cm="1">
        <f t="array" ref="T993">_xlfn.IFS(J993&lt;3500,"&lt;3.5K",J993&lt;5500,"3.5-5.5K",J993&lt;7500,"5.5-7.5K",J993&gt;=7500,"7.5K+")</f>
        <v>7.5K+</v>
      </c>
      <c r="U993">
        <f t="shared" si="15"/>
        <v>0</v>
      </c>
    </row>
    <row r="994" spans="1:21" x14ac:dyDescent="0.25">
      <c r="A994">
        <v>1814</v>
      </c>
      <c r="B994">
        <v>29</v>
      </c>
      <c r="C994" t="s">
        <v>16</v>
      </c>
      <c r="D994" t="s">
        <v>17</v>
      </c>
      <c r="E994" t="s">
        <v>18</v>
      </c>
      <c r="F994" t="s">
        <v>36</v>
      </c>
      <c r="G994" t="s">
        <v>20</v>
      </c>
      <c r="H994" t="s">
        <v>21</v>
      </c>
      <c r="I994">
        <v>24</v>
      </c>
      <c r="J994" s="2">
        <v>8838</v>
      </c>
      <c r="K994" t="s">
        <v>42</v>
      </c>
      <c r="L994">
        <v>2</v>
      </c>
      <c r="M994">
        <v>4</v>
      </c>
      <c r="N994">
        <v>3</v>
      </c>
      <c r="O994">
        <v>0</v>
      </c>
      <c r="P994">
        <v>4</v>
      </c>
      <c r="Q994" t="s">
        <v>22</v>
      </c>
      <c r="R994" t="str" cm="1">
        <f t="array" ref="R994">_xlfn.IFS(N994&lt;=1,"0-1 yrs",N994&lt;=4,"2-4 yrs",N994&lt;=9,"5-9 yrs",N994&gt;9,"10+ yrs")</f>
        <v>2-4 yrs</v>
      </c>
      <c r="S994" t="str" cm="1">
        <f t="array" ref="S994">_xlfn.IFS(B994&lt;=25,"20-25",B994&lt;=35,"26-35",B994&lt;=45,"36-45",B994&gt;45,"46+")</f>
        <v>26-35</v>
      </c>
      <c r="T994" t="str" cm="1">
        <f t="array" ref="T994">_xlfn.IFS(J994&lt;3500,"&lt;3.5K",J994&lt;5500,"3.5-5.5K",J994&lt;7500,"5.5-7.5K",J994&gt;=7500,"7.5K+")</f>
        <v>7.5K+</v>
      </c>
      <c r="U994">
        <f t="shared" si="15"/>
        <v>0</v>
      </c>
    </row>
    <row r="995" spans="1:21" x14ac:dyDescent="0.25">
      <c r="A995">
        <v>1376</v>
      </c>
      <c r="B995">
        <v>60</v>
      </c>
      <c r="C995" t="s">
        <v>16</v>
      </c>
      <c r="D995" t="s">
        <v>17</v>
      </c>
      <c r="E995" t="s">
        <v>40</v>
      </c>
      <c r="F995" t="s">
        <v>29</v>
      </c>
      <c r="G995" t="s">
        <v>33</v>
      </c>
      <c r="H995" t="s">
        <v>34</v>
      </c>
      <c r="I995">
        <v>22</v>
      </c>
      <c r="J995" s="2">
        <v>10566</v>
      </c>
      <c r="K995" t="s">
        <v>22</v>
      </c>
      <c r="L995">
        <v>1</v>
      </c>
      <c r="M995">
        <v>3</v>
      </c>
      <c r="N995">
        <v>10</v>
      </c>
      <c r="O995">
        <v>7</v>
      </c>
      <c r="P995">
        <v>26</v>
      </c>
      <c r="Q995" t="s">
        <v>22</v>
      </c>
      <c r="R995" t="str" cm="1">
        <f t="array" ref="R995">_xlfn.IFS(N995&lt;=1,"0-1 yrs",N995&lt;=4,"2-4 yrs",N995&lt;=9,"5-9 yrs",N995&gt;9,"10+ yrs")</f>
        <v>10+ yrs</v>
      </c>
      <c r="S995" t="str" cm="1">
        <f t="array" ref="S995">_xlfn.IFS(B995&lt;=25,"20-25",B995&lt;=35,"26-35",B995&lt;=45,"36-45",B995&gt;45,"46+")</f>
        <v>46+</v>
      </c>
      <c r="T995" t="str" cm="1">
        <f t="array" ref="T995">_xlfn.IFS(J995&lt;3500,"&lt;3.5K",J995&lt;5500,"3.5-5.5K",J995&lt;7500,"5.5-7.5K",J995&gt;=7500,"7.5K+")</f>
        <v>7.5K+</v>
      </c>
      <c r="U995">
        <f t="shared" si="15"/>
        <v>0</v>
      </c>
    </row>
    <row r="996" spans="1:21" x14ac:dyDescent="0.25">
      <c r="A996">
        <v>1509</v>
      </c>
      <c r="B996">
        <v>22</v>
      </c>
      <c r="C996" t="s">
        <v>16</v>
      </c>
      <c r="D996" t="s">
        <v>24</v>
      </c>
      <c r="E996" t="s">
        <v>25</v>
      </c>
      <c r="F996" t="s">
        <v>29</v>
      </c>
      <c r="G996" t="s">
        <v>33</v>
      </c>
      <c r="H996" t="s">
        <v>21</v>
      </c>
      <c r="I996">
        <v>14</v>
      </c>
      <c r="J996" s="2">
        <v>9226</v>
      </c>
      <c r="K996" t="s">
        <v>22</v>
      </c>
      <c r="L996">
        <v>2</v>
      </c>
      <c r="M996">
        <v>1</v>
      </c>
      <c r="N996">
        <v>0</v>
      </c>
      <c r="O996">
        <v>0</v>
      </c>
      <c r="P996">
        <v>0</v>
      </c>
      <c r="Q996" t="s">
        <v>22</v>
      </c>
      <c r="R996" t="str" cm="1">
        <f t="array" ref="R996">_xlfn.IFS(N996&lt;=1,"0-1 yrs",N996&lt;=4,"2-4 yrs",N996&lt;=9,"5-9 yrs",N996&gt;9,"10+ yrs")</f>
        <v>0-1 yrs</v>
      </c>
      <c r="S996" t="str" cm="1">
        <f t="array" ref="S996">_xlfn.IFS(B996&lt;=25,"20-25",B996&lt;=35,"26-35",B996&lt;=45,"36-45",B996&gt;45,"46+")</f>
        <v>20-25</v>
      </c>
      <c r="T996" t="str" cm="1">
        <f t="array" ref="T996">_xlfn.IFS(J996&lt;3500,"&lt;3.5K",J996&lt;5500,"3.5-5.5K",J996&lt;7500,"5.5-7.5K",J996&gt;=7500,"7.5K+")</f>
        <v>7.5K+</v>
      </c>
      <c r="U996">
        <f t="shared" si="15"/>
        <v>0</v>
      </c>
    </row>
    <row r="997" spans="1:21" x14ac:dyDescent="0.25">
      <c r="A997">
        <v>1449</v>
      </c>
      <c r="B997">
        <v>58</v>
      </c>
      <c r="C997" t="s">
        <v>16</v>
      </c>
      <c r="D997" t="s">
        <v>17</v>
      </c>
      <c r="E997" t="s">
        <v>40</v>
      </c>
      <c r="F997" t="s">
        <v>32</v>
      </c>
      <c r="G997" t="s">
        <v>33</v>
      </c>
      <c r="H997" t="s">
        <v>34</v>
      </c>
      <c r="I997">
        <v>19</v>
      </c>
      <c r="J997" s="2">
        <v>9566</v>
      </c>
      <c r="K997" t="s">
        <v>42</v>
      </c>
      <c r="L997">
        <v>3</v>
      </c>
      <c r="M997">
        <v>3</v>
      </c>
      <c r="N997">
        <v>10</v>
      </c>
      <c r="O997">
        <v>10</v>
      </c>
      <c r="P997">
        <v>34</v>
      </c>
      <c r="Q997" t="s">
        <v>22</v>
      </c>
      <c r="R997" t="str" cm="1">
        <f t="array" ref="R997">_xlfn.IFS(N997&lt;=1,"0-1 yrs",N997&lt;=4,"2-4 yrs",N997&lt;=9,"5-9 yrs",N997&gt;9,"10+ yrs")</f>
        <v>10+ yrs</v>
      </c>
      <c r="S997" t="str" cm="1">
        <f t="array" ref="S997">_xlfn.IFS(B997&lt;=25,"20-25",B997&lt;=35,"26-35",B997&lt;=45,"36-45",B997&gt;45,"46+")</f>
        <v>46+</v>
      </c>
      <c r="T997" t="str" cm="1">
        <f t="array" ref="T997">_xlfn.IFS(J997&lt;3500,"&lt;3.5K",J997&lt;5500,"3.5-5.5K",J997&lt;7500,"5.5-7.5K",J997&gt;=7500,"7.5K+")</f>
        <v>7.5K+</v>
      </c>
      <c r="U997">
        <f t="shared" si="15"/>
        <v>0</v>
      </c>
    </row>
    <row r="998" spans="1:21" x14ac:dyDescent="0.25">
      <c r="A998">
        <v>1025</v>
      </c>
      <c r="B998">
        <v>30</v>
      </c>
      <c r="C998" t="s">
        <v>23</v>
      </c>
      <c r="D998" t="s">
        <v>27</v>
      </c>
      <c r="E998" t="s">
        <v>43</v>
      </c>
      <c r="F998" t="s">
        <v>32</v>
      </c>
      <c r="G998" t="s">
        <v>20</v>
      </c>
      <c r="H998" t="s">
        <v>34</v>
      </c>
      <c r="I998">
        <v>28</v>
      </c>
      <c r="J998" s="2">
        <v>7519</v>
      </c>
      <c r="K998" t="s">
        <v>22</v>
      </c>
      <c r="L998">
        <v>3</v>
      </c>
      <c r="M998">
        <v>4</v>
      </c>
      <c r="N998">
        <v>6</v>
      </c>
      <c r="O998">
        <v>0</v>
      </c>
      <c r="P998">
        <v>10</v>
      </c>
      <c r="Q998" t="s">
        <v>22</v>
      </c>
      <c r="R998" t="str" cm="1">
        <f t="array" ref="R998">_xlfn.IFS(N998&lt;=1,"0-1 yrs",N998&lt;=4,"2-4 yrs",N998&lt;=9,"5-9 yrs",N998&gt;9,"10+ yrs")</f>
        <v>5-9 yrs</v>
      </c>
      <c r="S998" t="str" cm="1">
        <f t="array" ref="S998">_xlfn.IFS(B998&lt;=25,"20-25",B998&lt;=35,"26-35",B998&lt;=45,"36-45",B998&gt;45,"46+")</f>
        <v>26-35</v>
      </c>
      <c r="T998" t="str" cm="1">
        <f t="array" ref="T998">_xlfn.IFS(J998&lt;3500,"&lt;3.5K",J998&lt;5500,"3.5-5.5K",J998&lt;7500,"5.5-7.5K",J998&gt;=7500,"7.5K+")</f>
        <v>7.5K+</v>
      </c>
      <c r="U998">
        <f t="shared" si="15"/>
        <v>0</v>
      </c>
    </row>
    <row r="999" spans="1:21" x14ac:dyDescent="0.25">
      <c r="A999">
        <v>1577</v>
      </c>
      <c r="B999">
        <v>35</v>
      </c>
      <c r="C999" t="s">
        <v>16</v>
      </c>
      <c r="D999" t="s">
        <v>27</v>
      </c>
      <c r="E999" t="s">
        <v>31</v>
      </c>
      <c r="F999" t="s">
        <v>29</v>
      </c>
      <c r="G999" t="s">
        <v>33</v>
      </c>
      <c r="H999" t="s">
        <v>21</v>
      </c>
      <c r="I999">
        <v>14</v>
      </c>
      <c r="J999" s="2">
        <v>7899</v>
      </c>
      <c r="K999" t="s">
        <v>22</v>
      </c>
      <c r="L999">
        <v>1</v>
      </c>
      <c r="M999">
        <v>2</v>
      </c>
      <c r="N999">
        <v>10</v>
      </c>
      <c r="O999">
        <v>8</v>
      </c>
      <c r="P999">
        <v>13</v>
      </c>
      <c r="Q999" t="s">
        <v>22</v>
      </c>
      <c r="R999" t="str" cm="1">
        <f t="array" ref="R999">_xlfn.IFS(N999&lt;=1,"0-1 yrs",N999&lt;=4,"2-4 yrs",N999&lt;=9,"5-9 yrs",N999&gt;9,"10+ yrs")</f>
        <v>10+ yrs</v>
      </c>
      <c r="S999" t="str" cm="1">
        <f t="array" ref="S999">_xlfn.IFS(B999&lt;=25,"20-25",B999&lt;=35,"26-35",B999&lt;=45,"36-45",B999&gt;45,"46+")</f>
        <v>26-35</v>
      </c>
      <c r="T999" t="str" cm="1">
        <f t="array" ref="T999">_xlfn.IFS(J999&lt;3500,"&lt;3.5K",J999&lt;5500,"3.5-5.5K",J999&lt;7500,"5.5-7.5K",J999&gt;=7500,"7.5K+")</f>
        <v>7.5K+</v>
      </c>
      <c r="U999">
        <f t="shared" si="15"/>
        <v>0</v>
      </c>
    </row>
    <row r="1000" spans="1:21" x14ac:dyDescent="0.25">
      <c r="A1000">
        <v>1620</v>
      </c>
      <c r="B1000">
        <v>44</v>
      </c>
      <c r="C1000" t="s">
        <v>23</v>
      </c>
      <c r="D1000" t="s">
        <v>38</v>
      </c>
      <c r="E1000" t="s">
        <v>49</v>
      </c>
      <c r="F1000" t="s">
        <v>29</v>
      </c>
      <c r="G1000" t="s">
        <v>33</v>
      </c>
      <c r="H1000" t="s">
        <v>34</v>
      </c>
      <c r="I1000">
        <v>21</v>
      </c>
      <c r="J1000" s="2">
        <v>13551</v>
      </c>
      <c r="K1000" t="s">
        <v>42</v>
      </c>
      <c r="L1000">
        <v>1</v>
      </c>
      <c r="M1000">
        <v>1</v>
      </c>
      <c r="N1000">
        <v>11</v>
      </c>
      <c r="O1000">
        <v>0</v>
      </c>
      <c r="P1000">
        <v>18</v>
      </c>
      <c r="Q1000" t="s">
        <v>22</v>
      </c>
      <c r="R1000" t="str" cm="1">
        <f t="array" ref="R1000">_xlfn.IFS(N1000&lt;=1,"0-1 yrs",N1000&lt;=4,"2-4 yrs",N1000&lt;=9,"5-9 yrs",N1000&gt;9,"10+ yrs")</f>
        <v>10+ yrs</v>
      </c>
      <c r="S1000" t="str" cm="1">
        <f t="array" ref="S1000">_xlfn.IFS(B1000&lt;=25,"20-25",B1000&lt;=35,"26-35",B1000&lt;=45,"36-45",B1000&gt;45,"46+")</f>
        <v>36-45</v>
      </c>
      <c r="T1000" t="str" cm="1">
        <f t="array" ref="T1000">_xlfn.IFS(J1000&lt;3500,"&lt;3.5K",J1000&lt;5500,"3.5-5.5K",J1000&lt;7500,"5.5-7.5K",J1000&gt;=7500,"7.5K+")</f>
        <v>7.5K+</v>
      </c>
      <c r="U1000">
        <f t="shared" si="15"/>
        <v>0</v>
      </c>
    </row>
    <row r="1001" spans="1:21" x14ac:dyDescent="0.25">
      <c r="A1001">
        <v>1970</v>
      </c>
      <c r="B1001">
        <v>58</v>
      </c>
      <c r="C1001" t="s">
        <v>16</v>
      </c>
      <c r="D1001" t="s">
        <v>27</v>
      </c>
      <c r="E1001" t="s">
        <v>43</v>
      </c>
      <c r="F1001" t="s">
        <v>19</v>
      </c>
      <c r="G1001" t="s">
        <v>20</v>
      </c>
      <c r="H1001" t="s">
        <v>34</v>
      </c>
      <c r="I1001">
        <v>27</v>
      </c>
      <c r="J1001" s="2">
        <v>10781</v>
      </c>
      <c r="K1001" t="s">
        <v>22</v>
      </c>
      <c r="M1001">
        <v>4</v>
      </c>
      <c r="N1001">
        <v>1</v>
      </c>
      <c r="O1001">
        <v>0</v>
      </c>
      <c r="P1001">
        <v>30</v>
      </c>
      <c r="Q1001" t="s">
        <v>22</v>
      </c>
      <c r="R1001" t="str" cm="1">
        <f t="array" ref="R1001">_xlfn.IFS(N1001&lt;=1,"0-1 yrs",N1001&lt;=4,"2-4 yrs",N1001&lt;=9,"5-9 yrs",N1001&gt;9,"10+ yrs")</f>
        <v>0-1 yrs</v>
      </c>
      <c r="S1001" t="str" cm="1">
        <f t="array" ref="S1001">_xlfn.IFS(B1001&lt;=25,"20-25",B1001&lt;=35,"26-35",B1001&lt;=45,"36-45",B1001&gt;45,"46+")</f>
        <v>46+</v>
      </c>
      <c r="T1001" t="str" cm="1">
        <f t="array" ref="T1001">_xlfn.IFS(J1001&lt;3500,"&lt;3.5K",J1001&lt;5500,"3.5-5.5K",J1001&lt;7500,"5.5-7.5K",J1001&gt;=7500,"7.5K+")</f>
        <v>7.5K+</v>
      </c>
      <c r="U1001">
        <f t="shared" si="15"/>
        <v>0</v>
      </c>
    </row>
    <row r="1002" spans="1:21" x14ac:dyDescent="0.25">
      <c r="D1002" t="s">
        <v>56</v>
      </c>
      <c r="J1002"/>
    </row>
    <row r="1003" spans="1:21" x14ac:dyDescent="0.25">
      <c r="D1003" t="s">
        <v>56</v>
      </c>
      <c r="J1003"/>
    </row>
    <row r="1004" spans="1:21" x14ac:dyDescent="0.25">
      <c r="D1004" t="s">
        <v>56</v>
      </c>
      <c r="J1004"/>
    </row>
    <row r="1005" spans="1:21" x14ac:dyDescent="0.25">
      <c r="D1005" t="s">
        <v>56</v>
      </c>
      <c r="J1005"/>
    </row>
    <row r="1006" spans="1:21" x14ac:dyDescent="0.25">
      <c r="D1006" t="s">
        <v>56</v>
      </c>
      <c r="J1006"/>
    </row>
    <row r="1007" spans="1:21" x14ac:dyDescent="0.25">
      <c r="D1007" t="s">
        <v>56</v>
      </c>
      <c r="J1007"/>
    </row>
    <row r="1008" spans="1:21" x14ac:dyDescent="0.25">
      <c r="D1008" t="s">
        <v>56</v>
      </c>
      <c r="J1008"/>
    </row>
    <row r="1009" spans="4:10" x14ac:dyDescent="0.25">
      <c r="D1009" t="s">
        <v>56</v>
      </c>
      <c r="J1009"/>
    </row>
    <row r="1010" spans="4:10" x14ac:dyDescent="0.25">
      <c r="D1010" t="s">
        <v>56</v>
      </c>
      <c r="J1010"/>
    </row>
    <row r="1011" spans="4:10" x14ac:dyDescent="0.25">
      <c r="D1011" t="s">
        <v>56</v>
      </c>
      <c r="J1011"/>
    </row>
    <row r="1012" spans="4:10" x14ac:dyDescent="0.25">
      <c r="D1012" t="s">
        <v>56</v>
      </c>
      <c r="J1012"/>
    </row>
    <row r="1013" spans="4:10" x14ac:dyDescent="0.25">
      <c r="D1013" t="s">
        <v>56</v>
      </c>
      <c r="J1013"/>
    </row>
  </sheetData>
  <conditionalFormatting sqref="A1:A1001 A1014:A1048576">
    <cfRule type="duplicateValues" dxfId="0" priority="1"/>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75799-734C-4EF3-BE2C-E8DE45892C31}">
  <dimension ref="A1:Q1013"/>
  <sheetViews>
    <sheetView workbookViewId="0">
      <selection activeCell="U22" sqref="U22"/>
    </sheetView>
  </sheetViews>
  <sheetFormatPr defaultRowHeight="15" x14ac:dyDescent="0.25"/>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84</v>
      </c>
    </row>
    <row r="2" spans="1:17" x14ac:dyDescent="0.25">
      <c r="A2">
        <v>1456</v>
      </c>
      <c r="B2">
        <v>26</v>
      </c>
      <c r="C2" t="s">
        <v>16</v>
      </c>
      <c r="D2" t="s">
        <v>17</v>
      </c>
      <c r="E2" t="s">
        <v>18</v>
      </c>
      <c r="F2" t="s">
        <v>19</v>
      </c>
      <c r="G2" t="s">
        <v>20</v>
      </c>
      <c r="H2" t="s">
        <v>21</v>
      </c>
      <c r="I2">
        <v>4</v>
      </c>
      <c r="J2" t="s">
        <v>85</v>
      </c>
      <c r="K2" t="s">
        <v>22</v>
      </c>
      <c r="L2">
        <v>3</v>
      </c>
      <c r="M2">
        <v>2</v>
      </c>
      <c r="N2">
        <v>6</v>
      </c>
      <c r="O2">
        <v>5</v>
      </c>
      <c r="P2">
        <v>6</v>
      </c>
      <c r="Q2" t="s">
        <v>22</v>
      </c>
    </row>
    <row r="3" spans="1:17" x14ac:dyDescent="0.25">
      <c r="A3">
        <v>1775</v>
      </c>
      <c r="B3">
        <v>57</v>
      </c>
      <c r="C3" t="s">
        <v>23</v>
      </c>
      <c r="D3" t="s">
        <v>24</v>
      </c>
      <c r="E3" t="s">
        <v>25</v>
      </c>
      <c r="F3" t="s">
        <v>26</v>
      </c>
      <c r="G3" t="s">
        <v>20</v>
      </c>
      <c r="H3" t="s">
        <v>21</v>
      </c>
      <c r="I3">
        <v>21</v>
      </c>
      <c r="J3">
        <v>14257</v>
      </c>
      <c r="K3" t="s">
        <v>22</v>
      </c>
      <c r="L3">
        <v>3</v>
      </c>
      <c r="M3">
        <v>4</v>
      </c>
      <c r="N3">
        <v>23</v>
      </c>
      <c r="O3">
        <v>1</v>
      </c>
      <c r="P3">
        <v>31</v>
      </c>
      <c r="Q3" t="s">
        <v>22</v>
      </c>
    </row>
    <row r="4" spans="1:17" x14ac:dyDescent="0.25">
      <c r="A4">
        <v>1071</v>
      </c>
      <c r="B4">
        <v>55</v>
      </c>
      <c r="C4" t="s">
        <v>16</v>
      </c>
      <c r="D4" t="s">
        <v>27</v>
      </c>
      <c r="E4" t="s">
        <v>28</v>
      </c>
      <c r="F4" t="s">
        <v>29</v>
      </c>
      <c r="G4" t="s">
        <v>20</v>
      </c>
      <c r="H4" t="s">
        <v>30</v>
      </c>
      <c r="I4">
        <v>24</v>
      </c>
      <c r="J4">
        <v>15949</v>
      </c>
      <c r="K4" t="s">
        <v>22</v>
      </c>
      <c r="L4">
        <v>1</v>
      </c>
      <c r="M4">
        <v>4</v>
      </c>
      <c r="N4">
        <v>0</v>
      </c>
      <c r="O4">
        <v>0</v>
      </c>
      <c r="P4">
        <v>25</v>
      </c>
      <c r="Q4" t="s">
        <v>22</v>
      </c>
    </row>
    <row r="5" spans="1:17" x14ac:dyDescent="0.25">
      <c r="A5">
        <v>1993</v>
      </c>
      <c r="B5">
        <v>51</v>
      </c>
      <c r="C5" t="s">
        <v>16</v>
      </c>
      <c r="D5" t="s">
        <v>27</v>
      </c>
      <c r="E5" t="s">
        <v>31</v>
      </c>
      <c r="F5" t="s">
        <v>32</v>
      </c>
      <c r="G5" t="s">
        <v>33</v>
      </c>
      <c r="H5" t="s">
        <v>34</v>
      </c>
      <c r="I5">
        <v>4</v>
      </c>
      <c r="J5">
        <v>11566</v>
      </c>
      <c r="K5" t="s">
        <v>22</v>
      </c>
      <c r="L5">
        <v>3</v>
      </c>
      <c r="M5">
        <v>2</v>
      </c>
      <c r="N5">
        <v>9</v>
      </c>
      <c r="O5">
        <v>3</v>
      </c>
      <c r="P5">
        <v>28</v>
      </c>
      <c r="Q5" t="s">
        <v>22</v>
      </c>
    </row>
    <row r="6" spans="1:17" x14ac:dyDescent="0.25">
      <c r="A6">
        <v>1114</v>
      </c>
      <c r="B6">
        <v>43</v>
      </c>
      <c r="C6" t="s">
        <v>16</v>
      </c>
      <c r="D6" t="s">
        <v>17</v>
      </c>
      <c r="E6" t="s">
        <v>35</v>
      </c>
      <c r="F6" t="s">
        <v>36</v>
      </c>
      <c r="G6" t="s">
        <v>37</v>
      </c>
      <c r="H6" t="s">
        <v>34</v>
      </c>
      <c r="I6">
        <v>8</v>
      </c>
      <c r="J6" t="s">
        <v>86</v>
      </c>
      <c r="K6" t="s">
        <v>22</v>
      </c>
      <c r="L6">
        <v>4</v>
      </c>
      <c r="M6">
        <v>3</v>
      </c>
      <c r="N6">
        <v>9</v>
      </c>
      <c r="O6">
        <v>2</v>
      </c>
      <c r="P6">
        <v>13</v>
      </c>
      <c r="Q6" t="s">
        <v>22</v>
      </c>
    </row>
    <row r="7" spans="1:17" x14ac:dyDescent="0.25">
      <c r="A7">
        <v>1319</v>
      </c>
      <c r="B7">
        <v>38</v>
      </c>
      <c r="C7" t="s">
        <v>23</v>
      </c>
      <c r="D7" t="s">
        <v>38</v>
      </c>
      <c r="E7" t="s">
        <v>39</v>
      </c>
      <c r="F7" t="s">
        <v>38</v>
      </c>
      <c r="G7" t="s">
        <v>20</v>
      </c>
      <c r="H7" t="s">
        <v>21</v>
      </c>
      <c r="I7">
        <v>5</v>
      </c>
      <c r="J7">
        <v>8073</v>
      </c>
      <c r="K7" t="s">
        <v>22</v>
      </c>
      <c r="L7">
        <v>4</v>
      </c>
      <c r="M7">
        <v>3</v>
      </c>
      <c r="N7">
        <v>7</v>
      </c>
      <c r="O7">
        <v>7</v>
      </c>
      <c r="P7">
        <v>9</v>
      </c>
      <c r="Q7" t="s">
        <v>22</v>
      </c>
    </row>
    <row r="8" spans="1:17" x14ac:dyDescent="0.25">
      <c r="A8">
        <v>1658</v>
      </c>
      <c r="B8">
        <v>58</v>
      </c>
      <c r="C8" t="s">
        <v>23</v>
      </c>
      <c r="D8" t="s">
        <v>17</v>
      </c>
      <c r="E8" t="s">
        <v>40</v>
      </c>
      <c r="F8" t="s">
        <v>38</v>
      </c>
      <c r="G8" t="s">
        <v>37</v>
      </c>
      <c r="H8" t="s">
        <v>34</v>
      </c>
      <c r="I8">
        <v>9</v>
      </c>
      <c r="J8">
        <v>12668</v>
      </c>
      <c r="K8" t="s">
        <v>22</v>
      </c>
      <c r="L8">
        <v>2</v>
      </c>
      <c r="M8">
        <v>2</v>
      </c>
      <c r="N8">
        <v>3</v>
      </c>
      <c r="O8">
        <v>0</v>
      </c>
      <c r="P8">
        <v>37</v>
      </c>
      <c r="Q8" t="s">
        <v>22</v>
      </c>
    </row>
    <row r="9" spans="1:17" x14ac:dyDescent="0.25">
      <c r="A9">
        <v>1971</v>
      </c>
      <c r="B9">
        <v>21</v>
      </c>
      <c r="C9" t="s">
        <v>23</v>
      </c>
      <c r="D9" t="s">
        <v>17</v>
      </c>
      <c r="E9" t="s">
        <v>40</v>
      </c>
      <c r="F9" t="s">
        <v>41</v>
      </c>
      <c r="G9" t="s">
        <v>37</v>
      </c>
      <c r="H9" t="s">
        <v>34</v>
      </c>
      <c r="I9">
        <v>5</v>
      </c>
      <c r="J9">
        <v>3265</v>
      </c>
      <c r="K9" t="s">
        <v>22</v>
      </c>
      <c r="L9">
        <v>3</v>
      </c>
      <c r="M9">
        <v>4</v>
      </c>
      <c r="N9">
        <v>0</v>
      </c>
      <c r="O9">
        <v>0</v>
      </c>
      <c r="P9">
        <v>0</v>
      </c>
      <c r="Q9" t="s">
        <v>42</v>
      </c>
    </row>
    <row r="10" spans="1:17" x14ac:dyDescent="0.25">
      <c r="A10">
        <v>1467</v>
      </c>
      <c r="B10">
        <v>35</v>
      </c>
      <c r="C10" t="s">
        <v>16</v>
      </c>
      <c r="D10" t="s">
        <v>27</v>
      </c>
      <c r="E10" t="s">
        <v>43</v>
      </c>
      <c r="F10" t="s">
        <v>41</v>
      </c>
      <c r="G10" t="s">
        <v>37</v>
      </c>
      <c r="H10" t="s">
        <v>21</v>
      </c>
      <c r="I10">
        <v>18</v>
      </c>
      <c r="J10">
        <v>5675</v>
      </c>
      <c r="K10" t="s">
        <v>42</v>
      </c>
      <c r="L10">
        <v>1</v>
      </c>
      <c r="M10">
        <v>3</v>
      </c>
      <c r="N10">
        <v>5</v>
      </c>
      <c r="O10">
        <v>0</v>
      </c>
      <c r="P10">
        <v>6</v>
      </c>
      <c r="Q10" t="s">
        <v>42</v>
      </c>
    </row>
    <row r="11" spans="1:17" x14ac:dyDescent="0.25">
      <c r="A11">
        <v>1497</v>
      </c>
      <c r="B11">
        <v>41</v>
      </c>
      <c r="C11" t="s">
        <v>23</v>
      </c>
      <c r="D11" t="s">
        <v>38</v>
      </c>
      <c r="E11" t="s">
        <v>39</v>
      </c>
      <c r="F11" t="s">
        <v>36</v>
      </c>
      <c r="G11" t="s">
        <v>37</v>
      </c>
      <c r="H11" t="s">
        <v>34</v>
      </c>
      <c r="I11">
        <v>10</v>
      </c>
      <c r="J11">
        <v>8193</v>
      </c>
      <c r="K11" t="s">
        <v>22</v>
      </c>
      <c r="L11">
        <v>2</v>
      </c>
      <c r="M11">
        <v>1</v>
      </c>
      <c r="N11">
        <v>14</v>
      </c>
      <c r="O11">
        <v>5</v>
      </c>
      <c r="P11">
        <v>21</v>
      </c>
      <c r="Q11" t="s">
        <v>22</v>
      </c>
    </row>
    <row r="12" spans="1:17" x14ac:dyDescent="0.25">
      <c r="A12">
        <v>1672</v>
      </c>
      <c r="B12">
        <v>49</v>
      </c>
      <c r="C12" t="s">
        <v>23</v>
      </c>
      <c r="D12" t="s">
        <v>38</v>
      </c>
      <c r="E12" t="s">
        <v>39</v>
      </c>
      <c r="F12" t="s">
        <v>36</v>
      </c>
      <c r="G12" t="s">
        <v>33</v>
      </c>
      <c r="H12" t="s">
        <v>21</v>
      </c>
      <c r="I12">
        <v>7</v>
      </c>
      <c r="J12">
        <v>8147</v>
      </c>
      <c r="K12" t="s">
        <v>22</v>
      </c>
      <c r="L12">
        <v>1</v>
      </c>
      <c r="M12">
        <v>3</v>
      </c>
      <c r="N12">
        <v>12</v>
      </c>
      <c r="O12">
        <v>6</v>
      </c>
      <c r="P12">
        <v>17</v>
      </c>
      <c r="Q12" t="s">
        <v>22</v>
      </c>
    </row>
    <row r="13" spans="1:17" x14ac:dyDescent="0.25">
      <c r="A13">
        <v>1721</v>
      </c>
      <c r="B13">
        <v>60</v>
      </c>
      <c r="C13" t="s">
        <v>23</v>
      </c>
      <c r="D13" t="s">
        <v>27</v>
      </c>
      <c r="E13" t="s">
        <v>44</v>
      </c>
      <c r="F13" t="s">
        <v>32</v>
      </c>
      <c r="G13" t="s">
        <v>33</v>
      </c>
      <c r="H13" t="s">
        <v>21</v>
      </c>
      <c r="I13">
        <v>28</v>
      </c>
      <c r="J13">
        <v>14052</v>
      </c>
      <c r="K13" t="s">
        <v>22</v>
      </c>
      <c r="L13">
        <v>2</v>
      </c>
      <c r="M13">
        <v>4</v>
      </c>
      <c r="N13">
        <v>23</v>
      </c>
      <c r="O13">
        <v>0</v>
      </c>
      <c r="P13">
        <v>34</v>
      </c>
      <c r="Q13" t="s">
        <v>22</v>
      </c>
    </row>
    <row r="14" spans="1:17" x14ac:dyDescent="0.25">
      <c r="A14">
        <v>1858</v>
      </c>
      <c r="B14">
        <v>31</v>
      </c>
      <c r="C14" t="s">
        <v>23</v>
      </c>
      <c r="D14" t="s">
        <v>27</v>
      </c>
      <c r="E14" t="s">
        <v>28</v>
      </c>
      <c r="F14" t="s">
        <v>36</v>
      </c>
      <c r="G14" t="s">
        <v>33</v>
      </c>
      <c r="H14" t="s">
        <v>34</v>
      </c>
      <c r="I14">
        <v>5</v>
      </c>
      <c r="J14">
        <v>12059</v>
      </c>
      <c r="K14" t="s">
        <v>22</v>
      </c>
      <c r="L14">
        <v>2</v>
      </c>
      <c r="M14">
        <v>1</v>
      </c>
      <c r="N14">
        <v>8</v>
      </c>
      <c r="O14">
        <v>4</v>
      </c>
      <c r="P14">
        <v>11</v>
      </c>
      <c r="Q14" t="s">
        <v>22</v>
      </c>
    </row>
    <row r="15" spans="1:17" x14ac:dyDescent="0.25">
      <c r="A15">
        <v>1674</v>
      </c>
      <c r="B15">
        <v>35</v>
      </c>
      <c r="C15" t="s">
        <v>16</v>
      </c>
      <c r="D15" t="s">
        <v>38</v>
      </c>
      <c r="E15" t="s">
        <v>39</v>
      </c>
      <c r="F15" t="s">
        <v>19</v>
      </c>
      <c r="G15" t="s">
        <v>20</v>
      </c>
      <c r="H15" t="s">
        <v>21</v>
      </c>
      <c r="I15">
        <v>10</v>
      </c>
      <c r="J15">
        <v>10230</v>
      </c>
      <c r="K15" t="s">
        <v>22</v>
      </c>
      <c r="L15">
        <v>1</v>
      </c>
      <c r="M15">
        <v>1</v>
      </c>
      <c r="N15">
        <v>9</v>
      </c>
      <c r="O15">
        <v>0</v>
      </c>
      <c r="P15">
        <v>9</v>
      </c>
      <c r="Q15" t="s">
        <v>42</v>
      </c>
    </row>
    <row r="16" spans="1:17" x14ac:dyDescent="0.25">
      <c r="A16">
        <v>1169</v>
      </c>
      <c r="B16">
        <v>39</v>
      </c>
      <c r="C16" t="s">
        <v>16</v>
      </c>
      <c r="D16" t="s">
        <v>24</v>
      </c>
      <c r="E16" t="s">
        <v>45</v>
      </c>
      <c r="F16" t="s">
        <v>41</v>
      </c>
      <c r="G16" t="s">
        <v>20</v>
      </c>
      <c r="H16" t="s">
        <v>30</v>
      </c>
      <c r="I16">
        <v>10</v>
      </c>
      <c r="J16">
        <v>7995</v>
      </c>
      <c r="K16" t="s">
        <v>42</v>
      </c>
      <c r="L16">
        <v>2</v>
      </c>
      <c r="M16">
        <v>4</v>
      </c>
      <c r="N16">
        <v>4</v>
      </c>
      <c r="O16">
        <v>1</v>
      </c>
      <c r="P16">
        <v>13</v>
      </c>
      <c r="Q16" t="s">
        <v>42</v>
      </c>
    </row>
    <row r="17" spans="1:17" x14ac:dyDescent="0.25">
      <c r="A17">
        <v>1120</v>
      </c>
      <c r="B17">
        <v>55</v>
      </c>
      <c r="C17" t="s">
        <v>23</v>
      </c>
      <c r="D17" t="s">
        <v>17</v>
      </c>
      <c r="E17" t="s">
        <v>18</v>
      </c>
      <c r="F17" t="s">
        <v>29</v>
      </c>
      <c r="G17" t="s">
        <v>20</v>
      </c>
      <c r="H17" t="s">
        <v>30</v>
      </c>
      <c r="I17">
        <v>20</v>
      </c>
      <c r="J17">
        <v>15857</v>
      </c>
      <c r="K17" t="s">
        <v>42</v>
      </c>
      <c r="L17">
        <v>2</v>
      </c>
      <c r="M17">
        <v>2</v>
      </c>
      <c r="N17">
        <v>19</v>
      </c>
      <c r="O17">
        <v>17</v>
      </c>
      <c r="P17">
        <v>29</v>
      </c>
      <c r="Q17" t="s">
        <v>22</v>
      </c>
    </row>
    <row r="18" spans="1:17" x14ac:dyDescent="0.25">
      <c r="A18">
        <v>1698</v>
      </c>
      <c r="B18">
        <v>34</v>
      </c>
      <c r="C18" t="s">
        <v>16</v>
      </c>
      <c r="D18" t="s">
        <v>17</v>
      </c>
      <c r="E18" t="s">
        <v>18</v>
      </c>
      <c r="F18" t="s">
        <v>38</v>
      </c>
      <c r="G18" t="s">
        <v>37</v>
      </c>
      <c r="H18" t="s">
        <v>34</v>
      </c>
      <c r="I18">
        <v>5</v>
      </c>
      <c r="J18">
        <v>11798</v>
      </c>
      <c r="K18" t="s">
        <v>42</v>
      </c>
      <c r="L18">
        <v>1</v>
      </c>
      <c r="M18">
        <v>3</v>
      </c>
      <c r="N18">
        <v>3</v>
      </c>
      <c r="O18">
        <v>3</v>
      </c>
      <c r="P18">
        <v>8</v>
      </c>
      <c r="Q18" t="s">
        <v>22</v>
      </c>
    </row>
    <row r="19" spans="1:17" x14ac:dyDescent="0.25">
      <c r="A19">
        <v>1622</v>
      </c>
      <c r="B19">
        <v>21</v>
      </c>
      <c r="C19" t="s">
        <v>16</v>
      </c>
      <c r="D19" t="s">
        <v>17</v>
      </c>
      <c r="E19" t="s">
        <v>18</v>
      </c>
      <c r="F19" t="s">
        <v>36</v>
      </c>
      <c r="G19" t="s">
        <v>33</v>
      </c>
      <c r="H19" t="s">
        <v>30</v>
      </c>
      <c r="I19">
        <v>7</v>
      </c>
      <c r="J19">
        <v>10297</v>
      </c>
      <c r="K19" t="s">
        <v>22</v>
      </c>
      <c r="L19">
        <v>1</v>
      </c>
      <c r="M19">
        <v>1</v>
      </c>
      <c r="N19">
        <v>0</v>
      </c>
      <c r="O19">
        <v>0</v>
      </c>
      <c r="P19">
        <v>0</v>
      </c>
      <c r="Q19" t="s">
        <v>22</v>
      </c>
    </row>
    <row r="20" spans="1:17" x14ac:dyDescent="0.25">
      <c r="A20">
        <v>1483</v>
      </c>
      <c r="B20">
        <v>31</v>
      </c>
      <c r="C20" t="s">
        <v>87</v>
      </c>
      <c r="D20" t="s">
        <v>27</v>
      </c>
      <c r="E20" t="s">
        <v>31</v>
      </c>
      <c r="F20" t="s">
        <v>36</v>
      </c>
      <c r="G20" t="s">
        <v>33</v>
      </c>
      <c r="H20" t="s">
        <v>34</v>
      </c>
      <c r="I20">
        <v>10</v>
      </c>
      <c r="J20">
        <v>4292</v>
      </c>
      <c r="K20" t="s">
        <v>42</v>
      </c>
      <c r="L20">
        <v>1</v>
      </c>
      <c r="M20">
        <v>4</v>
      </c>
      <c r="N20">
        <v>0</v>
      </c>
      <c r="O20">
        <v>0</v>
      </c>
      <c r="P20">
        <v>0</v>
      </c>
      <c r="Q20" t="s">
        <v>42</v>
      </c>
    </row>
    <row r="21" spans="1:17" x14ac:dyDescent="0.25">
      <c r="A21">
        <v>1579</v>
      </c>
      <c r="B21">
        <v>32</v>
      </c>
      <c r="C21" t="s">
        <v>16</v>
      </c>
      <c r="D21" t="s">
        <v>24</v>
      </c>
      <c r="E21" t="s">
        <v>45</v>
      </c>
      <c r="F21" t="s">
        <v>32</v>
      </c>
      <c r="G21" t="s">
        <v>37</v>
      </c>
      <c r="H21" t="s">
        <v>21</v>
      </c>
      <c r="I21">
        <v>3</v>
      </c>
      <c r="J21">
        <v>6984</v>
      </c>
      <c r="K21" t="s">
        <v>22</v>
      </c>
      <c r="L21">
        <v>4</v>
      </c>
      <c r="M21">
        <v>4</v>
      </c>
      <c r="N21">
        <v>1</v>
      </c>
      <c r="O21">
        <v>0</v>
      </c>
      <c r="P21">
        <v>7</v>
      </c>
      <c r="Q21" t="s">
        <v>22</v>
      </c>
    </row>
    <row r="22" spans="1:17" x14ac:dyDescent="0.25">
      <c r="A22">
        <v>1785</v>
      </c>
      <c r="B22">
        <v>24</v>
      </c>
      <c r="C22" t="s">
        <v>23</v>
      </c>
      <c r="D22" t="s">
        <v>17</v>
      </c>
      <c r="E22" t="s">
        <v>35</v>
      </c>
      <c r="F22" t="s">
        <v>29</v>
      </c>
      <c r="G22" t="s">
        <v>33</v>
      </c>
      <c r="H22" t="s">
        <v>30</v>
      </c>
      <c r="I22">
        <v>20</v>
      </c>
      <c r="J22">
        <v>5312</v>
      </c>
      <c r="K22" t="s">
        <v>22</v>
      </c>
      <c r="L22">
        <v>1</v>
      </c>
      <c r="M22">
        <v>4</v>
      </c>
      <c r="N22">
        <v>0</v>
      </c>
      <c r="O22">
        <v>0</v>
      </c>
      <c r="P22">
        <v>0</v>
      </c>
      <c r="Q22" t="s">
        <v>42</v>
      </c>
    </row>
    <row r="23" spans="1:17" x14ac:dyDescent="0.25">
      <c r="A23">
        <v>1326</v>
      </c>
      <c r="B23">
        <v>47</v>
      </c>
      <c r="C23" t="s">
        <v>16</v>
      </c>
      <c r="D23" t="s">
        <v>17</v>
      </c>
      <c r="E23" t="s">
        <v>18</v>
      </c>
      <c r="F23" t="s">
        <v>26</v>
      </c>
      <c r="G23" t="s">
        <v>37</v>
      </c>
      <c r="H23" t="s">
        <v>30</v>
      </c>
      <c r="I23">
        <v>21</v>
      </c>
      <c r="J23">
        <v>12813</v>
      </c>
      <c r="K23" t="s">
        <v>42</v>
      </c>
      <c r="L23">
        <v>2</v>
      </c>
      <c r="M23">
        <v>3</v>
      </c>
      <c r="N23">
        <v>20</v>
      </c>
      <c r="O23">
        <v>12</v>
      </c>
      <c r="P23">
        <v>20</v>
      </c>
      <c r="Q23" t="s">
        <v>42</v>
      </c>
    </row>
    <row r="24" spans="1:17" x14ac:dyDescent="0.25">
      <c r="A24">
        <v>1118</v>
      </c>
      <c r="B24">
        <v>46</v>
      </c>
      <c r="C24" t="s">
        <v>23</v>
      </c>
      <c r="D24" t="s">
        <v>24</v>
      </c>
      <c r="E24" t="s">
        <v>45</v>
      </c>
      <c r="F24" t="s">
        <v>26</v>
      </c>
      <c r="G24" t="s">
        <v>37</v>
      </c>
      <c r="H24" t="s">
        <v>30</v>
      </c>
      <c r="I24">
        <v>12</v>
      </c>
      <c r="J24">
        <v>9069</v>
      </c>
      <c r="K24" t="s">
        <v>22</v>
      </c>
      <c r="L24">
        <v>4</v>
      </c>
      <c r="M24">
        <v>4</v>
      </c>
      <c r="N24">
        <v>10</v>
      </c>
      <c r="O24">
        <v>10</v>
      </c>
      <c r="P24">
        <v>22</v>
      </c>
      <c r="Q24" t="s">
        <v>22</v>
      </c>
    </row>
    <row r="25" spans="1:17" x14ac:dyDescent="0.25">
      <c r="A25">
        <v>1835</v>
      </c>
      <c r="B25">
        <v>24</v>
      </c>
      <c r="C25" t="s">
        <v>23</v>
      </c>
      <c r="D25" t="s">
        <v>24</v>
      </c>
      <c r="E25" t="s">
        <v>46</v>
      </c>
      <c r="F25" t="s">
        <v>41</v>
      </c>
      <c r="G25" t="s">
        <v>20</v>
      </c>
      <c r="H25" t="s">
        <v>34</v>
      </c>
      <c r="I25">
        <v>21</v>
      </c>
      <c r="J25">
        <v>5946</v>
      </c>
      <c r="K25" t="s">
        <v>22</v>
      </c>
      <c r="L25">
        <v>4</v>
      </c>
      <c r="M25">
        <v>1</v>
      </c>
      <c r="N25">
        <v>0</v>
      </c>
      <c r="O25">
        <v>0</v>
      </c>
      <c r="P25">
        <v>0</v>
      </c>
      <c r="Q25" t="s">
        <v>22</v>
      </c>
    </row>
    <row r="26" spans="1:17" x14ac:dyDescent="0.25">
      <c r="A26">
        <v>1683</v>
      </c>
      <c r="B26">
        <v>58</v>
      </c>
      <c r="C26" t="s">
        <v>16</v>
      </c>
      <c r="D26" t="s">
        <v>17</v>
      </c>
      <c r="E26" t="s">
        <v>35</v>
      </c>
      <c r="F26" t="s">
        <v>32</v>
      </c>
      <c r="G26" t="s">
        <v>20</v>
      </c>
      <c r="H26" t="s">
        <v>30</v>
      </c>
      <c r="I26">
        <v>16</v>
      </c>
      <c r="J26">
        <v>10067</v>
      </c>
      <c r="K26" t="s">
        <v>22</v>
      </c>
      <c r="L26">
        <v>4</v>
      </c>
      <c r="M26">
        <v>1</v>
      </c>
      <c r="N26">
        <v>15</v>
      </c>
      <c r="O26">
        <v>3</v>
      </c>
      <c r="P26">
        <v>26</v>
      </c>
      <c r="Q26" t="s">
        <v>42</v>
      </c>
    </row>
    <row r="27" spans="1:17" x14ac:dyDescent="0.25">
      <c r="A27">
        <v>1033</v>
      </c>
      <c r="B27">
        <v>31</v>
      </c>
      <c r="C27" t="s">
        <v>23</v>
      </c>
      <c r="D27" t="s">
        <v>27</v>
      </c>
      <c r="E27" t="s">
        <v>43</v>
      </c>
      <c r="F27" t="s">
        <v>29</v>
      </c>
      <c r="G27" t="s">
        <v>37</v>
      </c>
      <c r="H27" t="s">
        <v>21</v>
      </c>
      <c r="I27">
        <v>15</v>
      </c>
      <c r="J27">
        <v>5683</v>
      </c>
      <c r="K27" t="s">
        <v>42</v>
      </c>
      <c r="L27">
        <v>1</v>
      </c>
      <c r="M27">
        <v>4</v>
      </c>
      <c r="N27">
        <v>7</v>
      </c>
      <c r="O27">
        <v>0</v>
      </c>
      <c r="P27">
        <v>9</v>
      </c>
      <c r="Q27" t="s">
        <v>22</v>
      </c>
    </row>
    <row r="28" spans="1:17" x14ac:dyDescent="0.25">
      <c r="A28">
        <v>1862</v>
      </c>
      <c r="B28">
        <v>52</v>
      </c>
      <c r="C28" t="s">
        <v>16</v>
      </c>
      <c r="D28" t="s">
        <v>24</v>
      </c>
      <c r="E28" t="s">
        <v>25</v>
      </c>
      <c r="F28" t="s">
        <v>32</v>
      </c>
      <c r="G28" t="s">
        <v>33</v>
      </c>
      <c r="H28" t="s">
        <v>34</v>
      </c>
      <c r="I28">
        <v>22</v>
      </c>
      <c r="J28">
        <v>13753</v>
      </c>
      <c r="K28" t="s">
        <v>22</v>
      </c>
      <c r="L28">
        <v>1</v>
      </c>
      <c r="M28">
        <v>4</v>
      </c>
      <c r="N28">
        <v>2</v>
      </c>
      <c r="O28">
        <v>1</v>
      </c>
      <c r="P28">
        <v>25</v>
      </c>
      <c r="Q28" t="s">
        <v>22</v>
      </c>
    </row>
    <row r="29" spans="1:17" x14ac:dyDescent="0.25">
      <c r="A29">
        <v>1905</v>
      </c>
      <c r="B29">
        <v>45</v>
      </c>
      <c r="C29" t="s">
        <v>23</v>
      </c>
      <c r="D29" t="s">
        <v>24</v>
      </c>
      <c r="E29" t="s">
        <v>25</v>
      </c>
      <c r="F29" t="s">
        <v>32</v>
      </c>
      <c r="G29" t="s">
        <v>20</v>
      </c>
      <c r="H29" t="s">
        <v>21</v>
      </c>
      <c r="I29">
        <v>24</v>
      </c>
      <c r="J29">
        <v>10440</v>
      </c>
      <c r="K29" t="s">
        <v>22</v>
      </c>
      <c r="L29">
        <v>3</v>
      </c>
      <c r="M29">
        <v>3</v>
      </c>
      <c r="N29">
        <v>5</v>
      </c>
      <c r="O29">
        <v>3</v>
      </c>
      <c r="P29">
        <v>21</v>
      </c>
      <c r="Q29" t="s">
        <v>22</v>
      </c>
    </row>
    <row r="30" spans="1:17" x14ac:dyDescent="0.25">
      <c r="A30">
        <v>1002</v>
      </c>
      <c r="B30">
        <v>34</v>
      </c>
      <c r="C30" t="s">
        <v>23</v>
      </c>
      <c r="D30" t="s">
        <v>27</v>
      </c>
      <c r="E30" t="s">
        <v>28</v>
      </c>
      <c r="F30" t="s">
        <v>19</v>
      </c>
      <c r="G30" t="s">
        <v>33</v>
      </c>
      <c r="H30" t="s">
        <v>34</v>
      </c>
      <c r="I30">
        <v>7</v>
      </c>
      <c r="J30">
        <v>11034</v>
      </c>
      <c r="K30" t="s">
        <v>42</v>
      </c>
      <c r="L30">
        <v>4</v>
      </c>
      <c r="M30">
        <v>3</v>
      </c>
      <c r="N30">
        <v>6</v>
      </c>
      <c r="O30">
        <v>0</v>
      </c>
      <c r="P30">
        <v>6</v>
      </c>
      <c r="Q30" t="s">
        <v>22</v>
      </c>
    </row>
    <row r="31" spans="1:17" x14ac:dyDescent="0.25">
      <c r="A31">
        <v>1607</v>
      </c>
      <c r="B31">
        <v>47</v>
      </c>
      <c r="C31" t="s">
        <v>16</v>
      </c>
      <c r="D31" t="s">
        <v>27</v>
      </c>
      <c r="E31" t="s">
        <v>44</v>
      </c>
      <c r="F31" t="s">
        <v>29</v>
      </c>
      <c r="G31" t="s">
        <v>37</v>
      </c>
      <c r="H31" t="s">
        <v>30</v>
      </c>
      <c r="I31">
        <v>28</v>
      </c>
      <c r="J31">
        <v>9714</v>
      </c>
      <c r="K31" t="s">
        <v>22</v>
      </c>
      <c r="L31">
        <v>3</v>
      </c>
      <c r="M31">
        <v>2</v>
      </c>
      <c r="N31">
        <v>15</v>
      </c>
      <c r="O31">
        <v>3</v>
      </c>
      <c r="P31">
        <v>27</v>
      </c>
      <c r="Q31" t="s">
        <v>22</v>
      </c>
    </row>
    <row r="32" spans="1:17" x14ac:dyDescent="0.25">
      <c r="A32">
        <v>1935</v>
      </c>
      <c r="B32">
        <v>52</v>
      </c>
      <c r="C32" t="s">
        <v>16</v>
      </c>
      <c r="D32" t="s">
        <v>24</v>
      </c>
      <c r="E32" t="s">
        <v>25</v>
      </c>
      <c r="F32" t="s">
        <v>19</v>
      </c>
      <c r="G32" t="s">
        <v>37</v>
      </c>
      <c r="H32" t="s">
        <v>34</v>
      </c>
      <c r="I32">
        <v>8</v>
      </c>
      <c r="J32">
        <v>14847</v>
      </c>
      <c r="K32" t="s">
        <v>42</v>
      </c>
      <c r="L32">
        <v>1</v>
      </c>
      <c r="M32">
        <v>4</v>
      </c>
      <c r="N32">
        <v>6</v>
      </c>
      <c r="O32">
        <v>2</v>
      </c>
      <c r="P32">
        <v>30</v>
      </c>
      <c r="Q32" t="s">
        <v>22</v>
      </c>
    </row>
    <row r="33" spans="1:17" x14ac:dyDescent="0.25">
      <c r="A33">
        <v>1409</v>
      </c>
      <c r="B33">
        <v>60</v>
      </c>
      <c r="C33" t="s">
        <v>23</v>
      </c>
      <c r="D33" t="s">
        <v>47</v>
      </c>
      <c r="E33" t="s">
        <v>48</v>
      </c>
      <c r="F33" t="s">
        <v>26</v>
      </c>
      <c r="G33" t="s">
        <v>20</v>
      </c>
      <c r="H33" t="s">
        <v>21</v>
      </c>
      <c r="I33">
        <v>17</v>
      </c>
      <c r="J33">
        <v>12562</v>
      </c>
      <c r="K33" t="s">
        <v>22</v>
      </c>
      <c r="L33">
        <v>3</v>
      </c>
      <c r="M33">
        <v>4</v>
      </c>
      <c r="N33">
        <v>12</v>
      </c>
      <c r="O33">
        <v>4</v>
      </c>
      <c r="P33">
        <v>37</v>
      </c>
      <c r="Q33" t="s">
        <v>22</v>
      </c>
    </row>
    <row r="34" spans="1:17" x14ac:dyDescent="0.25">
      <c r="A34">
        <v>1147</v>
      </c>
      <c r="B34">
        <v>39</v>
      </c>
      <c r="C34" t="s">
        <v>16</v>
      </c>
      <c r="D34" t="s">
        <v>27</v>
      </c>
      <c r="E34" t="s">
        <v>31</v>
      </c>
      <c r="F34" t="s">
        <v>38</v>
      </c>
      <c r="G34" t="s">
        <v>33</v>
      </c>
      <c r="H34" t="s">
        <v>34</v>
      </c>
      <c r="I34">
        <v>5</v>
      </c>
      <c r="J34">
        <v>7873</v>
      </c>
      <c r="K34" t="s">
        <v>22</v>
      </c>
      <c r="L34">
        <v>2</v>
      </c>
      <c r="M34">
        <v>2</v>
      </c>
      <c r="N34">
        <v>6</v>
      </c>
      <c r="O34">
        <v>4</v>
      </c>
      <c r="P34">
        <v>7</v>
      </c>
      <c r="Q34" t="s">
        <v>22</v>
      </c>
    </row>
    <row r="35" spans="1:17" x14ac:dyDescent="0.25">
      <c r="A35">
        <v>1964</v>
      </c>
      <c r="B35">
        <v>42</v>
      </c>
      <c r="C35" t="s">
        <v>16</v>
      </c>
      <c r="D35" t="s">
        <v>47</v>
      </c>
      <c r="E35" t="s">
        <v>48</v>
      </c>
      <c r="F35" t="s">
        <v>41</v>
      </c>
      <c r="G35" t="s">
        <v>20</v>
      </c>
      <c r="H35" t="s">
        <v>34</v>
      </c>
      <c r="I35">
        <v>16</v>
      </c>
      <c r="J35">
        <v>9194</v>
      </c>
      <c r="K35" t="s">
        <v>22</v>
      </c>
      <c r="L35">
        <v>2</v>
      </c>
      <c r="M35">
        <v>2</v>
      </c>
      <c r="N35">
        <v>10</v>
      </c>
      <c r="O35">
        <v>7</v>
      </c>
      <c r="P35">
        <v>19</v>
      </c>
      <c r="Q35" t="s">
        <v>22</v>
      </c>
    </row>
    <row r="36" spans="1:17" x14ac:dyDescent="0.25">
      <c r="A36">
        <v>1911</v>
      </c>
      <c r="B36">
        <v>36</v>
      </c>
      <c r="C36" t="s">
        <v>16</v>
      </c>
      <c r="D36" t="s">
        <v>24</v>
      </c>
      <c r="E36" t="s">
        <v>45</v>
      </c>
      <c r="F36" t="s">
        <v>38</v>
      </c>
      <c r="G36" t="s">
        <v>33</v>
      </c>
      <c r="H36" t="s">
        <v>21</v>
      </c>
      <c r="I36">
        <v>12</v>
      </c>
      <c r="J36">
        <v>3219</v>
      </c>
      <c r="K36" t="s">
        <v>22</v>
      </c>
      <c r="L36">
        <v>3</v>
      </c>
      <c r="M36">
        <v>2</v>
      </c>
      <c r="N36">
        <v>4</v>
      </c>
      <c r="O36">
        <v>3</v>
      </c>
      <c r="P36">
        <v>8</v>
      </c>
      <c r="Q36" t="s">
        <v>42</v>
      </c>
    </row>
    <row r="37" spans="1:17" x14ac:dyDescent="0.25">
      <c r="A37">
        <v>1687</v>
      </c>
      <c r="B37">
        <v>57</v>
      </c>
      <c r="C37" t="s">
        <v>16</v>
      </c>
      <c r="D37" t="s">
        <v>17</v>
      </c>
      <c r="E37" t="s">
        <v>18</v>
      </c>
      <c r="F37" t="s">
        <v>19</v>
      </c>
      <c r="G37" t="s">
        <v>33</v>
      </c>
      <c r="H37" t="s">
        <v>30</v>
      </c>
      <c r="I37">
        <v>5</v>
      </c>
      <c r="J37">
        <v>13092</v>
      </c>
      <c r="K37" t="s">
        <v>22</v>
      </c>
      <c r="L37">
        <v>1</v>
      </c>
      <c r="M37">
        <v>2</v>
      </c>
      <c r="N37">
        <v>23</v>
      </c>
      <c r="O37">
        <v>23</v>
      </c>
      <c r="P37">
        <v>29</v>
      </c>
      <c r="Q37" t="s">
        <v>22</v>
      </c>
    </row>
    <row r="38" spans="1:17" x14ac:dyDescent="0.25">
      <c r="A38">
        <v>1049</v>
      </c>
      <c r="B38">
        <v>27</v>
      </c>
      <c r="C38" t="s">
        <v>23</v>
      </c>
      <c r="D38" t="s">
        <v>17</v>
      </c>
      <c r="E38" t="s">
        <v>35</v>
      </c>
      <c r="F38" t="s">
        <v>32</v>
      </c>
      <c r="G38" t="s">
        <v>33</v>
      </c>
      <c r="H38" t="s">
        <v>30</v>
      </c>
      <c r="I38">
        <v>10</v>
      </c>
      <c r="J38">
        <v>4826</v>
      </c>
      <c r="K38" t="s">
        <v>22</v>
      </c>
      <c r="L38">
        <v>2</v>
      </c>
      <c r="M38">
        <v>2</v>
      </c>
      <c r="N38">
        <v>0</v>
      </c>
      <c r="O38">
        <v>0</v>
      </c>
      <c r="P38">
        <v>5</v>
      </c>
      <c r="Q38" t="s">
        <v>42</v>
      </c>
    </row>
    <row r="39" spans="1:17" x14ac:dyDescent="0.25">
      <c r="A39">
        <v>1733</v>
      </c>
      <c r="B39">
        <v>49</v>
      </c>
      <c r="C39" t="s">
        <v>23</v>
      </c>
      <c r="D39" t="s">
        <v>27</v>
      </c>
      <c r="E39" t="s">
        <v>44</v>
      </c>
      <c r="F39" t="s">
        <v>19</v>
      </c>
      <c r="G39" t="s">
        <v>33</v>
      </c>
      <c r="H39" t="s">
        <v>30</v>
      </c>
      <c r="I39">
        <v>5</v>
      </c>
      <c r="J39">
        <v>11124</v>
      </c>
      <c r="K39" t="s">
        <v>42</v>
      </c>
      <c r="L39">
        <v>1</v>
      </c>
      <c r="M39">
        <v>4</v>
      </c>
      <c r="N39">
        <v>13</v>
      </c>
      <c r="O39">
        <v>7</v>
      </c>
      <c r="P39">
        <v>21</v>
      </c>
      <c r="Q39" t="s">
        <v>22</v>
      </c>
    </row>
    <row r="40" spans="1:17" x14ac:dyDescent="0.25">
      <c r="A40">
        <v>1469</v>
      </c>
      <c r="B40">
        <v>52</v>
      </c>
      <c r="C40" t="s">
        <v>16</v>
      </c>
      <c r="D40" t="s">
        <v>17</v>
      </c>
      <c r="E40" t="s">
        <v>35</v>
      </c>
      <c r="F40" t="s">
        <v>26</v>
      </c>
      <c r="G40" t="s">
        <v>33</v>
      </c>
      <c r="H40" t="s">
        <v>30</v>
      </c>
      <c r="I40">
        <v>21</v>
      </c>
      <c r="J40">
        <v>8675</v>
      </c>
      <c r="K40" t="s">
        <v>42</v>
      </c>
      <c r="L40">
        <v>3</v>
      </c>
      <c r="M40">
        <v>4</v>
      </c>
      <c r="N40">
        <v>5</v>
      </c>
      <c r="O40">
        <v>4</v>
      </c>
      <c r="P40">
        <v>30</v>
      </c>
      <c r="Q40" t="s">
        <v>88</v>
      </c>
    </row>
    <row r="41" spans="1:17" x14ac:dyDescent="0.25">
      <c r="A41">
        <v>1375</v>
      </c>
      <c r="B41">
        <v>27</v>
      </c>
      <c r="C41" t="s">
        <v>23</v>
      </c>
      <c r="D41" t="s">
        <v>24</v>
      </c>
      <c r="E41" t="s">
        <v>46</v>
      </c>
      <c r="F41" t="s">
        <v>41</v>
      </c>
      <c r="G41" t="s">
        <v>33</v>
      </c>
      <c r="H41" t="s">
        <v>30</v>
      </c>
      <c r="I41">
        <v>22</v>
      </c>
      <c r="J41">
        <v>4603</v>
      </c>
      <c r="K41" t="s">
        <v>22</v>
      </c>
      <c r="L41">
        <v>2</v>
      </c>
      <c r="M41">
        <v>3</v>
      </c>
      <c r="N41">
        <v>0</v>
      </c>
      <c r="O41">
        <v>0</v>
      </c>
      <c r="P41">
        <v>1</v>
      </c>
      <c r="Q41" t="s">
        <v>22</v>
      </c>
    </row>
    <row r="42" spans="1:17" x14ac:dyDescent="0.25">
      <c r="A42">
        <v>1036</v>
      </c>
      <c r="B42">
        <v>41</v>
      </c>
      <c r="C42" t="s">
        <v>16</v>
      </c>
      <c r="D42" t="s">
        <v>17</v>
      </c>
      <c r="E42" t="s">
        <v>35</v>
      </c>
      <c r="F42" t="s">
        <v>41</v>
      </c>
      <c r="G42" t="s">
        <v>20</v>
      </c>
      <c r="H42" t="s">
        <v>30</v>
      </c>
      <c r="I42">
        <v>12</v>
      </c>
      <c r="J42">
        <v>6976</v>
      </c>
      <c r="K42" t="s">
        <v>22</v>
      </c>
      <c r="L42">
        <v>1</v>
      </c>
      <c r="M42">
        <v>4</v>
      </c>
      <c r="N42">
        <v>3</v>
      </c>
      <c r="O42">
        <v>3</v>
      </c>
      <c r="P42">
        <v>12</v>
      </c>
      <c r="Q42" t="s">
        <v>22</v>
      </c>
    </row>
    <row r="43" spans="1:17" x14ac:dyDescent="0.25">
      <c r="A43">
        <v>1757</v>
      </c>
      <c r="B43">
        <v>55</v>
      </c>
      <c r="C43" t="s">
        <v>16</v>
      </c>
      <c r="D43" t="s">
        <v>27</v>
      </c>
      <c r="E43" t="s">
        <v>44</v>
      </c>
      <c r="F43" t="s">
        <v>29</v>
      </c>
      <c r="G43" t="s">
        <v>20</v>
      </c>
      <c r="H43" t="s">
        <v>21</v>
      </c>
      <c r="I43">
        <v>14</v>
      </c>
      <c r="J43">
        <v>13285</v>
      </c>
      <c r="K43" t="s">
        <v>22</v>
      </c>
      <c r="L43">
        <v>1</v>
      </c>
      <c r="M43">
        <v>1</v>
      </c>
      <c r="N43">
        <v>16</v>
      </c>
      <c r="O43">
        <v>8</v>
      </c>
      <c r="P43">
        <v>29</v>
      </c>
      <c r="Q43" t="s">
        <v>22</v>
      </c>
    </row>
    <row r="44" spans="1:17" x14ac:dyDescent="0.25">
      <c r="A44">
        <v>1229</v>
      </c>
      <c r="B44">
        <v>31</v>
      </c>
      <c r="C44" t="s">
        <v>23</v>
      </c>
      <c r="D44" t="s">
        <v>38</v>
      </c>
      <c r="E44" t="s">
        <v>49</v>
      </c>
      <c r="F44" t="s">
        <v>29</v>
      </c>
      <c r="G44" t="s">
        <v>33</v>
      </c>
      <c r="H44" t="s">
        <v>34</v>
      </c>
      <c r="I44">
        <v>8</v>
      </c>
      <c r="J44">
        <v>9834</v>
      </c>
      <c r="K44" t="s">
        <v>22</v>
      </c>
      <c r="L44">
        <v>3</v>
      </c>
      <c r="M44">
        <v>4</v>
      </c>
      <c r="N44">
        <v>1</v>
      </c>
      <c r="O44">
        <v>1</v>
      </c>
      <c r="P44">
        <v>3</v>
      </c>
      <c r="Q44" t="s">
        <v>22</v>
      </c>
    </row>
    <row r="45" spans="1:17" x14ac:dyDescent="0.25">
      <c r="A45">
        <v>1540</v>
      </c>
      <c r="B45">
        <v>55</v>
      </c>
      <c r="C45" t="s">
        <v>16</v>
      </c>
      <c r="D45" t="s">
        <v>27</v>
      </c>
      <c r="E45" t="s">
        <v>43</v>
      </c>
      <c r="F45" t="s">
        <v>32</v>
      </c>
      <c r="G45" t="s">
        <v>37</v>
      </c>
      <c r="H45" t="s">
        <v>21</v>
      </c>
      <c r="I45">
        <v>23</v>
      </c>
      <c r="J45">
        <v>12378</v>
      </c>
      <c r="K45" t="s">
        <v>22</v>
      </c>
      <c r="L45">
        <v>3</v>
      </c>
      <c r="M45">
        <v>3</v>
      </c>
      <c r="N45">
        <v>6</v>
      </c>
      <c r="O45">
        <v>4</v>
      </c>
      <c r="P45">
        <v>35</v>
      </c>
      <c r="Q45" t="s">
        <v>22</v>
      </c>
    </row>
    <row r="46" spans="1:17" x14ac:dyDescent="0.25">
      <c r="A46">
        <v>1893</v>
      </c>
      <c r="B46">
        <v>54</v>
      </c>
      <c r="C46" t="s">
        <v>16</v>
      </c>
      <c r="D46" t="s">
        <v>27</v>
      </c>
      <c r="E46" t="s">
        <v>31</v>
      </c>
      <c r="F46" t="s">
        <v>29</v>
      </c>
      <c r="G46" t="s">
        <v>33</v>
      </c>
      <c r="H46" t="s">
        <v>30</v>
      </c>
      <c r="I46">
        <v>21</v>
      </c>
      <c r="J46" t="s">
        <v>89</v>
      </c>
      <c r="K46" t="s">
        <v>22</v>
      </c>
      <c r="L46">
        <v>2</v>
      </c>
      <c r="M46">
        <v>1</v>
      </c>
      <c r="N46">
        <v>16</v>
      </c>
      <c r="O46">
        <v>5</v>
      </c>
      <c r="P46">
        <v>27</v>
      </c>
      <c r="Q46" t="s">
        <v>22</v>
      </c>
    </row>
    <row r="47" spans="1:17" x14ac:dyDescent="0.25">
      <c r="A47">
        <v>1016</v>
      </c>
      <c r="B47">
        <v>48</v>
      </c>
      <c r="C47" t="s">
        <v>23</v>
      </c>
      <c r="D47" t="s">
        <v>17</v>
      </c>
      <c r="E47" t="s">
        <v>40</v>
      </c>
      <c r="F47" t="s">
        <v>26</v>
      </c>
      <c r="G47" t="s">
        <v>20</v>
      </c>
      <c r="H47" t="s">
        <v>34</v>
      </c>
      <c r="I47">
        <v>16</v>
      </c>
      <c r="J47">
        <v>7485</v>
      </c>
      <c r="K47" t="s">
        <v>42</v>
      </c>
      <c r="L47">
        <v>1</v>
      </c>
      <c r="M47">
        <v>2</v>
      </c>
      <c r="N47">
        <v>3</v>
      </c>
      <c r="O47">
        <v>0</v>
      </c>
      <c r="P47">
        <v>27</v>
      </c>
      <c r="Q47" t="s">
        <v>22</v>
      </c>
    </row>
    <row r="48" spans="1:17" x14ac:dyDescent="0.25">
      <c r="A48">
        <v>1669</v>
      </c>
      <c r="B48">
        <v>24</v>
      </c>
      <c r="C48" t="s">
        <v>23</v>
      </c>
      <c r="D48" t="s">
        <v>17</v>
      </c>
      <c r="E48" t="s">
        <v>40</v>
      </c>
      <c r="F48" t="s">
        <v>41</v>
      </c>
      <c r="G48" t="s">
        <v>20</v>
      </c>
      <c r="H48" t="s">
        <v>30</v>
      </c>
      <c r="I48">
        <v>23</v>
      </c>
      <c r="J48">
        <v>6126</v>
      </c>
      <c r="K48" t="s">
        <v>22</v>
      </c>
      <c r="L48">
        <v>4</v>
      </c>
      <c r="M48">
        <v>2</v>
      </c>
      <c r="N48">
        <v>3</v>
      </c>
      <c r="O48">
        <v>1</v>
      </c>
      <c r="P48">
        <v>4</v>
      </c>
      <c r="Q48" t="s">
        <v>22</v>
      </c>
    </row>
    <row r="49" spans="1:17" x14ac:dyDescent="0.25">
      <c r="A49">
        <v>1532</v>
      </c>
      <c r="B49">
        <v>52</v>
      </c>
      <c r="C49" t="s">
        <v>23</v>
      </c>
      <c r="D49" t="s">
        <v>17</v>
      </c>
      <c r="E49" t="s">
        <v>35</v>
      </c>
      <c r="F49" t="s">
        <v>29</v>
      </c>
      <c r="G49" t="s">
        <v>20</v>
      </c>
      <c r="H49" t="s">
        <v>34</v>
      </c>
      <c r="I49">
        <v>23</v>
      </c>
      <c r="J49" t="s">
        <v>90</v>
      </c>
      <c r="K49" t="s">
        <v>42</v>
      </c>
      <c r="L49">
        <v>3</v>
      </c>
      <c r="M49">
        <v>2</v>
      </c>
      <c r="N49">
        <v>17</v>
      </c>
      <c r="O49">
        <v>5</v>
      </c>
      <c r="P49">
        <v>30</v>
      </c>
      <c r="Q49" t="s">
        <v>22</v>
      </c>
    </row>
    <row r="50" spans="1:17" x14ac:dyDescent="0.25">
      <c r="A50">
        <v>1045</v>
      </c>
      <c r="B50">
        <v>55</v>
      </c>
      <c r="C50" t="s">
        <v>16</v>
      </c>
      <c r="D50" t="s">
        <v>24</v>
      </c>
      <c r="E50" t="s">
        <v>25</v>
      </c>
      <c r="F50" t="s">
        <v>41</v>
      </c>
      <c r="G50" t="s">
        <v>33</v>
      </c>
      <c r="H50" t="s">
        <v>34</v>
      </c>
      <c r="I50">
        <v>21</v>
      </c>
      <c r="J50">
        <v>15617</v>
      </c>
      <c r="K50" t="s">
        <v>22</v>
      </c>
      <c r="L50">
        <v>4</v>
      </c>
      <c r="M50">
        <v>2</v>
      </c>
      <c r="N50">
        <v>2</v>
      </c>
      <c r="O50">
        <v>0</v>
      </c>
      <c r="P50">
        <v>35</v>
      </c>
      <c r="Q50" t="s">
        <v>22</v>
      </c>
    </row>
    <row r="51" spans="1:17" x14ac:dyDescent="0.25">
      <c r="A51">
        <v>1304</v>
      </c>
      <c r="B51">
        <v>60</v>
      </c>
      <c r="C51" t="s">
        <v>16</v>
      </c>
      <c r="D51" t="s">
        <v>17</v>
      </c>
      <c r="E51" t="s">
        <v>35</v>
      </c>
      <c r="F51" t="s">
        <v>36</v>
      </c>
      <c r="G51" t="s">
        <v>37</v>
      </c>
      <c r="H51" t="s">
        <v>21</v>
      </c>
      <c r="I51">
        <v>12</v>
      </c>
      <c r="J51" t="s">
        <v>91</v>
      </c>
      <c r="K51" t="s">
        <v>42</v>
      </c>
      <c r="L51">
        <v>1</v>
      </c>
      <c r="M51">
        <v>1</v>
      </c>
      <c r="N51">
        <v>4</v>
      </c>
      <c r="O51">
        <v>3</v>
      </c>
      <c r="P51">
        <v>38</v>
      </c>
      <c r="Q51" t="s">
        <v>42</v>
      </c>
    </row>
    <row r="52" spans="1:17" x14ac:dyDescent="0.25">
      <c r="A52">
        <v>1539</v>
      </c>
      <c r="B52">
        <v>37</v>
      </c>
      <c r="C52" t="s">
        <v>23</v>
      </c>
      <c r="D52" t="s">
        <v>47</v>
      </c>
      <c r="E52" t="s">
        <v>50</v>
      </c>
      <c r="F52" t="s">
        <v>19</v>
      </c>
      <c r="G52" t="s">
        <v>33</v>
      </c>
      <c r="H52" t="s">
        <v>21</v>
      </c>
      <c r="I52">
        <v>18</v>
      </c>
      <c r="J52">
        <v>5255</v>
      </c>
      <c r="K52" t="s">
        <v>42</v>
      </c>
      <c r="L52">
        <v>3</v>
      </c>
      <c r="M52">
        <v>1</v>
      </c>
      <c r="N52">
        <v>3</v>
      </c>
      <c r="O52">
        <v>2</v>
      </c>
      <c r="P52">
        <v>5</v>
      </c>
      <c r="Q52" t="s">
        <v>22</v>
      </c>
    </row>
    <row r="53" spans="1:17" x14ac:dyDescent="0.25">
      <c r="A53">
        <v>1306</v>
      </c>
      <c r="B53">
        <v>52</v>
      </c>
      <c r="C53" t="s">
        <v>23</v>
      </c>
      <c r="D53" t="s">
        <v>17</v>
      </c>
      <c r="E53" t="s">
        <v>18</v>
      </c>
      <c r="F53" t="s">
        <v>19</v>
      </c>
      <c r="G53" t="s">
        <v>20</v>
      </c>
      <c r="H53" t="s">
        <v>21</v>
      </c>
      <c r="I53">
        <v>6</v>
      </c>
      <c r="J53">
        <v>12919</v>
      </c>
      <c r="K53" t="s">
        <v>22</v>
      </c>
      <c r="L53">
        <v>3</v>
      </c>
      <c r="M53">
        <v>2</v>
      </c>
      <c r="N53">
        <v>5</v>
      </c>
      <c r="O53">
        <v>5</v>
      </c>
      <c r="P53">
        <v>24</v>
      </c>
      <c r="Q53" t="s">
        <v>42</v>
      </c>
    </row>
    <row r="54" spans="1:17" x14ac:dyDescent="0.25">
      <c r="A54">
        <v>1416</v>
      </c>
      <c r="B54">
        <v>47</v>
      </c>
      <c r="C54" t="s">
        <v>23</v>
      </c>
      <c r="D54" t="s">
        <v>17</v>
      </c>
      <c r="E54" t="s">
        <v>40</v>
      </c>
      <c r="F54" t="s">
        <v>36</v>
      </c>
      <c r="G54" t="s">
        <v>37</v>
      </c>
      <c r="H54" t="s">
        <v>34</v>
      </c>
      <c r="I54">
        <v>26</v>
      </c>
      <c r="J54">
        <v>10710</v>
      </c>
      <c r="K54" t="s">
        <v>22</v>
      </c>
      <c r="L54">
        <v>2</v>
      </c>
      <c r="M54">
        <v>3</v>
      </c>
      <c r="N54">
        <v>12</v>
      </c>
      <c r="O54">
        <v>5</v>
      </c>
      <c r="P54">
        <v>18</v>
      </c>
      <c r="Q54" t="s">
        <v>22</v>
      </c>
    </row>
    <row r="55" spans="1:17" x14ac:dyDescent="0.25">
      <c r="A55">
        <v>1047</v>
      </c>
      <c r="B55">
        <v>54</v>
      </c>
      <c r="C55" t="s">
        <v>16</v>
      </c>
      <c r="D55" t="s">
        <v>17</v>
      </c>
      <c r="E55" t="s">
        <v>40</v>
      </c>
      <c r="F55" t="s">
        <v>32</v>
      </c>
      <c r="G55" t="s">
        <v>20</v>
      </c>
      <c r="H55" t="s">
        <v>34</v>
      </c>
      <c r="I55">
        <v>27</v>
      </c>
      <c r="J55">
        <v>10668</v>
      </c>
      <c r="K55" t="s">
        <v>22</v>
      </c>
      <c r="L55">
        <v>3</v>
      </c>
      <c r="M55">
        <v>3</v>
      </c>
      <c r="N55">
        <v>6</v>
      </c>
      <c r="O55">
        <v>1</v>
      </c>
      <c r="P55">
        <v>34</v>
      </c>
      <c r="Q55" t="s">
        <v>22</v>
      </c>
    </row>
    <row r="56" spans="1:17" x14ac:dyDescent="0.25">
      <c r="A56">
        <v>1865</v>
      </c>
      <c r="B56">
        <v>42</v>
      </c>
      <c r="C56" t="s">
        <v>16</v>
      </c>
      <c r="D56" t="s">
        <v>17</v>
      </c>
      <c r="E56" t="s">
        <v>35</v>
      </c>
      <c r="F56" t="s">
        <v>41</v>
      </c>
      <c r="G56" t="s">
        <v>20</v>
      </c>
      <c r="H56" t="s">
        <v>30</v>
      </c>
      <c r="I56">
        <v>13</v>
      </c>
      <c r="J56">
        <v>7729</v>
      </c>
      <c r="K56" t="s">
        <v>22</v>
      </c>
      <c r="L56">
        <v>4</v>
      </c>
      <c r="M56">
        <v>1</v>
      </c>
      <c r="N56">
        <v>9</v>
      </c>
      <c r="O56">
        <v>6</v>
      </c>
      <c r="P56">
        <v>20</v>
      </c>
      <c r="Q56" t="s">
        <v>42</v>
      </c>
    </row>
    <row r="57" spans="1:17" x14ac:dyDescent="0.25">
      <c r="A57">
        <v>1877</v>
      </c>
      <c r="B57">
        <v>42</v>
      </c>
      <c r="C57" t="s">
        <v>16</v>
      </c>
      <c r="D57" t="s">
        <v>47</v>
      </c>
      <c r="E57" t="s">
        <v>48</v>
      </c>
      <c r="F57" t="s">
        <v>41</v>
      </c>
      <c r="G57" t="s">
        <v>33</v>
      </c>
      <c r="H57" t="s">
        <v>21</v>
      </c>
      <c r="I57">
        <v>28</v>
      </c>
      <c r="J57">
        <v>10349</v>
      </c>
      <c r="K57" t="s">
        <v>22</v>
      </c>
      <c r="L57">
        <v>1</v>
      </c>
      <c r="M57">
        <v>4</v>
      </c>
      <c r="N57">
        <v>14</v>
      </c>
      <c r="O57">
        <v>1</v>
      </c>
      <c r="P57">
        <v>22</v>
      </c>
      <c r="Q57" t="s">
        <v>22</v>
      </c>
    </row>
    <row r="58" spans="1:17" x14ac:dyDescent="0.25">
      <c r="A58">
        <v>1206</v>
      </c>
      <c r="B58">
        <v>29</v>
      </c>
      <c r="C58" t="s">
        <v>23</v>
      </c>
      <c r="D58" t="s">
        <v>47</v>
      </c>
      <c r="E58" t="s">
        <v>48</v>
      </c>
      <c r="F58" t="s">
        <v>38</v>
      </c>
      <c r="G58" t="s">
        <v>20</v>
      </c>
      <c r="H58" t="s">
        <v>34</v>
      </c>
      <c r="I58">
        <v>13</v>
      </c>
      <c r="J58">
        <v>7577</v>
      </c>
      <c r="K58" t="s">
        <v>22</v>
      </c>
      <c r="L58">
        <v>3</v>
      </c>
      <c r="M58">
        <v>1</v>
      </c>
      <c r="N58">
        <v>3</v>
      </c>
      <c r="O58">
        <v>2</v>
      </c>
      <c r="P58">
        <v>9</v>
      </c>
      <c r="Q58" t="s">
        <v>22</v>
      </c>
    </row>
    <row r="59" spans="1:17" x14ac:dyDescent="0.25">
      <c r="A59">
        <v>1925</v>
      </c>
      <c r="B59">
        <v>59</v>
      </c>
      <c r="C59" t="s">
        <v>16</v>
      </c>
      <c r="D59" t="s">
        <v>51</v>
      </c>
      <c r="E59" t="s">
        <v>45</v>
      </c>
      <c r="F59" t="s">
        <v>29</v>
      </c>
      <c r="G59" t="s">
        <v>37</v>
      </c>
      <c r="H59" t="s">
        <v>30</v>
      </c>
      <c r="I59">
        <v>3</v>
      </c>
      <c r="J59">
        <v>12056</v>
      </c>
      <c r="K59" t="s">
        <v>42</v>
      </c>
      <c r="L59">
        <v>1</v>
      </c>
      <c r="M59">
        <v>1</v>
      </c>
      <c r="N59">
        <v>25</v>
      </c>
      <c r="O59">
        <v>24</v>
      </c>
      <c r="P59">
        <v>30</v>
      </c>
      <c r="Q59" t="s">
        <v>42</v>
      </c>
    </row>
    <row r="60" spans="1:17" x14ac:dyDescent="0.25">
      <c r="A60">
        <v>1769</v>
      </c>
      <c r="B60">
        <v>44</v>
      </c>
      <c r="C60" t="s">
        <v>23</v>
      </c>
      <c r="D60" t="s">
        <v>27</v>
      </c>
      <c r="E60" t="s">
        <v>43</v>
      </c>
      <c r="F60" t="s">
        <v>38</v>
      </c>
      <c r="G60" t="s">
        <v>20</v>
      </c>
      <c r="H60" t="s">
        <v>30</v>
      </c>
      <c r="I60">
        <v>19</v>
      </c>
      <c r="J60">
        <v>9384</v>
      </c>
      <c r="K60" t="s">
        <v>22</v>
      </c>
      <c r="L60">
        <v>1</v>
      </c>
      <c r="M60">
        <v>2</v>
      </c>
      <c r="N60">
        <v>4</v>
      </c>
      <c r="O60">
        <v>3</v>
      </c>
      <c r="P60">
        <v>20</v>
      </c>
      <c r="Q60" t="s">
        <v>22</v>
      </c>
    </row>
    <row r="61" spans="1:17" x14ac:dyDescent="0.25">
      <c r="A61">
        <v>1883</v>
      </c>
      <c r="B61">
        <v>39</v>
      </c>
      <c r="C61" t="s">
        <v>16</v>
      </c>
      <c r="D61" t="s">
        <v>17</v>
      </c>
      <c r="E61" t="s">
        <v>40</v>
      </c>
      <c r="F61" t="s">
        <v>38</v>
      </c>
      <c r="G61" t="s">
        <v>33</v>
      </c>
      <c r="H61" t="s">
        <v>21</v>
      </c>
      <c r="I61">
        <v>29</v>
      </c>
      <c r="J61">
        <v>7950</v>
      </c>
      <c r="K61" t="s">
        <v>22</v>
      </c>
      <c r="L61">
        <v>1</v>
      </c>
      <c r="M61">
        <v>1</v>
      </c>
      <c r="N61">
        <v>4</v>
      </c>
      <c r="O61">
        <v>4</v>
      </c>
      <c r="P61">
        <v>11</v>
      </c>
      <c r="Q61" t="s">
        <v>22</v>
      </c>
    </row>
    <row r="62" spans="1:17" x14ac:dyDescent="0.25">
      <c r="A62">
        <v>1199</v>
      </c>
      <c r="B62">
        <v>39</v>
      </c>
      <c r="C62" t="s">
        <v>23</v>
      </c>
      <c r="D62" t="s">
        <v>27</v>
      </c>
      <c r="E62" t="s">
        <v>31</v>
      </c>
      <c r="F62" t="s">
        <v>19</v>
      </c>
      <c r="G62" t="s">
        <v>37</v>
      </c>
      <c r="H62" t="s">
        <v>30</v>
      </c>
      <c r="I62">
        <v>20</v>
      </c>
      <c r="J62">
        <v>6111</v>
      </c>
      <c r="K62" t="s">
        <v>42</v>
      </c>
      <c r="L62">
        <v>1</v>
      </c>
      <c r="M62">
        <v>4</v>
      </c>
      <c r="N62">
        <v>3</v>
      </c>
      <c r="O62">
        <v>0</v>
      </c>
      <c r="P62">
        <v>12</v>
      </c>
      <c r="Q62" t="s">
        <v>22</v>
      </c>
    </row>
    <row r="63" spans="1:17" x14ac:dyDescent="0.25">
      <c r="A63">
        <v>1242</v>
      </c>
      <c r="B63">
        <v>43</v>
      </c>
      <c r="C63" t="s">
        <v>23</v>
      </c>
      <c r="D63" t="s">
        <v>17</v>
      </c>
      <c r="E63" t="s">
        <v>18</v>
      </c>
      <c r="F63" t="s">
        <v>26</v>
      </c>
      <c r="G63" t="s">
        <v>20</v>
      </c>
      <c r="H63" t="s">
        <v>21</v>
      </c>
      <c r="I63">
        <v>9</v>
      </c>
      <c r="J63">
        <v>10152</v>
      </c>
      <c r="K63" t="s">
        <v>22</v>
      </c>
      <c r="L63">
        <v>4</v>
      </c>
      <c r="M63">
        <v>1</v>
      </c>
      <c r="N63">
        <v>4</v>
      </c>
      <c r="O63">
        <v>2</v>
      </c>
      <c r="P63">
        <v>12</v>
      </c>
      <c r="Q63" t="s">
        <v>22</v>
      </c>
    </row>
    <row r="64" spans="1:17" x14ac:dyDescent="0.25">
      <c r="A64">
        <v>1802</v>
      </c>
      <c r="B64">
        <v>50</v>
      </c>
      <c r="C64" t="s">
        <v>23</v>
      </c>
      <c r="D64" t="s">
        <v>24</v>
      </c>
      <c r="E64" t="s">
        <v>25</v>
      </c>
      <c r="F64" t="s">
        <v>41</v>
      </c>
      <c r="G64" t="s">
        <v>33</v>
      </c>
      <c r="H64" t="s">
        <v>34</v>
      </c>
      <c r="I64">
        <v>14</v>
      </c>
      <c r="J64">
        <v>12379</v>
      </c>
      <c r="K64" t="s">
        <v>42</v>
      </c>
      <c r="L64">
        <v>2</v>
      </c>
      <c r="M64">
        <v>4</v>
      </c>
      <c r="N64">
        <v>14</v>
      </c>
      <c r="O64">
        <v>11</v>
      </c>
      <c r="P64">
        <v>14</v>
      </c>
      <c r="Q64" t="s">
        <v>42</v>
      </c>
    </row>
    <row r="65" spans="1:17" x14ac:dyDescent="0.25">
      <c r="A65">
        <v>1525</v>
      </c>
      <c r="B65">
        <v>47</v>
      </c>
      <c r="C65" t="s">
        <v>23</v>
      </c>
      <c r="D65" t="s">
        <v>17</v>
      </c>
      <c r="E65" t="s">
        <v>18</v>
      </c>
      <c r="F65" t="s">
        <v>41</v>
      </c>
      <c r="G65" t="s">
        <v>37</v>
      </c>
      <c r="H65" t="s">
        <v>30</v>
      </c>
      <c r="I65">
        <v>12</v>
      </c>
      <c r="J65">
        <v>12329</v>
      </c>
      <c r="K65" t="s">
        <v>22</v>
      </c>
      <c r="L65">
        <v>4</v>
      </c>
      <c r="M65">
        <v>2</v>
      </c>
      <c r="N65">
        <v>1</v>
      </c>
      <c r="O65">
        <v>1</v>
      </c>
      <c r="P65">
        <v>23</v>
      </c>
      <c r="Q65" t="s">
        <v>22</v>
      </c>
    </row>
    <row r="66" spans="1:17" x14ac:dyDescent="0.25">
      <c r="A66">
        <v>1249</v>
      </c>
      <c r="B66">
        <v>43</v>
      </c>
      <c r="C66" t="s">
        <v>23</v>
      </c>
      <c r="D66" t="s">
        <v>17</v>
      </c>
      <c r="E66" t="s">
        <v>40</v>
      </c>
      <c r="F66" t="s">
        <v>32</v>
      </c>
      <c r="G66" t="s">
        <v>33</v>
      </c>
      <c r="H66" t="s">
        <v>21</v>
      </c>
      <c r="I66">
        <v>29</v>
      </c>
      <c r="J66">
        <v>8428</v>
      </c>
      <c r="K66" t="s">
        <v>42</v>
      </c>
      <c r="L66">
        <v>1</v>
      </c>
      <c r="M66">
        <v>2</v>
      </c>
      <c r="N66">
        <v>16</v>
      </c>
      <c r="O66">
        <v>6</v>
      </c>
      <c r="P66">
        <v>23</v>
      </c>
      <c r="Q66" t="s">
        <v>42</v>
      </c>
    </row>
    <row r="67" spans="1:17" x14ac:dyDescent="0.25">
      <c r="A67">
        <v>1337</v>
      </c>
      <c r="B67">
        <v>59</v>
      </c>
      <c r="C67" t="s">
        <v>16</v>
      </c>
      <c r="D67" t="s">
        <v>38</v>
      </c>
      <c r="E67" t="s">
        <v>49</v>
      </c>
      <c r="F67" t="s">
        <v>19</v>
      </c>
      <c r="G67" t="s">
        <v>20</v>
      </c>
      <c r="H67" t="s">
        <v>30</v>
      </c>
      <c r="I67">
        <v>5</v>
      </c>
      <c r="J67">
        <v>16831</v>
      </c>
      <c r="K67" t="s">
        <v>22</v>
      </c>
      <c r="L67">
        <v>2</v>
      </c>
      <c r="M67">
        <v>4</v>
      </c>
      <c r="N67">
        <v>21</v>
      </c>
      <c r="O67">
        <v>17</v>
      </c>
      <c r="P67">
        <v>35</v>
      </c>
      <c r="Q67" t="s">
        <v>22</v>
      </c>
    </row>
    <row r="68" spans="1:17" x14ac:dyDescent="0.25">
      <c r="A68">
        <v>1266</v>
      </c>
      <c r="B68">
        <v>41</v>
      </c>
      <c r="C68" t="s">
        <v>23</v>
      </c>
      <c r="D68" t="s">
        <v>24</v>
      </c>
      <c r="E68" t="s">
        <v>52</v>
      </c>
      <c r="F68" t="s">
        <v>41</v>
      </c>
      <c r="G68" t="s">
        <v>33</v>
      </c>
      <c r="H68" t="s">
        <v>30</v>
      </c>
      <c r="I68">
        <v>17</v>
      </c>
      <c r="J68" t="s">
        <v>92</v>
      </c>
      <c r="K68" t="s">
        <v>22</v>
      </c>
      <c r="L68">
        <v>4</v>
      </c>
      <c r="M68">
        <v>4</v>
      </c>
      <c r="N68">
        <v>20</v>
      </c>
      <c r="O68">
        <v>18</v>
      </c>
      <c r="P68">
        <v>21</v>
      </c>
      <c r="Q68" t="s">
        <v>22</v>
      </c>
    </row>
    <row r="69" spans="1:17" x14ac:dyDescent="0.25">
      <c r="A69">
        <v>1891</v>
      </c>
      <c r="B69">
        <v>47</v>
      </c>
      <c r="C69" t="s">
        <v>23</v>
      </c>
      <c r="D69" t="s">
        <v>17</v>
      </c>
      <c r="E69" t="s">
        <v>35</v>
      </c>
      <c r="F69" t="s">
        <v>26</v>
      </c>
      <c r="G69" t="s">
        <v>20</v>
      </c>
      <c r="H69" t="s">
        <v>21</v>
      </c>
      <c r="I69">
        <v>23</v>
      </c>
      <c r="J69">
        <v>4896</v>
      </c>
      <c r="K69" t="s">
        <v>42</v>
      </c>
      <c r="L69">
        <v>4</v>
      </c>
      <c r="M69">
        <v>1</v>
      </c>
      <c r="N69">
        <v>2</v>
      </c>
      <c r="O69">
        <v>0</v>
      </c>
      <c r="P69">
        <v>14</v>
      </c>
      <c r="Q69" t="s">
        <v>42</v>
      </c>
    </row>
    <row r="70" spans="1:17" x14ac:dyDescent="0.25">
      <c r="A70">
        <v>1289</v>
      </c>
      <c r="B70">
        <v>29</v>
      </c>
      <c r="C70" t="s">
        <v>16</v>
      </c>
      <c r="D70" t="s">
        <v>24</v>
      </c>
      <c r="E70" t="s">
        <v>45</v>
      </c>
      <c r="F70" t="s">
        <v>29</v>
      </c>
      <c r="G70" t="s">
        <v>33</v>
      </c>
      <c r="H70" t="s">
        <v>30</v>
      </c>
      <c r="I70">
        <v>3</v>
      </c>
      <c r="J70">
        <v>6703</v>
      </c>
      <c r="K70" t="s">
        <v>22</v>
      </c>
      <c r="L70">
        <v>2</v>
      </c>
      <c r="M70">
        <v>4</v>
      </c>
      <c r="N70">
        <v>2</v>
      </c>
      <c r="O70">
        <v>2</v>
      </c>
      <c r="P70">
        <v>2</v>
      </c>
      <c r="Q70" t="s">
        <v>22</v>
      </c>
    </row>
    <row r="71" spans="1:17" x14ac:dyDescent="0.25">
      <c r="A71">
        <v>1915</v>
      </c>
      <c r="B71">
        <v>45</v>
      </c>
      <c r="C71" t="s">
        <v>16</v>
      </c>
      <c r="D71" t="s">
        <v>27</v>
      </c>
      <c r="E71" t="s">
        <v>43</v>
      </c>
      <c r="G71" t="s">
        <v>20</v>
      </c>
      <c r="H71" t="s">
        <v>34</v>
      </c>
      <c r="I71">
        <v>18</v>
      </c>
      <c r="J71">
        <v>11559</v>
      </c>
      <c r="K71" t="s">
        <v>42</v>
      </c>
      <c r="L71">
        <v>2</v>
      </c>
      <c r="M71">
        <v>4</v>
      </c>
      <c r="N71">
        <v>17</v>
      </c>
      <c r="O71">
        <v>9</v>
      </c>
      <c r="P71">
        <v>22</v>
      </c>
      <c r="Q71" t="s">
        <v>22</v>
      </c>
    </row>
    <row r="72" spans="1:17" x14ac:dyDescent="0.25">
      <c r="A72">
        <v>1342</v>
      </c>
      <c r="B72">
        <v>30</v>
      </c>
      <c r="C72" t="s">
        <v>16</v>
      </c>
      <c r="D72" t="s">
        <v>24</v>
      </c>
      <c r="E72" t="s">
        <v>25</v>
      </c>
      <c r="F72" t="s">
        <v>41</v>
      </c>
      <c r="G72" t="s">
        <v>37</v>
      </c>
      <c r="H72" t="s">
        <v>21</v>
      </c>
      <c r="I72">
        <v>14</v>
      </c>
      <c r="J72" t="s">
        <v>93</v>
      </c>
      <c r="K72" t="s">
        <v>22</v>
      </c>
      <c r="L72">
        <v>3</v>
      </c>
      <c r="M72">
        <v>3</v>
      </c>
      <c r="N72">
        <v>0</v>
      </c>
      <c r="O72">
        <v>0</v>
      </c>
      <c r="P72">
        <v>0</v>
      </c>
      <c r="Q72" t="s">
        <v>22</v>
      </c>
    </row>
    <row r="73" spans="1:17" x14ac:dyDescent="0.25">
      <c r="A73">
        <v>1185</v>
      </c>
      <c r="B73">
        <v>57</v>
      </c>
      <c r="C73" t="s">
        <v>23</v>
      </c>
      <c r="D73" t="s">
        <v>94</v>
      </c>
      <c r="E73" t="s">
        <v>18</v>
      </c>
      <c r="F73" t="s">
        <v>19</v>
      </c>
      <c r="G73" t="s">
        <v>37</v>
      </c>
      <c r="H73" t="s">
        <v>21</v>
      </c>
      <c r="I73">
        <v>26</v>
      </c>
      <c r="J73">
        <v>11339</v>
      </c>
      <c r="K73" t="s">
        <v>22</v>
      </c>
      <c r="L73">
        <v>2</v>
      </c>
      <c r="M73">
        <v>2</v>
      </c>
      <c r="N73">
        <v>19</v>
      </c>
      <c r="O73">
        <v>13</v>
      </c>
      <c r="P73">
        <v>29</v>
      </c>
      <c r="Q73" t="s">
        <v>42</v>
      </c>
    </row>
    <row r="74" spans="1:17" x14ac:dyDescent="0.25">
      <c r="A74">
        <v>1965</v>
      </c>
      <c r="B74">
        <v>30</v>
      </c>
      <c r="C74" t="s">
        <v>23</v>
      </c>
      <c r="D74" t="s">
        <v>47</v>
      </c>
      <c r="E74" t="s">
        <v>53</v>
      </c>
      <c r="F74" t="s">
        <v>32</v>
      </c>
      <c r="G74" t="s">
        <v>20</v>
      </c>
      <c r="H74" t="s">
        <v>30</v>
      </c>
      <c r="I74">
        <v>26</v>
      </c>
      <c r="J74">
        <v>10965</v>
      </c>
      <c r="K74" t="s">
        <v>22</v>
      </c>
      <c r="L74">
        <v>3</v>
      </c>
      <c r="M74">
        <v>3</v>
      </c>
      <c r="N74">
        <v>3</v>
      </c>
      <c r="O74">
        <v>0</v>
      </c>
      <c r="P74">
        <v>3</v>
      </c>
      <c r="Q74" t="s">
        <v>22</v>
      </c>
    </row>
    <row r="75" spans="1:17" x14ac:dyDescent="0.25">
      <c r="A75">
        <v>1516</v>
      </c>
      <c r="B75">
        <v>43</v>
      </c>
      <c r="C75" t="s">
        <v>16</v>
      </c>
      <c r="D75" t="s">
        <v>47</v>
      </c>
      <c r="E75" t="s">
        <v>48</v>
      </c>
      <c r="F75" t="s">
        <v>29</v>
      </c>
      <c r="G75" t="s">
        <v>33</v>
      </c>
      <c r="H75" t="s">
        <v>34</v>
      </c>
      <c r="I75">
        <v>16</v>
      </c>
      <c r="J75">
        <v>9617</v>
      </c>
      <c r="K75" t="s">
        <v>22</v>
      </c>
      <c r="L75">
        <v>1</v>
      </c>
      <c r="M75">
        <v>2</v>
      </c>
      <c r="N75">
        <v>6</v>
      </c>
      <c r="O75">
        <v>3</v>
      </c>
      <c r="P75">
        <v>17</v>
      </c>
      <c r="Q75" t="s">
        <v>95</v>
      </c>
    </row>
    <row r="76" spans="1:17" x14ac:dyDescent="0.25">
      <c r="A76">
        <v>1355</v>
      </c>
      <c r="B76">
        <v>40</v>
      </c>
      <c r="C76" t="s">
        <v>23</v>
      </c>
      <c r="D76" t="s">
        <v>47</v>
      </c>
      <c r="E76" t="s">
        <v>48</v>
      </c>
      <c r="F76" t="s">
        <v>41</v>
      </c>
      <c r="G76" t="s">
        <v>20</v>
      </c>
      <c r="H76" t="s">
        <v>30</v>
      </c>
      <c r="I76">
        <v>17</v>
      </c>
      <c r="J76">
        <v>7701</v>
      </c>
      <c r="K76" t="s">
        <v>42</v>
      </c>
      <c r="L76">
        <v>4</v>
      </c>
      <c r="M76">
        <v>1</v>
      </c>
      <c r="N76">
        <v>1</v>
      </c>
      <c r="O76">
        <v>0</v>
      </c>
      <c r="P76">
        <v>9</v>
      </c>
      <c r="Q76" t="s">
        <v>42</v>
      </c>
    </row>
    <row r="77" spans="1:17" x14ac:dyDescent="0.25">
      <c r="A77">
        <v>1578</v>
      </c>
      <c r="B77">
        <v>52</v>
      </c>
      <c r="C77" t="s">
        <v>16</v>
      </c>
      <c r="D77" t="s">
        <v>17</v>
      </c>
      <c r="E77" t="s">
        <v>40</v>
      </c>
      <c r="F77" t="s">
        <v>38</v>
      </c>
      <c r="G77" t="s">
        <v>37</v>
      </c>
      <c r="H77" t="s">
        <v>21</v>
      </c>
      <c r="I77">
        <v>3</v>
      </c>
      <c r="J77">
        <v>9003</v>
      </c>
      <c r="K77" t="s">
        <v>22</v>
      </c>
      <c r="L77">
        <v>2</v>
      </c>
      <c r="M77">
        <v>1</v>
      </c>
      <c r="N77">
        <v>14</v>
      </c>
      <c r="O77">
        <v>2</v>
      </c>
      <c r="P77">
        <v>28</v>
      </c>
      <c r="Q77" t="s">
        <v>22</v>
      </c>
    </row>
    <row r="78" spans="1:17" x14ac:dyDescent="0.25">
      <c r="A78">
        <v>1830</v>
      </c>
      <c r="B78">
        <v>44</v>
      </c>
      <c r="C78" t="s">
        <v>23</v>
      </c>
      <c r="D78" t="s">
        <v>17</v>
      </c>
      <c r="E78" t="s">
        <v>18</v>
      </c>
      <c r="F78" t="s">
        <v>26</v>
      </c>
      <c r="G78" t="s">
        <v>20</v>
      </c>
      <c r="H78" t="s">
        <v>30</v>
      </c>
      <c r="I78">
        <v>21</v>
      </c>
      <c r="J78">
        <v>11923</v>
      </c>
      <c r="K78" t="s">
        <v>42</v>
      </c>
      <c r="L78">
        <v>3</v>
      </c>
      <c r="M78">
        <v>4</v>
      </c>
      <c r="N78">
        <v>12</v>
      </c>
      <c r="O78">
        <v>6</v>
      </c>
      <c r="P78">
        <v>19</v>
      </c>
      <c r="Q78" t="s">
        <v>42</v>
      </c>
    </row>
    <row r="79" spans="1:17" x14ac:dyDescent="0.25">
      <c r="A79">
        <v>1091</v>
      </c>
      <c r="B79">
        <v>30</v>
      </c>
      <c r="C79" t="s">
        <v>23</v>
      </c>
      <c r="D79" t="s">
        <v>24</v>
      </c>
      <c r="E79" t="s">
        <v>25</v>
      </c>
      <c r="F79" t="s">
        <v>32</v>
      </c>
      <c r="G79" t="s">
        <v>33</v>
      </c>
      <c r="H79" t="s">
        <v>34</v>
      </c>
      <c r="I79">
        <v>27</v>
      </c>
      <c r="J79">
        <v>11815</v>
      </c>
      <c r="K79" t="s">
        <v>22</v>
      </c>
      <c r="L79">
        <v>3</v>
      </c>
      <c r="M79">
        <v>3</v>
      </c>
      <c r="N79">
        <v>8</v>
      </c>
      <c r="O79">
        <v>8</v>
      </c>
      <c r="P79">
        <v>10</v>
      </c>
      <c r="Q79" t="s">
        <v>22</v>
      </c>
    </row>
    <row r="80" spans="1:17" x14ac:dyDescent="0.25">
      <c r="A80">
        <v>1663</v>
      </c>
      <c r="B80">
        <v>42</v>
      </c>
      <c r="C80" t="s">
        <v>16</v>
      </c>
      <c r="D80" t="s">
        <v>38</v>
      </c>
      <c r="E80" t="s">
        <v>49</v>
      </c>
      <c r="F80" t="s">
        <v>32</v>
      </c>
      <c r="G80" t="s">
        <v>20</v>
      </c>
      <c r="H80" t="s">
        <v>34</v>
      </c>
      <c r="I80">
        <v>5</v>
      </c>
      <c r="J80">
        <v>11114</v>
      </c>
      <c r="K80" t="s">
        <v>22</v>
      </c>
      <c r="L80">
        <v>1</v>
      </c>
      <c r="M80">
        <v>1</v>
      </c>
      <c r="N80">
        <v>15</v>
      </c>
      <c r="O80">
        <v>11</v>
      </c>
      <c r="P80">
        <v>20</v>
      </c>
      <c r="Q80" t="s">
        <v>22</v>
      </c>
    </row>
    <row r="81" spans="1:17" x14ac:dyDescent="0.25">
      <c r="A81">
        <v>1221</v>
      </c>
      <c r="B81">
        <v>40</v>
      </c>
      <c r="C81" t="s">
        <v>23</v>
      </c>
      <c r="D81" t="s">
        <v>47</v>
      </c>
      <c r="E81" t="s">
        <v>53</v>
      </c>
      <c r="F81" t="s">
        <v>32</v>
      </c>
      <c r="G81" t="s">
        <v>37</v>
      </c>
      <c r="H81" t="s">
        <v>34</v>
      </c>
      <c r="I81">
        <v>23</v>
      </c>
      <c r="J81">
        <v>16275</v>
      </c>
      <c r="K81" t="s">
        <v>22</v>
      </c>
      <c r="L81">
        <v>2</v>
      </c>
      <c r="M81">
        <v>4</v>
      </c>
      <c r="N81">
        <v>19</v>
      </c>
      <c r="O81">
        <v>11</v>
      </c>
      <c r="P81">
        <v>20</v>
      </c>
      <c r="Q81" t="s">
        <v>22</v>
      </c>
    </row>
    <row r="82" spans="1:17" x14ac:dyDescent="0.25">
      <c r="A82">
        <v>1280</v>
      </c>
      <c r="B82">
        <v>55</v>
      </c>
      <c r="C82" t="s">
        <v>16</v>
      </c>
      <c r="D82" t="s">
        <v>17</v>
      </c>
      <c r="E82" t="s">
        <v>35</v>
      </c>
      <c r="F82" t="s">
        <v>36</v>
      </c>
      <c r="G82" t="s">
        <v>37</v>
      </c>
      <c r="H82" t="s">
        <v>34</v>
      </c>
      <c r="I82">
        <v>1</v>
      </c>
      <c r="J82">
        <v>12613</v>
      </c>
      <c r="K82" t="s">
        <v>22</v>
      </c>
      <c r="L82">
        <v>4</v>
      </c>
      <c r="M82">
        <v>4</v>
      </c>
      <c r="N82">
        <v>8</v>
      </c>
      <c r="O82">
        <v>6</v>
      </c>
      <c r="P82">
        <v>35</v>
      </c>
      <c r="Q82" t="s">
        <v>22</v>
      </c>
    </row>
    <row r="83" spans="1:17" x14ac:dyDescent="0.25">
      <c r="A83">
        <v>1352</v>
      </c>
      <c r="B83">
        <v>59</v>
      </c>
      <c r="C83" t="s">
        <v>16</v>
      </c>
      <c r="D83" t="s">
        <v>27</v>
      </c>
      <c r="E83" t="s">
        <v>43</v>
      </c>
      <c r="F83" t="s">
        <v>38</v>
      </c>
      <c r="G83" t="s">
        <v>37</v>
      </c>
      <c r="H83" t="s">
        <v>34</v>
      </c>
      <c r="I83">
        <v>1</v>
      </c>
      <c r="J83">
        <v>11866</v>
      </c>
      <c r="K83" t="s">
        <v>22</v>
      </c>
      <c r="L83">
        <v>1</v>
      </c>
      <c r="M83">
        <v>3</v>
      </c>
      <c r="N83">
        <v>9</v>
      </c>
      <c r="O83">
        <v>0</v>
      </c>
      <c r="P83">
        <v>39</v>
      </c>
      <c r="Q83" t="s">
        <v>22</v>
      </c>
    </row>
    <row r="84" spans="1:17" x14ac:dyDescent="0.25">
      <c r="A84">
        <v>1868</v>
      </c>
      <c r="B84">
        <v>35</v>
      </c>
      <c r="C84" t="s">
        <v>23</v>
      </c>
      <c r="D84" t="s">
        <v>27</v>
      </c>
      <c r="E84" t="s">
        <v>28</v>
      </c>
      <c r="F84" t="s">
        <v>19</v>
      </c>
      <c r="G84" t="s">
        <v>33</v>
      </c>
      <c r="H84" t="s">
        <v>21</v>
      </c>
      <c r="I84">
        <v>12</v>
      </c>
      <c r="J84">
        <v>13098</v>
      </c>
      <c r="K84" t="s">
        <v>42</v>
      </c>
      <c r="L84">
        <v>1</v>
      </c>
      <c r="M84">
        <v>3</v>
      </c>
      <c r="N84">
        <v>6</v>
      </c>
      <c r="O84">
        <v>0</v>
      </c>
      <c r="P84">
        <v>9</v>
      </c>
      <c r="Q84" t="s">
        <v>22</v>
      </c>
    </row>
    <row r="85" spans="1:17" x14ac:dyDescent="0.25">
      <c r="A85">
        <v>1157</v>
      </c>
      <c r="B85">
        <v>42</v>
      </c>
      <c r="C85" t="s">
        <v>23</v>
      </c>
      <c r="D85" t="s">
        <v>24</v>
      </c>
      <c r="E85" t="s">
        <v>52</v>
      </c>
      <c r="F85" t="s">
        <v>36</v>
      </c>
      <c r="G85" t="s">
        <v>20</v>
      </c>
      <c r="H85" t="s">
        <v>34</v>
      </c>
      <c r="I85">
        <v>22</v>
      </c>
      <c r="J85">
        <v>11333</v>
      </c>
      <c r="K85" t="s">
        <v>22</v>
      </c>
      <c r="L85">
        <v>1</v>
      </c>
      <c r="M85">
        <v>1</v>
      </c>
      <c r="N85">
        <v>15</v>
      </c>
      <c r="O85">
        <v>5</v>
      </c>
      <c r="P85">
        <v>21</v>
      </c>
      <c r="Q85" t="s">
        <v>42</v>
      </c>
    </row>
    <row r="86" spans="1:17" x14ac:dyDescent="0.25">
      <c r="A86">
        <v>1601</v>
      </c>
      <c r="B86">
        <v>48</v>
      </c>
      <c r="C86" t="s">
        <v>23</v>
      </c>
      <c r="D86" t="s">
        <v>17</v>
      </c>
      <c r="E86" t="s">
        <v>40</v>
      </c>
      <c r="F86" t="s">
        <v>38</v>
      </c>
      <c r="G86" t="s">
        <v>37</v>
      </c>
      <c r="H86" t="s">
        <v>34</v>
      </c>
      <c r="I86">
        <v>28</v>
      </c>
      <c r="J86">
        <v>8403</v>
      </c>
      <c r="K86" t="s">
        <v>22</v>
      </c>
      <c r="L86">
        <v>2</v>
      </c>
      <c r="M86">
        <v>3</v>
      </c>
      <c r="N86">
        <v>6</v>
      </c>
      <c r="O86">
        <v>0</v>
      </c>
      <c r="P86">
        <v>20</v>
      </c>
      <c r="Q86" t="s">
        <v>22</v>
      </c>
    </row>
    <row r="87" spans="1:17" x14ac:dyDescent="0.25">
      <c r="A87">
        <v>1958</v>
      </c>
      <c r="B87">
        <v>33</v>
      </c>
      <c r="C87" t="s">
        <v>23</v>
      </c>
      <c r="D87" t="s">
        <v>38</v>
      </c>
      <c r="E87" t="s">
        <v>49</v>
      </c>
      <c r="F87" t="s">
        <v>36</v>
      </c>
      <c r="G87" t="s">
        <v>20</v>
      </c>
      <c r="H87" t="s">
        <v>21</v>
      </c>
      <c r="I87">
        <v>6</v>
      </c>
      <c r="J87">
        <v>9463</v>
      </c>
      <c r="K87" t="s">
        <v>22</v>
      </c>
      <c r="L87">
        <v>1</v>
      </c>
      <c r="M87">
        <v>3</v>
      </c>
      <c r="N87">
        <v>0</v>
      </c>
      <c r="O87">
        <v>0</v>
      </c>
      <c r="P87">
        <v>0</v>
      </c>
      <c r="Q87" t="s">
        <v>42</v>
      </c>
    </row>
    <row r="88" spans="1:17" x14ac:dyDescent="0.25">
      <c r="A88">
        <v>1864</v>
      </c>
      <c r="B88">
        <v>40</v>
      </c>
      <c r="C88" t="s">
        <v>16</v>
      </c>
      <c r="D88" t="s">
        <v>27</v>
      </c>
      <c r="E88" t="s">
        <v>43</v>
      </c>
      <c r="F88" t="s">
        <v>26</v>
      </c>
      <c r="G88" t="s">
        <v>20</v>
      </c>
      <c r="H88" t="s">
        <v>21</v>
      </c>
      <c r="I88">
        <v>16</v>
      </c>
      <c r="J88">
        <v>8639</v>
      </c>
      <c r="K88" t="s">
        <v>22</v>
      </c>
      <c r="L88">
        <v>3</v>
      </c>
      <c r="M88">
        <v>2</v>
      </c>
      <c r="N88">
        <v>20</v>
      </c>
      <c r="O88">
        <v>19</v>
      </c>
      <c r="P88">
        <v>20</v>
      </c>
      <c r="Q88" t="s">
        <v>22</v>
      </c>
    </row>
    <row r="89" spans="1:17" x14ac:dyDescent="0.25">
      <c r="A89">
        <v>1996</v>
      </c>
      <c r="B89">
        <v>47</v>
      </c>
      <c r="C89" t="s">
        <v>16</v>
      </c>
      <c r="D89" t="s">
        <v>27</v>
      </c>
      <c r="E89" t="s">
        <v>31</v>
      </c>
      <c r="F89" t="s">
        <v>36</v>
      </c>
      <c r="G89" t="s">
        <v>20</v>
      </c>
      <c r="H89" t="s">
        <v>21</v>
      </c>
      <c r="I89">
        <v>16</v>
      </c>
      <c r="J89">
        <v>7895</v>
      </c>
      <c r="K89" t="s">
        <v>42</v>
      </c>
      <c r="L89">
        <v>1</v>
      </c>
      <c r="M89">
        <v>4</v>
      </c>
      <c r="N89">
        <v>11</v>
      </c>
      <c r="O89">
        <v>10</v>
      </c>
      <c r="P89">
        <v>20</v>
      </c>
      <c r="Q89" t="s">
        <v>22</v>
      </c>
    </row>
    <row r="90" spans="1:17" x14ac:dyDescent="0.25">
      <c r="A90">
        <v>1348</v>
      </c>
      <c r="B90">
        <v>29</v>
      </c>
      <c r="C90" t="s">
        <v>23</v>
      </c>
      <c r="D90" t="s">
        <v>96</v>
      </c>
      <c r="E90" t="s">
        <v>52</v>
      </c>
      <c r="F90" t="s">
        <v>19</v>
      </c>
      <c r="G90" t="s">
        <v>33</v>
      </c>
      <c r="H90" t="s">
        <v>21</v>
      </c>
      <c r="I90">
        <v>13</v>
      </c>
      <c r="J90">
        <v>7928</v>
      </c>
      <c r="K90" t="s">
        <v>22</v>
      </c>
      <c r="L90">
        <v>2</v>
      </c>
      <c r="M90">
        <v>4</v>
      </c>
      <c r="N90">
        <v>6</v>
      </c>
      <c r="O90">
        <v>3</v>
      </c>
      <c r="P90">
        <v>9</v>
      </c>
      <c r="Q90" t="s">
        <v>22</v>
      </c>
    </row>
    <row r="91" spans="1:17" x14ac:dyDescent="0.25">
      <c r="A91">
        <v>1589</v>
      </c>
      <c r="B91">
        <v>37</v>
      </c>
      <c r="C91" t="s">
        <v>16</v>
      </c>
      <c r="D91" t="s">
        <v>47</v>
      </c>
      <c r="E91" t="s">
        <v>48</v>
      </c>
      <c r="F91" t="s">
        <v>32</v>
      </c>
      <c r="G91" t="s">
        <v>33</v>
      </c>
      <c r="H91" t="s">
        <v>30</v>
      </c>
      <c r="I91">
        <v>24</v>
      </c>
      <c r="J91" t="s">
        <v>97</v>
      </c>
      <c r="K91" t="s">
        <v>42</v>
      </c>
      <c r="L91">
        <v>3</v>
      </c>
      <c r="M91">
        <v>1</v>
      </c>
      <c r="N91">
        <v>0</v>
      </c>
      <c r="O91">
        <v>0</v>
      </c>
      <c r="P91">
        <v>9</v>
      </c>
      <c r="Q91" t="s">
        <v>42</v>
      </c>
    </row>
    <row r="92" spans="1:17" x14ac:dyDescent="0.25">
      <c r="A92">
        <v>1700</v>
      </c>
      <c r="B92">
        <v>24</v>
      </c>
      <c r="C92" t="s">
        <v>23</v>
      </c>
      <c r="D92" t="s">
        <v>17</v>
      </c>
      <c r="E92" t="s">
        <v>18</v>
      </c>
      <c r="F92" t="s">
        <v>38</v>
      </c>
      <c r="G92" t="s">
        <v>37</v>
      </c>
      <c r="H92" t="s">
        <v>34</v>
      </c>
      <c r="I92">
        <v>6</v>
      </c>
      <c r="J92">
        <v>10295</v>
      </c>
      <c r="K92" t="s">
        <v>42</v>
      </c>
      <c r="L92">
        <v>2</v>
      </c>
      <c r="M92">
        <v>3</v>
      </c>
      <c r="N92">
        <v>1</v>
      </c>
      <c r="O92">
        <v>1</v>
      </c>
      <c r="P92">
        <v>1</v>
      </c>
      <c r="Q92" t="s">
        <v>22</v>
      </c>
    </row>
    <row r="93" spans="1:17" x14ac:dyDescent="0.25">
      <c r="A93">
        <v>1780</v>
      </c>
      <c r="B93">
        <v>54</v>
      </c>
      <c r="C93" t="s">
        <v>16</v>
      </c>
      <c r="D93" t="s">
        <v>47</v>
      </c>
      <c r="E93" t="s">
        <v>53</v>
      </c>
      <c r="F93" t="s">
        <v>41</v>
      </c>
      <c r="G93" t="s">
        <v>37</v>
      </c>
      <c r="H93" t="s">
        <v>34</v>
      </c>
      <c r="I93">
        <v>19</v>
      </c>
      <c r="J93">
        <v>14645</v>
      </c>
      <c r="K93" t="s">
        <v>22</v>
      </c>
      <c r="L93">
        <v>2</v>
      </c>
      <c r="M93">
        <v>3</v>
      </c>
      <c r="N93">
        <v>0</v>
      </c>
      <c r="O93">
        <v>0</v>
      </c>
      <c r="P93">
        <v>30</v>
      </c>
      <c r="Q93" t="s">
        <v>22</v>
      </c>
    </row>
    <row r="94" spans="1:17" x14ac:dyDescent="0.25">
      <c r="A94">
        <v>1558</v>
      </c>
      <c r="B94">
        <v>22</v>
      </c>
      <c r="C94" t="s">
        <v>23</v>
      </c>
      <c r="D94" t="s">
        <v>47</v>
      </c>
      <c r="E94" t="s">
        <v>50</v>
      </c>
      <c r="F94" t="s">
        <v>32</v>
      </c>
      <c r="G94" t="s">
        <v>33</v>
      </c>
      <c r="H94" t="s">
        <v>34</v>
      </c>
      <c r="I94">
        <v>18</v>
      </c>
      <c r="J94">
        <v>5935</v>
      </c>
      <c r="K94" t="s">
        <v>22</v>
      </c>
      <c r="L94">
        <v>3</v>
      </c>
      <c r="M94">
        <v>2</v>
      </c>
      <c r="N94">
        <v>1</v>
      </c>
      <c r="O94">
        <v>0</v>
      </c>
      <c r="P94">
        <v>1</v>
      </c>
      <c r="Q94" t="s">
        <v>42</v>
      </c>
    </row>
    <row r="95" spans="1:17" x14ac:dyDescent="0.25">
      <c r="A95">
        <v>1462</v>
      </c>
      <c r="B95">
        <v>24</v>
      </c>
      <c r="C95" t="s">
        <v>23</v>
      </c>
      <c r="D95" t="s">
        <v>17</v>
      </c>
      <c r="E95" t="s">
        <v>40</v>
      </c>
      <c r="F95" t="s">
        <v>26</v>
      </c>
      <c r="G95" t="s">
        <v>33</v>
      </c>
      <c r="H95" t="s">
        <v>30</v>
      </c>
      <c r="I95">
        <v>20</v>
      </c>
      <c r="J95">
        <v>5203</v>
      </c>
      <c r="K95" t="s">
        <v>42</v>
      </c>
      <c r="L95">
        <v>4</v>
      </c>
      <c r="M95">
        <v>3</v>
      </c>
      <c r="N95">
        <v>0</v>
      </c>
      <c r="O95">
        <v>0</v>
      </c>
      <c r="P95">
        <v>0</v>
      </c>
      <c r="Q95" t="s">
        <v>22</v>
      </c>
    </row>
    <row r="96" spans="1:17" x14ac:dyDescent="0.25">
      <c r="A96">
        <v>1341</v>
      </c>
      <c r="B96">
        <v>32</v>
      </c>
      <c r="C96" t="s">
        <v>16</v>
      </c>
      <c r="D96" t="s">
        <v>17</v>
      </c>
      <c r="E96" t="s">
        <v>35</v>
      </c>
      <c r="F96" t="s">
        <v>36</v>
      </c>
      <c r="G96" t="s">
        <v>33</v>
      </c>
      <c r="H96" t="s">
        <v>34</v>
      </c>
      <c r="I96">
        <v>23</v>
      </c>
      <c r="J96">
        <v>8918</v>
      </c>
      <c r="K96" t="s">
        <v>22</v>
      </c>
      <c r="L96">
        <v>1</v>
      </c>
      <c r="M96">
        <v>3</v>
      </c>
      <c r="N96">
        <v>9</v>
      </c>
      <c r="O96">
        <v>2</v>
      </c>
      <c r="P96">
        <v>10</v>
      </c>
      <c r="Q96" t="s">
        <v>22</v>
      </c>
    </row>
    <row r="97" spans="1:17" x14ac:dyDescent="0.25">
      <c r="A97">
        <v>1803</v>
      </c>
      <c r="B97">
        <v>32</v>
      </c>
      <c r="C97" t="s">
        <v>23</v>
      </c>
      <c r="D97" t="s">
        <v>24</v>
      </c>
      <c r="E97" t="s">
        <v>52</v>
      </c>
      <c r="F97" t="s">
        <v>32</v>
      </c>
      <c r="G97" t="s">
        <v>20</v>
      </c>
      <c r="H97" t="s">
        <v>30</v>
      </c>
      <c r="I97">
        <v>21</v>
      </c>
      <c r="J97">
        <v>4867</v>
      </c>
      <c r="K97" t="s">
        <v>42</v>
      </c>
      <c r="L97">
        <v>4</v>
      </c>
      <c r="M97">
        <v>2</v>
      </c>
      <c r="N97">
        <v>2</v>
      </c>
      <c r="O97">
        <v>0</v>
      </c>
      <c r="P97">
        <v>5</v>
      </c>
      <c r="Q97" t="s">
        <v>22</v>
      </c>
    </row>
    <row r="98" spans="1:17" x14ac:dyDescent="0.25">
      <c r="A98">
        <v>1851</v>
      </c>
      <c r="B98">
        <v>24</v>
      </c>
      <c r="C98" t="s">
        <v>87</v>
      </c>
      <c r="D98" t="s">
        <v>94</v>
      </c>
      <c r="E98" t="s">
        <v>35</v>
      </c>
      <c r="F98" t="s">
        <v>41</v>
      </c>
      <c r="G98" t="s">
        <v>37</v>
      </c>
      <c r="H98" t="s">
        <v>21</v>
      </c>
      <c r="I98">
        <v>15</v>
      </c>
      <c r="J98">
        <v>5770</v>
      </c>
      <c r="K98" t="s">
        <v>22</v>
      </c>
      <c r="L98">
        <v>3</v>
      </c>
      <c r="M98">
        <v>3</v>
      </c>
      <c r="N98">
        <v>0</v>
      </c>
      <c r="O98">
        <v>0</v>
      </c>
      <c r="P98">
        <v>0</v>
      </c>
      <c r="Q98" t="s">
        <v>42</v>
      </c>
    </row>
    <row r="99" spans="1:17" x14ac:dyDescent="0.25">
      <c r="A99">
        <v>1133</v>
      </c>
      <c r="B99">
        <v>59</v>
      </c>
      <c r="C99" t="s">
        <v>16</v>
      </c>
      <c r="D99" t="s">
        <v>24</v>
      </c>
      <c r="E99" t="s">
        <v>25</v>
      </c>
      <c r="F99" t="s">
        <v>38</v>
      </c>
      <c r="G99" t="s">
        <v>20</v>
      </c>
      <c r="H99" t="s">
        <v>21</v>
      </c>
      <c r="I99">
        <v>23</v>
      </c>
      <c r="J99" t="s">
        <v>98</v>
      </c>
      <c r="K99" t="s">
        <v>22</v>
      </c>
      <c r="L99">
        <v>2</v>
      </c>
      <c r="M99">
        <v>3</v>
      </c>
      <c r="N99">
        <v>8</v>
      </c>
      <c r="O99">
        <v>8</v>
      </c>
      <c r="P99">
        <v>22</v>
      </c>
      <c r="Q99" t="s">
        <v>22</v>
      </c>
    </row>
    <row r="100" spans="1:17" x14ac:dyDescent="0.25">
      <c r="A100">
        <v>1665</v>
      </c>
      <c r="B100">
        <v>58</v>
      </c>
      <c r="C100" t="s">
        <v>23</v>
      </c>
      <c r="D100" t="s">
        <v>27</v>
      </c>
      <c r="E100" t="s">
        <v>28</v>
      </c>
      <c r="F100" t="s">
        <v>29</v>
      </c>
      <c r="G100" t="s">
        <v>37</v>
      </c>
      <c r="H100" t="s">
        <v>34</v>
      </c>
      <c r="I100">
        <v>18</v>
      </c>
      <c r="J100" t="s">
        <v>99</v>
      </c>
      <c r="K100" t="s">
        <v>22</v>
      </c>
      <c r="L100">
        <v>4</v>
      </c>
      <c r="M100">
        <v>4</v>
      </c>
      <c r="N100">
        <v>25</v>
      </c>
      <c r="O100">
        <v>20</v>
      </c>
      <c r="P100">
        <v>35</v>
      </c>
      <c r="Q100" t="s">
        <v>22</v>
      </c>
    </row>
    <row r="101" spans="1:17" x14ac:dyDescent="0.25">
      <c r="A101">
        <v>1037</v>
      </c>
      <c r="B101">
        <v>51</v>
      </c>
      <c r="C101" t="s">
        <v>16</v>
      </c>
      <c r="D101" t="s">
        <v>100</v>
      </c>
      <c r="E101" t="s">
        <v>43</v>
      </c>
      <c r="F101" t="s">
        <v>32</v>
      </c>
      <c r="G101" t="s">
        <v>37</v>
      </c>
      <c r="H101" t="s">
        <v>30</v>
      </c>
      <c r="I101">
        <v>27</v>
      </c>
      <c r="J101">
        <v>12610</v>
      </c>
      <c r="K101" t="s">
        <v>22</v>
      </c>
      <c r="L101">
        <v>3</v>
      </c>
      <c r="M101">
        <v>4</v>
      </c>
      <c r="N101">
        <v>0</v>
      </c>
      <c r="O101">
        <v>0</v>
      </c>
      <c r="P101">
        <v>28</v>
      </c>
      <c r="Q101" t="s">
        <v>22</v>
      </c>
    </row>
    <row r="102" spans="1:17" x14ac:dyDescent="0.25">
      <c r="A102">
        <v>1729</v>
      </c>
      <c r="B102">
        <v>27</v>
      </c>
      <c r="C102" t="s">
        <v>23</v>
      </c>
      <c r="D102" t="s">
        <v>17</v>
      </c>
      <c r="E102" t="s">
        <v>18</v>
      </c>
      <c r="F102" t="s">
        <v>26</v>
      </c>
      <c r="G102" t="s">
        <v>37</v>
      </c>
      <c r="H102" t="s">
        <v>30</v>
      </c>
      <c r="I102">
        <v>29</v>
      </c>
      <c r="J102">
        <v>10352</v>
      </c>
      <c r="K102" t="s">
        <v>42</v>
      </c>
      <c r="L102">
        <v>1</v>
      </c>
      <c r="M102">
        <v>3</v>
      </c>
      <c r="N102">
        <v>6</v>
      </c>
      <c r="O102">
        <v>2</v>
      </c>
      <c r="P102">
        <v>7</v>
      </c>
      <c r="Q102" t="s">
        <v>42</v>
      </c>
    </row>
    <row r="103" spans="1:17" x14ac:dyDescent="0.25">
      <c r="A103">
        <v>1923</v>
      </c>
      <c r="B103">
        <v>32</v>
      </c>
      <c r="C103" t="s">
        <v>16</v>
      </c>
      <c r="D103" t="s">
        <v>47</v>
      </c>
      <c r="E103" t="s">
        <v>50</v>
      </c>
      <c r="F103" t="s">
        <v>29</v>
      </c>
      <c r="G103" t="s">
        <v>37</v>
      </c>
      <c r="H103" t="s">
        <v>30</v>
      </c>
      <c r="I103">
        <v>11</v>
      </c>
      <c r="J103">
        <v>6947</v>
      </c>
      <c r="K103" t="s">
        <v>22</v>
      </c>
      <c r="L103">
        <v>1</v>
      </c>
      <c r="M103">
        <v>1</v>
      </c>
      <c r="N103">
        <v>0</v>
      </c>
      <c r="O103">
        <v>0</v>
      </c>
      <c r="P103">
        <v>8</v>
      </c>
      <c r="Q103" t="s">
        <v>22</v>
      </c>
    </row>
    <row r="104" spans="1:17" x14ac:dyDescent="0.25">
      <c r="A104">
        <v>1468</v>
      </c>
      <c r="B104">
        <v>37</v>
      </c>
      <c r="C104" t="s">
        <v>16</v>
      </c>
      <c r="D104" t="s">
        <v>24</v>
      </c>
      <c r="E104" t="s">
        <v>45</v>
      </c>
      <c r="F104" t="s">
        <v>36</v>
      </c>
      <c r="G104" t="s">
        <v>37</v>
      </c>
      <c r="H104" t="s">
        <v>30</v>
      </c>
      <c r="I104">
        <v>4</v>
      </c>
      <c r="J104">
        <v>8861</v>
      </c>
      <c r="K104" t="s">
        <v>22</v>
      </c>
      <c r="L104">
        <v>4</v>
      </c>
      <c r="M104">
        <v>4</v>
      </c>
      <c r="N104">
        <v>0</v>
      </c>
      <c r="O104">
        <v>0</v>
      </c>
      <c r="P104">
        <v>17</v>
      </c>
      <c r="Q104" t="s">
        <v>22</v>
      </c>
    </row>
    <row r="105" spans="1:17" x14ac:dyDescent="0.25">
      <c r="A105">
        <v>1370</v>
      </c>
      <c r="B105">
        <v>41</v>
      </c>
      <c r="C105" t="s">
        <v>23</v>
      </c>
      <c r="D105" t="s">
        <v>100</v>
      </c>
      <c r="E105" t="s">
        <v>44</v>
      </c>
      <c r="F105" t="s">
        <v>36</v>
      </c>
      <c r="G105" t="s">
        <v>33</v>
      </c>
      <c r="H105" t="s">
        <v>21</v>
      </c>
      <c r="I105">
        <v>24</v>
      </c>
      <c r="J105">
        <v>9127</v>
      </c>
      <c r="K105" t="s">
        <v>22</v>
      </c>
      <c r="L105">
        <v>3</v>
      </c>
      <c r="M105">
        <v>2</v>
      </c>
      <c r="N105">
        <v>13</v>
      </c>
      <c r="O105">
        <v>2</v>
      </c>
      <c r="P105">
        <v>18</v>
      </c>
      <c r="Q105" t="s">
        <v>22</v>
      </c>
    </row>
    <row r="106" spans="1:17" x14ac:dyDescent="0.25">
      <c r="A106">
        <v>1887</v>
      </c>
      <c r="B106">
        <v>38</v>
      </c>
      <c r="C106" t="s">
        <v>23</v>
      </c>
      <c r="D106" t="s">
        <v>27</v>
      </c>
      <c r="E106" t="s">
        <v>28</v>
      </c>
      <c r="F106" t="s">
        <v>29</v>
      </c>
      <c r="G106" t="s">
        <v>37</v>
      </c>
      <c r="H106" t="s">
        <v>30</v>
      </c>
      <c r="I106">
        <v>15</v>
      </c>
      <c r="J106">
        <v>11869</v>
      </c>
      <c r="K106" t="s">
        <v>22</v>
      </c>
      <c r="L106">
        <v>3</v>
      </c>
      <c r="M106">
        <v>3</v>
      </c>
      <c r="N106">
        <v>7</v>
      </c>
      <c r="O106">
        <v>4</v>
      </c>
      <c r="P106">
        <v>15</v>
      </c>
      <c r="Q106" t="s">
        <v>22</v>
      </c>
    </row>
    <row r="107" spans="1:17" x14ac:dyDescent="0.25">
      <c r="A107">
        <v>1380</v>
      </c>
      <c r="B107">
        <v>33</v>
      </c>
      <c r="C107" t="s">
        <v>23</v>
      </c>
      <c r="D107" t="s">
        <v>27</v>
      </c>
      <c r="E107" t="s">
        <v>43</v>
      </c>
      <c r="F107" t="s">
        <v>19</v>
      </c>
      <c r="G107" t="s">
        <v>20</v>
      </c>
      <c r="H107" t="s">
        <v>34</v>
      </c>
      <c r="I107">
        <v>20</v>
      </c>
      <c r="J107" t="s">
        <v>101</v>
      </c>
      <c r="K107" t="s">
        <v>22</v>
      </c>
      <c r="L107">
        <v>3</v>
      </c>
      <c r="M107">
        <v>1</v>
      </c>
      <c r="N107">
        <v>8</v>
      </c>
      <c r="O107">
        <v>1</v>
      </c>
      <c r="P107">
        <v>8</v>
      </c>
      <c r="Q107" t="s">
        <v>22</v>
      </c>
    </row>
    <row r="108" spans="1:17" x14ac:dyDescent="0.25">
      <c r="A108">
        <v>1132</v>
      </c>
      <c r="B108">
        <v>23</v>
      </c>
      <c r="C108" t="s">
        <v>16</v>
      </c>
      <c r="D108" t="s">
        <v>27</v>
      </c>
      <c r="E108" t="s">
        <v>28</v>
      </c>
      <c r="F108" t="s">
        <v>29</v>
      </c>
      <c r="G108" t="s">
        <v>20</v>
      </c>
      <c r="H108" t="s">
        <v>30</v>
      </c>
      <c r="I108">
        <v>6</v>
      </c>
      <c r="J108">
        <v>7971</v>
      </c>
      <c r="K108" t="s">
        <v>22</v>
      </c>
      <c r="L108">
        <v>4</v>
      </c>
      <c r="M108">
        <v>4</v>
      </c>
      <c r="N108">
        <v>0</v>
      </c>
      <c r="O108">
        <v>0</v>
      </c>
      <c r="P108">
        <v>0</v>
      </c>
      <c r="Q108" t="s">
        <v>22</v>
      </c>
    </row>
    <row r="109" spans="1:17" x14ac:dyDescent="0.25">
      <c r="A109">
        <v>1291</v>
      </c>
      <c r="B109">
        <v>33</v>
      </c>
      <c r="C109" t="s">
        <v>16</v>
      </c>
      <c r="D109" t="s">
        <v>17</v>
      </c>
      <c r="E109" t="s">
        <v>18</v>
      </c>
      <c r="F109" t="s">
        <v>19</v>
      </c>
      <c r="G109" t="s">
        <v>33</v>
      </c>
      <c r="H109" t="s">
        <v>30</v>
      </c>
      <c r="I109">
        <v>2</v>
      </c>
      <c r="J109">
        <v>8422</v>
      </c>
      <c r="K109" t="s">
        <v>22</v>
      </c>
      <c r="M109">
        <v>4</v>
      </c>
      <c r="N109">
        <v>0</v>
      </c>
      <c r="O109">
        <v>0</v>
      </c>
      <c r="P109">
        <v>0</v>
      </c>
      <c r="Q109" t="s">
        <v>22</v>
      </c>
    </row>
    <row r="110" spans="1:17" x14ac:dyDescent="0.25">
      <c r="A110">
        <v>1541</v>
      </c>
      <c r="B110">
        <v>58</v>
      </c>
      <c r="C110" t="s">
        <v>16</v>
      </c>
      <c r="D110" t="s">
        <v>24</v>
      </c>
      <c r="E110" t="s">
        <v>45</v>
      </c>
      <c r="F110" t="s">
        <v>38</v>
      </c>
      <c r="G110" t="s">
        <v>37</v>
      </c>
      <c r="H110" t="s">
        <v>21</v>
      </c>
      <c r="I110">
        <v>14</v>
      </c>
      <c r="J110">
        <v>13372</v>
      </c>
      <c r="K110" t="s">
        <v>22</v>
      </c>
      <c r="L110">
        <v>1</v>
      </c>
      <c r="M110">
        <v>1</v>
      </c>
      <c r="N110">
        <v>4</v>
      </c>
      <c r="O110">
        <v>0</v>
      </c>
      <c r="P110">
        <v>28</v>
      </c>
      <c r="Q110" t="s">
        <v>22</v>
      </c>
    </row>
    <row r="111" spans="1:17" x14ac:dyDescent="0.25">
      <c r="A111">
        <v>1536</v>
      </c>
      <c r="B111">
        <v>27</v>
      </c>
      <c r="C111" t="s">
        <v>23</v>
      </c>
      <c r="D111" t="s">
        <v>27</v>
      </c>
      <c r="E111" t="s">
        <v>28</v>
      </c>
      <c r="F111" t="s">
        <v>36</v>
      </c>
      <c r="G111" t="s">
        <v>20</v>
      </c>
      <c r="H111" t="s">
        <v>30</v>
      </c>
      <c r="I111">
        <v>8</v>
      </c>
      <c r="J111">
        <v>11176</v>
      </c>
      <c r="K111" t="s">
        <v>22</v>
      </c>
      <c r="L111">
        <v>4</v>
      </c>
      <c r="M111">
        <v>1</v>
      </c>
      <c r="N111">
        <v>2</v>
      </c>
      <c r="O111">
        <v>1</v>
      </c>
      <c r="P111">
        <v>2</v>
      </c>
      <c r="Q111" t="s">
        <v>88</v>
      </c>
    </row>
    <row r="112" spans="1:17" x14ac:dyDescent="0.25">
      <c r="A112">
        <v>1051</v>
      </c>
      <c r="B112">
        <v>25</v>
      </c>
      <c r="C112" t="s">
        <v>23</v>
      </c>
      <c r="D112" t="s">
        <v>17</v>
      </c>
      <c r="E112" t="s">
        <v>18</v>
      </c>
      <c r="F112" t="s">
        <v>36</v>
      </c>
      <c r="G112" t="s">
        <v>33</v>
      </c>
      <c r="H112" t="s">
        <v>21</v>
      </c>
      <c r="I112">
        <v>20</v>
      </c>
      <c r="J112">
        <v>9781</v>
      </c>
      <c r="K112" t="s">
        <v>22</v>
      </c>
      <c r="L112">
        <v>1</v>
      </c>
      <c r="M112">
        <v>4</v>
      </c>
      <c r="N112">
        <v>0</v>
      </c>
      <c r="O112">
        <v>0</v>
      </c>
      <c r="P112">
        <v>2</v>
      </c>
      <c r="Q112" t="s">
        <v>42</v>
      </c>
    </row>
    <row r="113" spans="1:17" x14ac:dyDescent="0.25">
      <c r="A113">
        <v>1404</v>
      </c>
      <c r="B113">
        <v>53</v>
      </c>
      <c r="C113" t="s">
        <v>23</v>
      </c>
      <c r="D113" t="s">
        <v>27</v>
      </c>
      <c r="E113" t="s">
        <v>43</v>
      </c>
      <c r="F113" t="s">
        <v>38</v>
      </c>
      <c r="G113" t="s">
        <v>20</v>
      </c>
      <c r="H113" t="s">
        <v>21</v>
      </c>
      <c r="I113">
        <v>4</v>
      </c>
      <c r="J113">
        <v>12428</v>
      </c>
      <c r="K113" t="s">
        <v>42</v>
      </c>
      <c r="L113">
        <v>1</v>
      </c>
      <c r="M113">
        <v>1</v>
      </c>
      <c r="N113">
        <v>5</v>
      </c>
      <c r="O113">
        <v>2</v>
      </c>
      <c r="P113">
        <v>25</v>
      </c>
      <c r="Q113" t="s">
        <v>22</v>
      </c>
    </row>
    <row r="114" spans="1:17" x14ac:dyDescent="0.25">
      <c r="A114">
        <v>1161</v>
      </c>
      <c r="B114">
        <v>22</v>
      </c>
      <c r="C114" t="s">
        <v>87</v>
      </c>
      <c r="D114" t="s">
        <v>27</v>
      </c>
      <c r="E114" t="s">
        <v>31</v>
      </c>
      <c r="F114" t="s">
        <v>26</v>
      </c>
      <c r="G114" t="s">
        <v>20</v>
      </c>
      <c r="H114" t="s">
        <v>30</v>
      </c>
      <c r="I114">
        <v>28</v>
      </c>
      <c r="J114">
        <v>7217</v>
      </c>
      <c r="K114" t="s">
        <v>42</v>
      </c>
      <c r="L114">
        <v>1</v>
      </c>
      <c r="M114">
        <v>2</v>
      </c>
      <c r="N114">
        <v>2</v>
      </c>
      <c r="O114">
        <v>1</v>
      </c>
      <c r="P114">
        <v>2</v>
      </c>
      <c r="Q114" t="s">
        <v>42</v>
      </c>
    </row>
    <row r="115" spans="1:17" x14ac:dyDescent="0.25">
      <c r="A115">
        <v>1463</v>
      </c>
      <c r="B115">
        <v>49</v>
      </c>
      <c r="C115" t="s">
        <v>16</v>
      </c>
      <c r="D115" t="s">
        <v>27</v>
      </c>
      <c r="E115" t="s">
        <v>28</v>
      </c>
      <c r="F115" t="s">
        <v>41</v>
      </c>
      <c r="G115" t="s">
        <v>20</v>
      </c>
      <c r="H115" t="s">
        <v>21</v>
      </c>
      <c r="I115">
        <v>29</v>
      </c>
      <c r="J115">
        <v>16428</v>
      </c>
      <c r="K115" t="s">
        <v>22</v>
      </c>
      <c r="L115">
        <v>1</v>
      </c>
      <c r="M115">
        <v>1</v>
      </c>
      <c r="N115">
        <v>15</v>
      </c>
      <c r="O115">
        <v>8</v>
      </c>
      <c r="P115">
        <v>27</v>
      </c>
      <c r="Q115" t="s">
        <v>22</v>
      </c>
    </row>
    <row r="116" spans="1:17" x14ac:dyDescent="0.25">
      <c r="A116">
        <v>1361</v>
      </c>
      <c r="B116">
        <v>43</v>
      </c>
      <c r="C116" t="s">
        <v>23</v>
      </c>
      <c r="D116" t="s">
        <v>24</v>
      </c>
      <c r="E116" t="s">
        <v>45</v>
      </c>
      <c r="F116" t="s">
        <v>19</v>
      </c>
      <c r="G116" t="s">
        <v>20</v>
      </c>
      <c r="H116" t="s">
        <v>34</v>
      </c>
      <c r="I116">
        <v>25</v>
      </c>
      <c r="J116" t="s">
        <v>102</v>
      </c>
      <c r="K116" t="s">
        <v>42</v>
      </c>
      <c r="L116">
        <v>2</v>
      </c>
      <c r="M116">
        <v>2</v>
      </c>
      <c r="N116">
        <v>15</v>
      </c>
      <c r="O116">
        <v>4</v>
      </c>
      <c r="P116">
        <v>20</v>
      </c>
      <c r="Q116" t="s">
        <v>22</v>
      </c>
    </row>
    <row r="117" spans="1:17" x14ac:dyDescent="0.25">
      <c r="A117">
        <v>1770</v>
      </c>
      <c r="B117">
        <v>58</v>
      </c>
      <c r="C117" t="s">
        <v>16</v>
      </c>
      <c r="D117" t="s">
        <v>27</v>
      </c>
      <c r="E117" t="s">
        <v>31</v>
      </c>
      <c r="F117" t="s">
        <v>26</v>
      </c>
      <c r="G117" t="s">
        <v>20</v>
      </c>
      <c r="H117" t="s">
        <v>34</v>
      </c>
      <c r="I117">
        <v>11</v>
      </c>
      <c r="J117">
        <v>11255</v>
      </c>
      <c r="K117" t="s">
        <v>22</v>
      </c>
      <c r="L117">
        <v>2</v>
      </c>
      <c r="M117">
        <v>3</v>
      </c>
      <c r="N117">
        <v>14</v>
      </c>
      <c r="O117">
        <v>5</v>
      </c>
      <c r="P117">
        <v>27</v>
      </c>
      <c r="Q117" t="s">
        <v>22</v>
      </c>
    </row>
    <row r="118" spans="1:17" x14ac:dyDescent="0.25">
      <c r="A118">
        <v>1639</v>
      </c>
      <c r="B118">
        <v>43</v>
      </c>
      <c r="C118" t="s">
        <v>16</v>
      </c>
      <c r="D118" t="s">
        <v>17</v>
      </c>
      <c r="E118" t="s">
        <v>35</v>
      </c>
      <c r="F118" t="s">
        <v>19</v>
      </c>
      <c r="G118" t="s">
        <v>37</v>
      </c>
      <c r="H118" t="s">
        <v>21</v>
      </c>
      <c r="I118">
        <v>15</v>
      </c>
      <c r="J118">
        <v>9670</v>
      </c>
      <c r="K118" t="s">
        <v>22</v>
      </c>
      <c r="L118">
        <v>1</v>
      </c>
      <c r="M118">
        <v>4</v>
      </c>
      <c r="N118">
        <v>5</v>
      </c>
      <c r="O118">
        <v>4</v>
      </c>
      <c r="P118">
        <v>17</v>
      </c>
      <c r="Q118" t="s">
        <v>42</v>
      </c>
    </row>
    <row r="119" spans="1:17" x14ac:dyDescent="0.25">
      <c r="A119">
        <v>1746</v>
      </c>
      <c r="B119">
        <v>34</v>
      </c>
      <c r="C119" t="s">
        <v>23</v>
      </c>
      <c r="D119" t="s">
        <v>24</v>
      </c>
      <c r="E119" t="s">
        <v>25</v>
      </c>
      <c r="F119" t="s">
        <v>36</v>
      </c>
      <c r="G119" t="s">
        <v>20</v>
      </c>
      <c r="H119" t="s">
        <v>21</v>
      </c>
      <c r="I119">
        <v>26</v>
      </c>
      <c r="J119">
        <v>11693</v>
      </c>
      <c r="K119" t="s">
        <v>42</v>
      </c>
      <c r="L119">
        <v>1</v>
      </c>
      <c r="M119">
        <v>1</v>
      </c>
      <c r="N119">
        <v>8</v>
      </c>
      <c r="O119">
        <v>3</v>
      </c>
      <c r="P119">
        <v>10</v>
      </c>
      <c r="Q119" t="s">
        <v>42</v>
      </c>
    </row>
    <row r="120" spans="1:17" x14ac:dyDescent="0.25">
      <c r="A120">
        <v>1627</v>
      </c>
      <c r="B120">
        <v>54</v>
      </c>
      <c r="C120" t="s">
        <v>16</v>
      </c>
      <c r="D120" t="s">
        <v>27</v>
      </c>
      <c r="E120" t="s">
        <v>43</v>
      </c>
      <c r="F120" t="s">
        <v>41</v>
      </c>
      <c r="G120" t="s">
        <v>20</v>
      </c>
      <c r="H120" t="s">
        <v>34</v>
      </c>
      <c r="I120">
        <v>11</v>
      </c>
      <c r="J120" t="s">
        <v>103</v>
      </c>
      <c r="K120" t="s">
        <v>22</v>
      </c>
      <c r="L120">
        <v>2</v>
      </c>
      <c r="M120">
        <v>4</v>
      </c>
      <c r="N120">
        <v>8</v>
      </c>
      <c r="O120">
        <v>3</v>
      </c>
      <c r="P120">
        <v>32</v>
      </c>
      <c r="Q120" t="s">
        <v>22</v>
      </c>
    </row>
    <row r="121" spans="1:17" x14ac:dyDescent="0.25">
      <c r="A121">
        <v>1806</v>
      </c>
      <c r="B121">
        <v>33</v>
      </c>
      <c r="C121" t="s">
        <v>23</v>
      </c>
      <c r="D121" t="s">
        <v>17</v>
      </c>
      <c r="E121" t="s">
        <v>40</v>
      </c>
      <c r="F121" t="s">
        <v>32</v>
      </c>
      <c r="G121" t="s">
        <v>37</v>
      </c>
      <c r="H121" t="s">
        <v>21</v>
      </c>
      <c r="I121">
        <v>29</v>
      </c>
      <c r="J121">
        <v>8910</v>
      </c>
      <c r="K121" t="s">
        <v>22</v>
      </c>
      <c r="L121">
        <v>4</v>
      </c>
      <c r="M121">
        <v>1</v>
      </c>
      <c r="N121">
        <v>2</v>
      </c>
      <c r="O121">
        <v>0</v>
      </c>
      <c r="P121">
        <v>13</v>
      </c>
      <c r="Q121" t="s">
        <v>22</v>
      </c>
    </row>
    <row r="122" spans="1:17" x14ac:dyDescent="0.25">
      <c r="A122">
        <v>1479</v>
      </c>
      <c r="B122">
        <v>50</v>
      </c>
      <c r="C122" t="s">
        <v>16</v>
      </c>
      <c r="D122" t="s">
        <v>24</v>
      </c>
      <c r="E122" t="s">
        <v>45</v>
      </c>
      <c r="F122" t="s">
        <v>26</v>
      </c>
      <c r="G122" t="s">
        <v>37</v>
      </c>
      <c r="H122" t="s">
        <v>30</v>
      </c>
      <c r="I122">
        <v>29</v>
      </c>
      <c r="J122">
        <v>5917</v>
      </c>
      <c r="K122" t="s">
        <v>42</v>
      </c>
      <c r="L122">
        <v>3</v>
      </c>
      <c r="M122">
        <v>3</v>
      </c>
      <c r="N122">
        <v>4</v>
      </c>
      <c r="O122">
        <v>2</v>
      </c>
      <c r="P122">
        <v>20</v>
      </c>
      <c r="Q122" t="s">
        <v>22</v>
      </c>
    </row>
    <row r="123" spans="1:17" x14ac:dyDescent="0.25">
      <c r="A123">
        <v>1318</v>
      </c>
      <c r="B123">
        <v>36</v>
      </c>
      <c r="C123" t="s">
        <v>23</v>
      </c>
      <c r="D123" t="s">
        <v>104</v>
      </c>
      <c r="E123" t="s">
        <v>25</v>
      </c>
      <c r="F123" t="s">
        <v>32</v>
      </c>
      <c r="G123" t="s">
        <v>37</v>
      </c>
      <c r="H123" t="s">
        <v>30</v>
      </c>
      <c r="I123">
        <v>22</v>
      </c>
      <c r="J123">
        <v>11735</v>
      </c>
      <c r="K123" t="s">
        <v>22</v>
      </c>
      <c r="L123">
        <v>4</v>
      </c>
      <c r="M123">
        <v>1</v>
      </c>
      <c r="N123">
        <v>4</v>
      </c>
      <c r="O123">
        <v>2</v>
      </c>
      <c r="P123">
        <v>7</v>
      </c>
      <c r="Q123" t="s">
        <v>22</v>
      </c>
    </row>
    <row r="124" spans="1:17" x14ac:dyDescent="0.25">
      <c r="A124">
        <v>1302</v>
      </c>
      <c r="B124">
        <v>33</v>
      </c>
      <c r="C124" t="s">
        <v>16</v>
      </c>
      <c r="D124" t="s">
        <v>47</v>
      </c>
      <c r="E124" t="s">
        <v>50</v>
      </c>
      <c r="F124" t="s">
        <v>38</v>
      </c>
      <c r="G124" t="s">
        <v>20</v>
      </c>
      <c r="H124" t="s">
        <v>30</v>
      </c>
      <c r="I124">
        <v>19</v>
      </c>
      <c r="J124">
        <v>7350</v>
      </c>
      <c r="K124" t="s">
        <v>22</v>
      </c>
      <c r="L124">
        <v>4</v>
      </c>
      <c r="M124">
        <v>3</v>
      </c>
      <c r="N124">
        <v>1</v>
      </c>
      <c r="O124">
        <v>0</v>
      </c>
      <c r="P124">
        <v>1</v>
      </c>
      <c r="Q124" t="s">
        <v>22</v>
      </c>
    </row>
    <row r="125" spans="1:17" x14ac:dyDescent="0.25">
      <c r="A125">
        <v>1315</v>
      </c>
      <c r="B125">
        <v>43</v>
      </c>
      <c r="C125" t="s">
        <v>16</v>
      </c>
      <c r="D125" t="s">
        <v>24</v>
      </c>
      <c r="E125" t="s">
        <v>25</v>
      </c>
      <c r="F125" t="s">
        <v>29</v>
      </c>
      <c r="G125" t="s">
        <v>37</v>
      </c>
      <c r="H125" t="s">
        <v>34</v>
      </c>
      <c r="I125">
        <v>6</v>
      </c>
      <c r="J125">
        <v>14225</v>
      </c>
      <c r="K125" t="s">
        <v>42</v>
      </c>
      <c r="L125">
        <v>3</v>
      </c>
      <c r="M125">
        <v>4</v>
      </c>
      <c r="N125">
        <v>13</v>
      </c>
      <c r="O125">
        <v>11</v>
      </c>
      <c r="P125">
        <v>21</v>
      </c>
      <c r="Q125" t="s">
        <v>22</v>
      </c>
    </row>
    <row r="126" spans="1:17" x14ac:dyDescent="0.25">
      <c r="A126">
        <v>1667</v>
      </c>
      <c r="B126">
        <v>42</v>
      </c>
      <c r="C126" t="s">
        <v>105</v>
      </c>
      <c r="D126" t="s">
        <v>47</v>
      </c>
      <c r="E126" t="s">
        <v>48</v>
      </c>
      <c r="F126" t="s">
        <v>38</v>
      </c>
      <c r="G126" t="s">
        <v>33</v>
      </c>
      <c r="H126" t="s">
        <v>34</v>
      </c>
      <c r="I126">
        <v>27</v>
      </c>
      <c r="J126">
        <v>9969</v>
      </c>
      <c r="K126" t="s">
        <v>42</v>
      </c>
      <c r="L126">
        <v>2</v>
      </c>
      <c r="M126">
        <v>4</v>
      </c>
      <c r="N126">
        <v>2</v>
      </c>
      <c r="O126">
        <v>1</v>
      </c>
      <c r="P126">
        <v>11</v>
      </c>
      <c r="Q126" t="s">
        <v>42</v>
      </c>
    </row>
    <row r="127" spans="1:17" x14ac:dyDescent="0.25">
      <c r="A127">
        <v>1145</v>
      </c>
      <c r="B127">
        <v>33</v>
      </c>
      <c r="C127" t="s">
        <v>23</v>
      </c>
      <c r="D127" t="s">
        <v>17</v>
      </c>
      <c r="E127" t="s">
        <v>40</v>
      </c>
      <c r="F127" t="s">
        <v>41</v>
      </c>
      <c r="G127" t="s">
        <v>33</v>
      </c>
      <c r="H127" t="s">
        <v>34</v>
      </c>
      <c r="I127">
        <v>16</v>
      </c>
      <c r="J127">
        <v>6258</v>
      </c>
      <c r="K127" t="s">
        <v>22</v>
      </c>
      <c r="L127">
        <v>1</v>
      </c>
      <c r="M127">
        <v>1</v>
      </c>
      <c r="N127">
        <v>5</v>
      </c>
      <c r="O127">
        <v>5</v>
      </c>
      <c r="P127">
        <v>7</v>
      </c>
      <c r="Q127" t="s">
        <v>42</v>
      </c>
    </row>
    <row r="128" spans="1:17" x14ac:dyDescent="0.25">
      <c r="A128">
        <v>1217</v>
      </c>
      <c r="B128">
        <v>37</v>
      </c>
      <c r="C128" t="s">
        <v>23</v>
      </c>
      <c r="D128" t="s">
        <v>17</v>
      </c>
      <c r="E128" t="s">
        <v>40</v>
      </c>
      <c r="F128" t="s">
        <v>32</v>
      </c>
      <c r="G128" t="s">
        <v>37</v>
      </c>
      <c r="H128" t="s">
        <v>21</v>
      </c>
      <c r="I128">
        <v>28</v>
      </c>
      <c r="J128">
        <v>5399</v>
      </c>
      <c r="K128" t="s">
        <v>22</v>
      </c>
      <c r="L128">
        <v>4</v>
      </c>
      <c r="M128">
        <v>3</v>
      </c>
      <c r="N128">
        <v>0</v>
      </c>
      <c r="O128">
        <v>0</v>
      </c>
      <c r="P128">
        <v>4</v>
      </c>
      <c r="Q128" t="s">
        <v>42</v>
      </c>
    </row>
    <row r="129" spans="1:17" x14ac:dyDescent="0.25">
      <c r="A129">
        <v>1740</v>
      </c>
      <c r="B129">
        <v>49</v>
      </c>
      <c r="C129" t="s">
        <v>23</v>
      </c>
      <c r="D129" t="s">
        <v>94</v>
      </c>
      <c r="E129" t="s">
        <v>35</v>
      </c>
      <c r="F129" t="s">
        <v>41</v>
      </c>
      <c r="G129" t="s">
        <v>37</v>
      </c>
      <c r="H129" t="s">
        <v>21</v>
      </c>
      <c r="I129">
        <v>12</v>
      </c>
      <c r="J129">
        <v>11192</v>
      </c>
      <c r="K129" t="s">
        <v>22</v>
      </c>
      <c r="L129">
        <v>4</v>
      </c>
      <c r="M129">
        <v>1</v>
      </c>
      <c r="N129">
        <v>18</v>
      </c>
      <c r="O129">
        <v>9</v>
      </c>
      <c r="P129">
        <v>28</v>
      </c>
      <c r="Q129" t="s">
        <v>22</v>
      </c>
    </row>
    <row r="130" spans="1:17" x14ac:dyDescent="0.25">
      <c r="A130">
        <v>1991</v>
      </c>
      <c r="B130">
        <v>52</v>
      </c>
      <c r="C130" t="s">
        <v>16</v>
      </c>
      <c r="D130" t="s">
        <v>27</v>
      </c>
      <c r="E130" t="s">
        <v>31</v>
      </c>
      <c r="F130" t="s">
        <v>36</v>
      </c>
      <c r="G130" t="s">
        <v>20</v>
      </c>
      <c r="H130" t="s">
        <v>30</v>
      </c>
      <c r="I130">
        <v>26</v>
      </c>
      <c r="J130">
        <v>9597</v>
      </c>
      <c r="K130" t="s">
        <v>22</v>
      </c>
      <c r="L130">
        <v>2</v>
      </c>
      <c r="M130">
        <v>2</v>
      </c>
      <c r="N130">
        <v>18</v>
      </c>
      <c r="O130">
        <v>0</v>
      </c>
      <c r="P130">
        <v>22</v>
      </c>
      <c r="Q130" t="s">
        <v>22</v>
      </c>
    </row>
    <row r="131" spans="1:17" x14ac:dyDescent="0.25">
      <c r="A131">
        <v>1638</v>
      </c>
      <c r="B131">
        <v>45</v>
      </c>
      <c r="C131" t="s">
        <v>23</v>
      </c>
      <c r="D131" t="s">
        <v>96</v>
      </c>
      <c r="E131" t="s">
        <v>52</v>
      </c>
      <c r="F131" t="s">
        <v>26</v>
      </c>
      <c r="G131" t="s">
        <v>37</v>
      </c>
      <c r="H131" t="s">
        <v>21</v>
      </c>
      <c r="I131">
        <v>16</v>
      </c>
      <c r="J131">
        <v>9532</v>
      </c>
      <c r="K131" t="s">
        <v>42</v>
      </c>
      <c r="L131">
        <v>2</v>
      </c>
      <c r="M131">
        <v>4</v>
      </c>
      <c r="N131">
        <v>15</v>
      </c>
      <c r="O131">
        <v>6</v>
      </c>
      <c r="P131">
        <v>19</v>
      </c>
      <c r="Q131" t="s">
        <v>42</v>
      </c>
    </row>
    <row r="132" spans="1:17" x14ac:dyDescent="0.25">
      <c r="A132">
        <v>1934</v>
      </c>
      <c r="B132">
        <v>33</v>
      </c>
      <c r="C132" t="s">
        <v>23</v>
      </c>
      <c r="D132" t="s">
        <v>27</v>
      </c>
      <c r="E132" t="s">
        <v>43</v>
      </c>
      <c r="F132" t="s">
        <v>38</v>
      </c>
      <c r="G132" t="s">
        <v>33</v>
      </c>
      <c r="H132" t="s">
        <v>21</v>
      </c>
      <c r="I132">
        <v>12</v>
      </c>
      <c r="J132">
        <v>7126</v>
      </c>
      <c r="K132" t="s">
        <v>22</v>
      </c>
      <c r="L132">
        <v>3</v>
      </c>
      <c r="M132">
        <v>3</v>
      </c>
      <c r="N132">
        <v>0</v>
      </c>
      <c r="O132">
        <v>0</v>
      </c>
      <c r="P132">
        <v>8</v>
      </c>
      <c r="Q132" t="s">
        <v>22</v>
      </c>
    </row>
    <row r="133" spans="1:17" x14ac:dyDescent="0.25">
      <c r="A133">
        <v>1708</v>
      </c>
      <c r="B133">
        <v>46</v>
      </c>
      <c r="C133" t="s">
        <v>16</v>
      </c>
      <c r="D133" t="s">
        <v>17</v>
      </c>
      <c r="E133" t="s">
        <v>35</v>
      </c>
      <c r="F133" t="s">
        <v>29</v>
      </c>
      <c r="G133" t="s">
        <v>33</v>
      </c>
      <c r="H133" t="s">
        <v>21</v>
      </c>
      <c r="I133">
        <v>21</v>
      </c>
      <c r="J133">
        <v>10927</v>
      </c>
      <c r="K133" t="s">
        <v>22</v>
      </c>
      <c r="L133">
        <v>2</v>
      </c>
      <c r="M133">
        <v>1</v>
      </c>
      <c r="N133">
        <v>19</v>
      </c>
      <c r="O133">
        <v>10</v>
      </c>
      <c r="P133">
        <v>26</v>
      </c>
      <c r="Q133" t="s">
        <v>22</v>
      </c>
    </row>
    <row r="134" spans="1:17" x14ac:dyDescent="0.25">
      <c r="A134">
        <v>1910</v>
      </c>
      <c r="B134">
        <v>29</v>
      </c>
      <c r="C134" t="s">
        <v>16</v>
      </c>
      <c r="D134" t="s">
        <v>24</v>
      </c>
      <c r="E134" t="s">
        <v>52</v>
      </c>
      <c r="F134" t="s">
        <v>32</v>
      </c>
      <c r="G134" t="s">
        <v>37</v>
      </c>
      <c r="H134" t="s">
        <v>30</v>
      </c>
      <c r="I134">
        <v>19</v>
      </c>
      <c r="J134">
        <v>7121</v>
      </c>
      <c r="K134" t="s">
        <v>22</v>
      </c>
      <c r="L134">
        <v>4</v>
      </c>
      <c r="M134">
        <v>4</v>
      </c>
      <c r="N134">
        <v>0</v>
      </c>
      <c r="O134">
        <v>0</v>
      </c>
      <c r="P134">
        <v>8</v>
      </c>
      <c r="Q134" t="s">
        <v>42</v>
      </c>
    </row>
    <row r="135" spans="1:17" x14ac:dyDescent="0.25">
      <c r="A135">
        <v>1046</v>
      </c>
      <c r="B135">
        <v>35</v>
      </c>
      <c r="C135" t="s">
        <v>105</v>
      </c>
      <c r="D135" t="s">
        <v>17</v>
      </c>
      <c r="E135" t="s">
        <v>35</v>
      </c>
      <c r="F135" t="s">
        <v>32</v>
      </c>
      <c r="G135" t="s">
        <v>33</v>
      </c>
      <c r="H135" t="s">
        <v>30</v>
      </c>
      <c r="I135">
        <v>9</v>
      </c>
      <c r="J135">
        <v>8373</v>
      </c>
      <c r="K135" t="s">
        <v>22</v>
      </c>
      <c r="L135">
        <v>3</v>
      </c>
      <c r="M135">
        <v>3</v>
      </c>
      <c r="N135">
        <v>7</v>
      </c>
      <c r="O135">
        <v>5</v>
      </c>
      <c r="P135">
        <v>8</v>
      </c>
      <c r="Q135" t="s">
        <v>22</v>
      </c>
    </row>
    <row r="136" spans="1:17" x14ac:dyDescent="0.25">
      <c r="A136">
        <v>1528</v>
      </c>
      <c r="B136">
        <v>43</v>
      </c>
      <c r="C136" t="s">
        <v>16</v>
      </c>
      <c r="D136" t="s">
        <v>17</v>
      </c>
      <c r="E136" t="s">
        <v>35</v>
      </c>
      <c r="F136" t="s">
        <v>38</v>
      </c>
      <c r="G136" t="s">
        <v>20</v>
      </c>
      <c r="H136" t="s">
        <v>34</v>
      </c>
      <c r="I136">
        <v>7</v>
      </c>
      <c r="J136">
        <v>9785</v>
      </c>
      <c r="K136" t="s">
        <v>22</v>
      </c>
      <c r="L136">
        <v>1</v>
      </c>
      <c r="M136">
        <v>3</v>
      </c>
      <c r="N136">
        <v>4</v>
      </c>
      <c r="O136">
        <v>1</v>
      </c>
      <c r="P136">
        <v>17</v>
      </c>
      <c r="Q136" t="s">
        <v>42</v>
      </c>
    </row>
    <row r="137" spans="1:17" x14ac:dyDescent="0.25">
      <c r="A137">
        <v>1408</v>
      </c>
      <c r="B137">
        <v>26</v>
      </c>
      <c r="C137" t="s">
        <v>16</v>
      </c>
      <c r="D137" t="s">
        <v>17</v>
      </c>
      <c r="E137" t="s">
        <v>35</v>
      </c>
      <c r="F137" t="s">
        <v>19</v>
      </c>
      <c r="G137" t="s">
        <v>20</v>
      </c>
      <c r="H137" t="s">
        <v>34</v>
      </c>
      <c r="I137">
        <v>3</v>
      </c>
      <c r="J137">
        <v>8162</v>
      </c>
      <c r="K137" t="s">
        <v>42</v>
      </c>
      <c r="L137">
        <v>3</v>
      </c>
      <c r="M137">
        <v>1</v>
      </c>
      <c r="N137">
        <v>1</v>
      </c>
      <c r="O137">
        <v>0</v>
      </c>
      <c r="P137">
        <v>6</v>
      </c>
      <c r="Q137" t="s">
        <v>22</v>
      </c>
    </row>
    <row r="138" spans="1:17" x14ac:dyDescent="0.25">
      <c r="A138">
        <v>1587</v>
      </c>
      <c r="B138">
        <v>58</v>
      </c>
      <c r="C138" t="s">
        <v>23</v>
      </c>
      <c r="D138" t="s">
        <v>17</v>
      </c>
      <c r="E138" t="s">
        <v>40</v>
      </c>
      <c r="F138" t="s">
        <v>32</v>
      </c>
      <c r="G138" t="s">
        <v>37</v>
      </c>
      <c r="H138" t="s">
        <v>21</v>
      </c>
      <c r="I138">
        <v>29</v>
      </c>
      <c r="J138">
        <v>11238</v>
      </c>
      <c r="K138" t="s">
        <v>22</v>
      </c>
      <c r="L138">
        <v>2</v>
      </c>
      <c r="M138">
        <v>1</v>
      </c>
      <c r="N138">
        <v>16</v>
      </c>
      <c r="O138">
        <v>7</v>
      </c>
      <c r="P138">
        <v>38</v>
      </c>
      <c r="Q138" t="s">
        <v>42</v>
      </c>
    </row>
    <row r="139" spans="1:17" x14ac:dyDescent="0.25">
      <c r="A139">
        <v>1543</v>
      </c>
      <c r="B139">
        <v>27</v>
      </c>
      <c r="C139" t="s">
        <v>16</v>
      </c>
      <c r="D139" t="s">
        <v>27</v>
      </c>
      <c r="E139" t="s">
        <v>31</v>
      </c>
      <c r="F139" t="s">
        <v>38</v>
      </c>
      <c r="G139" t="s">
        <v>20</v>
      </c>
      <c r="H139" t="s">
        <v>34</v>
      </c>
      <c r="I139">
        <v>25</v>
      </c>
      <c r="J139">
        <v>6862</v>
      </c>
      <c r="K139" t="s">
        <v>22</v>
      </c>
      <c r="L139">
        <v>1</v>
      </c>
      <c r="M139">
        <v>2</v>
      </c>
      <c r="N139">
        <v>0</v>
      </c>
      <c r="O139">
        <v>0</v>
      </c>
      <c r="P139">
        <v>0</v>
      </c>
      <c r="Q139" t="s">
        <v>42</v>
      </c>
    </row>
    <row r="140" spans="1:17" x14ac:dyDescent="0.25">
      <c r="A140">
        <v>1602</v>
      </c>
      <c r="B140">
        <v>25</v>
      </c>
      <c r="C140" t="s">
        <v>16</v>
      </c>
      <c r="D140" t="s">
        <v>47</v>
      </c>
      <c r="E140" t="s">
        <v>48</v>
      </c>
      <c r="F140" t="s">
        <v>38</v>
      </c>
      <c r="G140" t="s">
        <v>33</v>
      </c>
      <c r="H140" t="s">
        <v>34</v>
      </c>
      <c r="I140">
        <v>8</v>
      </c>
      <c r="J140">
        <v>7213</v>
      </c>
      <c r="K140" t="s">
        <v>42</v>
      </c>
      <c r="L140">
        <v>1</v>
      </c>
      <c r="M140">
        <v>3</v>
      </c>
      <c r="N140">
        <v>0</v>
      </c>
      <c r="O140">
        <v>0</v>
      </c>
      <c r="P140">
        <v>0</v>
      </c>
      <c r="Q140" t="s">
        <v>106</v>
      </c>
    </row>
    <row r="141" spans="1:17" x14ac:dyDescent="0.25">
      <c r="A141">
        <v>1127</v>
      </c>
      <c r="B141">
        <v>55</v>
      </c>
      <c r="C141" t="s">
        <v>23</v>
      </c>
      <c r="D141" t="s">
        <v>24</v>
      </c>
      <c r="E141" t="s">
        <v>45</v>
      </c>
      <c r="F141" t="s">
        <v>29</v>
      </c>
      <c r="G141" t="s">
        <v>20</v>
      </c>
      <c r="H141" t="s">
        <v>34</v>
      </c>
      <c r="I141">
        <v>26</v>
      </c>
      <c r="J141">
        <v>14775</v>
      </c>
      <c r="K141" t="s">
        <v>22</v>
      </c>
      <c r="L141">
        <v>2</v>
      </c>
      <c r="M141">
        <v>1</v>
      </c>
      <c r="N141">
        <v>21</v>
      </c>
      <c r="O141">
        <v>19</v>
      </c>
      <c r="P141">
        <v>28</v>
      </c>
      <c r="Q141" t="s">
        <v>22</v>
      </c>
    </row>
    <row r="142" spans="1:17" x14ac:dyDescent="0.25">
      <c r="A142">
        <v>1937</v>
      </c>
      <c r="B142">
        <v>44</v>
      </c>
      <c r="C142" t="s">
        <v>23</v>
      </c>
      <c r="D142" t="s">
        <v>24</v>
      </c>
      <c r="E142" t="s">
        <v>46</v>
      </c>
      <c r="F142" t="s">
        <v>38</v>
      </c>
      <c r="G142" t="s">
        <v>37</v>
      </c>
      <c r="H142" t="s">
        <v>21</v>
      </c>
      <c r="I142">
        <v>21</v>
      </c>
      <c r="J142">
        <v>8498</v>
      </c>
      <c r="K142" t="s">
        <v>22</v>
      </c>
      <c r="L142">
        <v>1</v>
      </c>
      <c r="M142">
        <v>4</v>
      </c>
      <c r="N142">
        <v>7</v>
      </c>
      <c r="O142">
        <v>0</v>
      </c>
      <c r="P142">
        <v>20</v>
      </c>
      <c r="Q142" t="s">
        <v>22</v>
      </c>
    </row>
    <row r="143" spans="1:17" x14ac:dyDescent="0.25">
      <c r="A143">
        <v>1392</v>
      </c>
      <c r="B143">
        <v>27</v>
      </c>
      <c r="C143" t="s">
        <v>16</v>
      </c>
      <c r="D143" t="s">
        <v>27</v>
      </c>
      <c r="E143" t="s">
        <v>44</v>
      </c>
      <c r="F143" t="s">
        <v>38</v>
      </c>
      <c r="G143" t="s">
        <v>33</v>
      </c>
      <c r="H143" t="s">
        <v>21</v>
      </c>
      <c r="I143">
        <v>14</v>
      </c>
      <c r="J143">
        <v>5212</v>
      </c>
      <c r="K143" t="s">
        <v>22</v>
      </c>
      <c r="L143">
        <v>3</v>
      </c>
      <c r="M143">
        <v>4</v>
      </c>
      <c r="N143">
        <v>3</v>
      </c>
      <c r="O143">
        <v>3</v>
      </c>
      <c r="P143">
        <v>7</v>
      </c>
      <c r="Q143" t="s">
        <v>22</v>
      </c>
    </row>
    <row r="144" spans="1:17" x14ac:dyDescent="0.25">
      <c r="A144">
        <v>1039</v>
      </c>
      <c r="B144">
        <v>37</v>
      </c>
      <c r="C144" t="s">
        <v>16</v>
      </c>
      <c r="D144" t="s">
        <v>27</v>
      </c>
      <c r="E144" t="s">
        <v>28</v>
      </c>
      <c r="F144" t="s">
        <v>36</v>
      </c>
      <c r="G144" t="s">
        <v>37</v>
      </c>
      <c r="H144" t="s">
        <v>34</v>
      </c>
      <c r="I144">
        <v>12</v>
      </c>
      <c r="J144">
        <v>9296</v>
      </c>
      <c r="K144" t="s">
        <v>22</v>
      </c>
      <c r="L144">
        <v>1</v>
      </c>
      <c r="M144">
        <v>1</v>
      </c>
      <c r="N144">
        <v>4</v>
      </c>
      <c r="O144">
        <v>0</v>
      </c>
      <c r="P144">
        <v>13</v>
      </c>
      <c r="Q144" t="s">
        <v>42</v>
      </c>
    </row>
    <row r="145" spans="1:17" x14ac:dyDescent="0.25">
      <c r="A145">
        <v>1003</v>
      </c>
      <c r="B145">
        <v>42</v>
      </c>
      <c r="C145" t="s">
        <v>16</v>
      </c>
      <c r="D145" t="s">
        <v>24</v>
      </c>
      <c r="E145" t="s">
        <v>25</v>
      </c>
      <c r="F145" t="s">
        <v>19</v>
      </c>
      <c r="G145" t="s">
        <v>37</v>
      </c>
      <c r="H145" t="s">
        <v>34</v>
      </c>
      <c r="I145">
        <v>20</v>
      </c>
      <c r="J145">
        <v>9359</v>
      </c>
      <c r="K145" t="s">
        <v>22</v>
      </c>
      <c r="L145">
        <v>1</v>
      </c>
      <c r="M145">
        <v>3</v>
      </c>
      <c r="N145">
        <v>7</v>
      </c>
      <c r="O145">
        <v>1</v>
      </c>
      <c r="P145">
        <v>10</v>
      </c>
      <c r="Q145" t="s">
        <v>22</v>
      </c>
    </row>
    <row r="146" spans="1:17" x14ac:dyDescent="0.25">
      <c r="A146">
        <v>1992</v>
      </c>
      <c r="B146">
        <v>55</v>
      </c>
      <c r="C146" t="s">
        <v>16</v>
      </c>
      <c r="D146" t="s">
        <v>27</v>
      </c>
      <c r="E146" t="s">
        <v>44</v>
      </c>
      <c r="F146" t="s">
        <v>26</v>
      </c>
      <c r="G146" t="s">
        <v>37</v>
      </c>
      <c r="H146" t="s">
        <v>34</v>
      </c>
      <c r="I146">
        <v>21</v>
      </c>
      <c r="J146">
        <v>11742</v>
      </c>
      <c r="K146" t="s">
        <v>42</v>
      </c>
      <c r="L146">
        <v>4</v>
      </c>
      <c r="M146">
        <v>1</v>
      </c>
      <c r="N146">
        <v>12</v>
      </c>
      <c r="O146">
        <v>3</v>
      </c>
      <c r="P146">
        <v>35</v>
      </c>
      <c r="Q146" t="s">
        <v>22</v>
      </c>
    </row>
    <row r="147" spans="1:17" x14ac:dyDescent="0.25">
      <c r="A147">
        <v>1244</v>
      </c>
      <c r="B147">
        <v>57</v>
      </c>
      <c r="C147" t="s">
        <v>23</v>
      </c>
      <c r="D147" t="s">
        <v>24</v>
      </c>
      <c r="E147" t="s">
        <v>46</v>
      </c>
      <c r="G147" t="s">
        <v>37</v>
      </c>
      <c r="H147" t="s">
        <v>34</v>
      </c>
      <c r="I147">
        <v>28</v>
      </c>
      <c r="J147">
        <v>9418</v>
      </c>
      <c r="K147" t="s">
        <v>22</v>
      </c>
      <c r="L147">
        <v>4</v>
      </c>
      <c r="M147">
        <v>3</v>
      </c>
      <c r="N147">
        <v>6</v>
      </c>
      <c r="O147">
        <v>2</v>
      </c>
      <c r="P147">
        <v>31</v>
      </c>
      <c r="Q147" t="s">
        <v>22</v>
      </c>
    </row>
    <row r="148" spans="1:17" x14ac:dyDescent="0.25">
      <c r="A148">
        <v>1755</v>
      </c>
      <c r="B148">
        <v>20</v>
      </c>
      <c r="C148" t="s">
        <v>23</v>
      </c>
      <c r="D148" t="s">
        <v>24</v>
      </c>
      <c r="E148" t="s">
        <v>46</v>
      </c>
      <c r="F148" t="s">
        <v>19</v>
      </c>
      <c r="G148" t="s">
        <v>20</v>
      </c>
      <c r="H148" t="s">
        <v>30</v>
      </c>
      <c r="I148">
        <v>6</v>
      </c>
      <c r="J148">
        <v>4841</v>
      </c>
      <c r="K148" t="s">
        <v>42</v>
      </c>
      <c r="L148">
        <v>1</v>
      </c>
      <c r="M148">
        <v>1</v>
      </c>
      <c r="N148">
        <v>0</v>
      </c>
      <c r="O148">
        <v>0</v>
      </c>
      <c r="P148">
        <v>0</v>
      </c>
      <c r="Q148" t="s">
        <v>42</v>
      </c>
    </row>
    <row r="149" spans="1:17" x14ac:dyDescent="0.25">
      <c r="A149">
        <v>1425</v>
      </c>
      <c r="B149">
        <v>34</v>
      </c>
      <c r="C149" t="s">
        <v>23</v>
      </c>
      <c r="D149" t="s">
        <v>24</v>
      </c>
      <c r="E149" t="s">
        <v>25</v>
      </c>
      <c r="F149" t="s">
        <v>32</v>
      </c>
      <c r="G149" t="s">
        <v>37</v>
      </c>
      <c r="H149" t="s">
        <v>21</v>
      </c>
      <c r="I149">
        <v>17</v>
      </c>
      <c r="J149">
        <v>10373</v>
      </c>
      <c r="K149" t="s">
        <v>22</v>
      </c>
      <c r="L149">
        <v>2</v>
      </c>
      <c r="M149">
        <v>1</v>
      </c>
      <c r="N149">
        <v>12</v>
      </c>
      <c r="O149">
        <v>12</v>
      </c>
      <c r="P149">
        <v>14</v>
      </c>
      <c r="Q149" t="s">
        <v>22</v>
      </c>
    </row>
    <row r="150" spans="1:17" x14ac:dyDescent="0.25">
      <c r="A150">
        <v>1097</v>
      </c>
      <c r="B150">
        <v>41</v>
      </c>
      <c r="C150" t="s">
        <v>16</v>
      </c>
      <c r="D150" t="s">
        <v>27</v>
      </c>
      <c r="E150" t="s">
        <v>43</v>
      </c>
      <c r="F150" t="s">
        <v>19</v>
      </c>
      <c r="G150" t="s">
        <v>33</v>
      </c>
      <c r="H150" t="s">
        <v>30</v>
      </c>
      <c r="I150">
        <v>13</v>
      </c>
      <c r="J150">
        <v>10892</v>
      </c>
      <c r="K150" t="s">
        <v>22</v>
      </c>
      <c r="M150">
        <v>1</v>
      </c>
      <c r="N150">
        <v>11</v>
      </c>
      <c r="O150">
        <v>4</v>
      </c>
      <c r="P150">
        <v>21</v>
      </c>
      <c r="Q150" t="s">
        <v>22</v>
      </c>
    </row>
    <row r="151" spans="1:17" x14ac:dyDescent="0.25">
      <c r="A151">
        <v>1889</v>
      </c>
      <c r="B151">
        <v>20</v>
      </c>
      <c r="C151" t="s">
        <v>16</v>
      </c>
      <c r="D151" t="s">
        <v>17</v>
      </c>
      <c r="E151" t="s">
        <v>35</v>
      </c>
      <c r="F151" t="s">
        <v>19</v>
      </c>
      <c r="G151" t="s">
        <v>37</v>
      </c>
      <c r="H151" t="s">
        <v>21</v>
      </c>
      <c r="I151">
        <v>7</v>
      </c>
      <c r="J151">
        <v>4495</v>
      </c>
      <c r="K151" t="s">
        <v>22</v>
      </c>
      <c r="L151">
        <v>2</v>
      </c>
      <c r="M151">
        <v>4</v>
      </c>
      <c r="N151">
        <v>0</v>
      </c>
      <c r="O151">
        <v>0</v>
      </c>
      <c r="P151">
        <v>0</v>
      </c>
      <c r="Q151" t="s">
        <v>22</v>
      </c>
    </row>
    <row r="152" spans="1:17" x14ac:dyDescent="0.25">
      <c r="A152">
        <v>1470</v>
      </c>
      <c r="B152">
        <v>23</v>
      </c>
      <c r="C152" t="s">
        <v>23</v>
      </c>
      <c r="D152" t="s">
        <v>17</v>
      </c>
      <c r="E152" t="s">
        <v>35</v>
      </c>
      <c r="F152" t="s">
        <v>26</v>
      </c>
      <c r="G152" t="s">
        <v>37</v>
      </c>
      <c r="H152" t="s">
        <v>21</v>
      </c>
      <c r="I152">
        <v>9</v>
      </c>
      <c r="J152">
        <v>6947</v>
      </c>
      <c r="K152" t="s">
        <v>22</v>
      </c>
      <c r="L152">
        <v>1</v>
      </c>
      <c r="M152">
        <v>1</v>
      </c>
      <c r="N152">
        <v>0</v>
      </c>
      <c r="O152">
        <v>0</v>
      </c>
      <c r="P152">
        <v>0</v>
      </c>
      <c r="Q152" t="s">
        <v>42</v>
      </c>
    </row>
    <row r="153" spans="1:17" x14ac:dyDescent="0.25">
      <c r="A153">
        <v>1998</v>
      </c>
      <c r="B153">
        <v>59</v>
      </c>
      <c r="C153" t="s">
        <v>23</v>
      </c>
      <c r="D153" t="s">
        <v>27</v>
      </c>
      <c r="E153" t="s">
        <v>43</v>
      </c>
      <c r="F153" t="s">
        <v>29</v>
      </c>
      <c r="G153" t="s">
        <v>20</v>
      </c>
      <c r="H153" t="s">
        <v>30</v>
      </c>
      <c r="I153">
        <v>15</v>
      </c>
      <c r="J153">
        <v>12327</v>
      </c>
      <c r="K153" t="s">
        <v>22</v>
      </c>
      <c r="L153">
        <v>4</v>
      </c>
      <c r="M153">
        <v>1</v>
      </c>
      <c r="N153">
        <v>4</v>
      </c>
      <c r="O153">
        <v>4</v>
      </c>
      <c r="P153">
        <v>34</v>
      </c>
      <c r="Q153" t="s">
        <v>22</v>
      </c>
    </row>
    <row r="154" spans="1:17" x14ac:dyDescent="0.25">
      <c r="A154">
        <v>1927</v>
      </c>
      <c r="B154">
        <v>52</v>
      </c>
      <c r="C154" t="s">
        <v>16</v>
      </c>
      <c r="D154" t="s">
        <v>27</v>
      </c>
      <c r="E154" t="s">
        <v>43</v>
      </c>
      <c r="F154" t="s">
        <v>41</v>
      </c>
      <c r="G154" t="s">
        <v>33</v>
      </c>
      <c r="H154" t="s">
        <v>30</v>
      </c>
      <c r="I154">
        <v>3</v>
      </c>
      <c r="J154">
        <v>11634</v>
      </c>
      <c r="K154" t="s">
        <v>22</v>
      </c>
      <c r="L154">
        <v>2</v>
      </c>
      <c r="M154">
        <v>2</v>
      </c>
      <c r="N154">
        <v>6</v>
      </c>
      <c r="O154">
        <v>0</v>
      </c>
      <c r="P154">
        <v>22</v>
      </c>
      <c r="Q154" t="s">
        <v>22</v>
      </c>
    </row>
    <row r="155" spans="1:17" x14ac:dyDescent="0.25">
      <c r="A155">
        <v>1183</v>
      </c>
      <c r="B155">
        <v>38</v>
      </c>
      <c r="C155" t="s">
        <v>16</v>
      </c>
      <c r="D155" t="s">
        <v>17</v>
      </c>
      <c r="E155" t="s">
        <v>40</v>
      </c>
      <c r="G155" t="s">
        <v>20</v>
      </c>
      <c r="H155" t="s">
        <v>30</v>
      </c>
      <c r="I155">
        <v>9</v>
      </c>
      <c r="J155">
        <v>8463</v>
      </c>
      <c r="K155" t="s">
        <v>22</v>
      </c>
      <c r="L155">
        <v>4</v>
      </c>
      <c r="M155">
        <v>1</v>
      </c>
      <c r="N155">
        <v>9</v>
      </c>
      <c r="O155">
        <v>2</v>
      </c>
      <c r="P155">
        <v>17</v>
      </c>
      <c r="Q155" t="s">
        <v>22</v>
      </c>
    </row>
    <row r="156" spans="1:17" x14ac:dyDescent="0.25">
      <c r="A156">
        <v>1804</v>
      </c>
      <c r="B156">
        <v>37</v>
      </c>
      <c r="C156" t="s">
        <v>16</v>
      </c>
      <c r="D156" t="s">
        <v>17</v>
      </c>
      <c r="E156" t="s">
        <v>40</v>
      </c>
      <c r="F156" t="s">
        <v>38</v>
      </c>
      <c r="G156" t="s">
        <v>33</v>
      </c>
      <c r="H156" t="s">
        <v>34</v>
      </c>
      <c r="I156">
        <v>18</v>
      </c>
      <c r="J156">
        <v>10012</v>
      </c>
      <c r="K156" t="s">
        <v>22</v>
      </c>
      <c r="L156">
        <v>3</v>
      </c>
      <c r="M156">
        <v>4</v>
      </c>
      <c r="N156">
        <v>6</v>
      </c>
      <c r="O156">
        <v>4</v>
      </c>
      <c r="P156">
        <v>10</v>
      </c>
      <c r="Q156" t="s">
        <v>88</v>
      </c>
    </row>
    <row r="157" spans="1:17" x14ac:dyDescent="0.25">
      <c r="A157">
        <v>1164</v>
      </c>
      <c r="B157">
        <v>25</v>
      </c>
      <c r="C157" t="s">
        <v>107</v>
      </c>
      <c r="D157" t="s">
        <v>27</v>
      </c>
      <c r="E157" t="s">
        <v>43</v>
      </c>
      <c r="F157" t="s">
        <v>26</v>
      </c>
      <c r="G157" t="s">
        <v>37</v>
      </c>
      <c r="H157" t="s">
        <v>30</v>
      </c>
      <c r="I157">
        <v>3</v>
      </c>
      <c r="J157">
        <v>6081</v>
      </c>
      <c r="K157" t="s">
        <v>42</v>
      </c>
      <c r="L157">
        <v>1</v>
      </c>
      <c r="M157">
        <v>4</v>
      </c>
      <c r="N157">
        <v>0</v>
      </c>
      <c r="O157">
        <v>0</v>
      </c>
      <c r="P157">
        <v>0</v>
      </c>
      <c r="Q157" t="s">
        <v>42</v>
      </c>
    </row>
    <row r="158" spans="1:17" x14ac:dyDescent="0.25">
      <c r="A158">
        <v>1791</v>
      </c>
      <c r="B158">
        <v>43</v>
      </c>
      <c r="C158" t="s">
        <v>23</v>
      </c>
      <c r="D158" t="s">
        <v>38</v>
      </c>
      <c r="E158" t="s">
        <v>39</v>
      </c>
      <c r="F158" t="s">
        <v>29</v>
      </c>
      <c r="G158" t="s">
        <v>37</v>
      </c>
      <c r="H158" t="s">
        <v>34</v>
      </c>
      <c r="I158">
        <v>11</v>
      </c>
      <c r="J158">
        <v>4621</v>
      </c>
      <c r="K158" t="s">
        <v>22</v>
      </c>
      <c r="L158">
        <v>3</v>
      </c>
      <c r="M158">
        <v>2</v>
      </c>
      <c r="N158">
        <v>4</v>
      </c>
      <c r="O158">
        <v>3</v>
      </c>
      <c r="P158">
        <v>4</v>
      </c>
      <c r="Q158" t="s">
        <v>22</v>
      </c>
    </row>
    <row r="159" spans="1:17" x14ac:dyDescent="0.25">
      <c r="A159">
        <v>1174</v>
      </c>
      <c r="B159">
        <v>30</v>
      </c>
      <c r="C159" t="s">
        <v>16</v>
      </c>
      <c r="D159" t="s">
        <v>27</v>
      </c>
      <c r="E159" t="s">
        <v>44</v>
      </c>
      <c r="F159" t="s">
        <v>29</v>
      </c>
      <c r="G159" t="s">
        <v>37</v>
      </c>
      <c r="H159" t="s">
        <v>30</v>
      </c>
      <c r="I159">
        <v>4</v>
      </c>
      <c r="J159">
        <v>6663</v>
      </c>
      <c r="K159" t="s">
        <v>42</v>
      </c>
      <c r="L159">
        <v>3</v>
      </c>
      <c r="M159">
        <v>4</v>
      </c>
      <c r="N159">
        <v>5</v>
      </c>
      <c r="O159">
        <v>5</v>
      </c>
      <c r="P159">
        <v>5</v>
      </c>
      <c r="Q159" t="s">
        <v>22</v>
      </c>
    </row>
    <row r="160" spans="1:17" x14ac:dyDescent="0.25">
      <c r="A160">
        <v>1055</v>
      </c>
      <c r="B160">
        <v>25</v>
      </c>
      <c r="C160" t="s">
        <v>16</v>
      </c>
      <c r="D160" t="s">
        <v>24</v>
      </c>
      <c r="E160" t="s">
        <v>45</v>
      </c>
      <c r="F160" t="s">
        <v>38</v>
      </c>
      <c r="G160" t="s">
        <v>20</v>
      </c>
      <c r="H160" t="s">
        <v>30</v>
      </c>
      <c r="I160">
        <v>23</v>
      </c>
      <c r="J160">
        <v>5868</v>
      </c>
      <c r="K160" t="s">
        <v>22</v>
      </c>
      <c r="L160">
        <v>1</v>
      </c>
      <c r="M160">
        <v>2</v>
      </c>
      <c r="N160">
        <v>0</v>
      </c>
      <c r="O160">
        <v>0</v>
      </c>
      <c r="P160">
        <v>0</v>
      </c>
      <c r="Q160" t="s">
        <v>22</v>
      </c>
    </row>
    <row r="161" spans="1:17" x14ac:dyDescent="0.25">
      <c r="A161">
        <v>1636</v>
      </c>
      <c r="B161">
        <v>43</v>
      </c>
      <c r="C161" t="s">
        <v>23</v>
      </c>
      <c r="D161" t="s">
        <v>104</v>
      </c>
      <c r="E161" t="s">
        <v>52</v>
      </c>
      <c r="F161" t="s">
        <v>38</v>
      </c>
      <c r="G161" t="s">
        <v>37</v>
      </c>
      <c r="H161" t="s">
        <v>30</v>
      </c>
      <c r="I161">
        <v>9</v>
      </c>
      <c r="J161">
        <v>9499</v>
      </c>
      <c r="K161" t="s">
        <v>22</v>
      </c>
      <c r="L161">
        <v>3</v>
      </c>
      <c r="M161">
        <v>3</v>
      </c>
      <c r="N161">
        <v>21</v>
      </c>
      <c r="O161">
        <v>7</v>
      </c>
      <c r="P161">
        <v>23</v>
      </c>
      <c r="Q161" t="s">
        <v>22</v>
      </c>
    </row>
    <row r="162" spans="1:17" x14ac:dyDescent="0.25">
      <c r="A162">
        <v>1715</v>
      </c>
      <c r="B162">
        <v>44</v>
      </c>
      <c r="C162" t="s">
        <v>16</v>
      </c>
      <c r="D162" t="s">
        <v>27</v>
      </c>
      <c r="E162" t="s">
        <v>28</v>
      </c>
      <c r="F162" t="s">
        <v>32</v>
      </c>
      <c r="G162" t="s">
        <v>33</v>
      </c>
      <c r="H162" t="s">
        <v>21</v>
      </c>
      <c r="I162">
        <v>28</v>
      </c>
      <c r="J162">
        <v>13808</v>
      </c>
      <c r="K162" t="s">
        <v>22</v>
      </c>
      <c r="L162">
        <v>3</v>
      </c>
      <c r="M162">
        <v>4</v>
      </c>
      <c r="N162">
        <v>6</v>
      </c>
      <c r="O162">
        <v>6</v>
      </c>
      <c r="P162">
        <v>20</v>
      </c>
      <c r="Q162" t="s">
        <v>22</v>
      </c>
    </row>
    <row r="163" spans="1:17" x14ac:dyDescent="0.25">
      <c r="A163">
        <v>1553</v>
      </c>
      <c r="B163">
        <v>31</v>
      </c>
      <c r="C163" t="s">
        <v>23</v>
      </c>
      <c r="D163" t="s">
        <v>24</v>
      </c>
      <c r="E163" t="s">
        <v>45</v>
      </c>
      <c r="F163" t="s">
        <v>19</v>
      </c>
      <c r="G163" t="s">
        <v>37</v>
      </c>
      <c r="H163" t="s">
        <v>30</v>
      </c>
      <c r="I163">
        <v>21</v>
      </c>
      <c r="J163">
        <v>9357</v>
      </c>
      <c r="K163" t="s">
        <v>22</v>
      </c>
      <c r="L163">
        <v>3</v>
      </c>
      <c r="M163">
        <v>4</v>
      </c>
      <c r="N163">
        <v>0</v>
      </c>
      <c r="O163">
        <v>0</v>
      </c>
      <c r="P163">
        <v>7</v>
      </c>
      <c r="Q163" t="s">
        <v>22</v>
      </c>
    </row>
    <row r="164" spans="1:17" x14ac:dyDescent="0.25">
      <c r="A164">
        <v>1125</v>
      </c>
      <c r="B164">
        <v>52</v>
      </c>
      <c r="C164" t="s">
        <v>23</v>
      </c>
      <c r="D164" t="s">
        <v>17</v>
      </c>
      <c r="E164" t="s">
        <v>35</v>
      </c>
      <c r="F164" t="s">
        <v>38</v>
      </c>
      <c r="G164" t="s">
        <v>20</v>
      </c>
      <c r="H164" t="s">
        <v>21</v>
      </c>
      <c r="I164">
        <v>29</v>
      </c>
      <c r="J164">
        <v>9795</v>
      </c>
      <c r="K164" t="s">
        <v>22</v>
      </c>
      <c r="L164">
        <v>1</v>
      </c>
      <c r="M164">
        <v>3</v>
      </c>
      <c r="N164">
        <v>18</v>
      </c>
      <c r="O164">
        <v>11</v>
      </c>
      <c r="P164">
        <v>24</v>
      </c>
      <c r="Q164" t="s">
        <v>22</v>
      </c>
    </row>
    <row r="165" spans="1:17" x14ac:dyDescent="0.25">
      <c r="A165">
        <v>1061</v>
      </c>
      <c r="B165">
        <v>22</v>
      </c>
      <c r="C165" t="s">
        <v>16</v>
      </c>
      <c r="D165" t="s">
        <v>24</v>
      </c>
      <c r="E165" t="s">
        <v>45</v>
      </c>
      <c r="G165" t="s">
        <v>20</v>
      </c>
      <c r="H165" t="s">
        <v>34</v>
      </c>
      <c r="I165">
        <v>2</v>
      </c>
      <c r="J165">
        <v>7041</v>
      </c>
      <c r="K165" t="s">
        <v>22</v>
      </c>
      <c r="L165">
        <v>4</v>
      </c>
      <c r="M165">
        <v>2</v>
      </c>
      <c r="N165">
        <v>0</v>
      </c>
      <c r="O165">
        <v>0</v>
      </c>
      <c r="P165">
        <v>0</v>
      </c>
      <c r="Q165" t="s">
        <v>42</v>
      </c>
    </row>
    <row r="166" spans="1:17" x14ac:dyDescent="0.25">
      <c r="A166">
        <v>1841</v>
      </c>
      <c r="B166">
        <v>29</v>
      </c>
      <c r="C166" t="s">
        <v>16</v>
      </c>
      <c r="D166" t="s">
        <v>27</v>
      </c>
      <c r="E166" t="s">
        <v>31</v>
      </c>
      <c r="F166" t="s">
        <v>41</v>
      </c>
      <c r="G166" t="s">
        <v>37</v>
      </c>
      <c r="H166" t="s">
        <v>34</v>
      </c>
      <c r="I166">
        <v>16</v>
      </c>
      <c r="J166">
        <v>5862</v>
      </c>
      <c r="K166" t="s">
        <v>22</v>
      </c>
      <c r="L166">
        <v>1</v>
      </c>
      <c r="M166">
        <v>3</v>
      </c>
      <c r="N166">
        <v>1</v>
      </c>
      <c r="O166">
        <v>1</v>
      </c>
      <c r="P166">
        <v>2</v>
      </c>
      <c r="Q166" t="s">
        <v>22</v>
      </c>
    </row>
    <row r="167" spans="1:17" x14ac:dyDescent="0.25">
      <c r="A167">
        <v>1324</v>
      </c>
      <c r="B167">
        <v>53</v>
      </c>
      <c r="C167" t="s">
        <v>23</v>
      </c>
      <c r="D167" t="s">
        <v>38</v>
      </c>
      <c r="E167" t="s">
        <v>49</v>
      </c>
      <c r="F167" t="s">
        <v>19</v>
      </c>
      <c r="G167" t="s">
        <v>33</v>
      </c>
      <c r="H167" t="s">
        <v>34</v>
      </c>
      <c r="I167">
        <v>14</v>
      </c>
      <c r="J167">
        <v>11468</v>
      </c>
      <c r="K167" t="s">
        <v>22</v>
      </c>
      <c r="L167">
        <v>1</v>
      </c>
      <c r="M167">
        <v>4</v>
      </c>
      <c r="N167">
        <v>11</v>
      </c>
      <c r="O167">
        <v>7</v>
      </c>
      <c r="P167">
        <v>25</v>
      </c>
      <c r="Q167" t="s">
        <v>22</v>
      </c>
    </row>
    <row r="168" spans="1:17" x14ac:dyDescent="0.25">
      <c r="A168">
        <v>1517</v>
      </c>
      <c r="B168">
        <v>46</v>
      </c>
      <c r="C168" t="s">
        <v>16</v>
      </c>
      <c r="D168" t="s">
        <v>17</v>
      </c>
      <c r="E168" t="s">
        <v>18</v>
      </c>
      <c r="F168" t="s">
        <v>41</v>
      </c>
      <c r="G168" t="s">
        <v>37</v>
      </c>
      <c r="H168" t="s">
        <v>30</v>
      </c>
      <c r="I168">
        <v>14</v>
      </c>
      <c r="J168">
        <v>13349</v>
      </c>
      <c r="K168" t="s">
        <v>22</v>
      </c>
      <c r="L168">
        <v>2</v>
      </c>
      <c r="M168">
        <v>2</v>
      </c>
      <c r="N168">
        <v>4</v>
      </c>
      <c r="O168">
        <v>4</v>
      </c>
      <c r="P168">
        <v>17</v>
      </c>
      <c r="Q168" t="s">
        <v>22</v>
      </c>
    </row>
    <row r="169" spans="1:17" x14ac:dyDescent="0.25">
      <c r="A169">
        <v>1406</v>
      </c>
      <c r="B169">
        <v>27</v>
      </c>
      <c r="C169" t="s">
        <v>16</v>
      </c>
      <c r="D169" t="s">
        <v>27</v>
      </c>
      <c r="E169" t="s">
        <v>43</v>
      </c>
      <c r="F169" t="s">
        <v>19</v>
      </c>
      <c r="G169" t="s">
        <v>20</v>
      </c>
      <c r="H169" t="s">
        <v>34</v>
      </c>
      <c r="I169">
        <v>22</v>
      </c>
      <c r="J169">
        <v>5271</v>
      </c>
      <c r="K169" t="s">
        <v>22</v>
      </c>
      <c r="L169">
        <v>3</v>
      </c>
      <c r="M169">
        <v>4</v>
      </c>
      <c r="N169">
        <v>1</v>
      </c>
      <c r="O169">
        <v>0</v>
      </c>
      <c r="P169">
        <v>1</v>
      </c>
      <c r="Q169" t="s">
        <v>22</v>
      </c>
    </row>
    <row r="170" spans="1:17" x14ac:dyDescent="0.25">
      <c r="A170">
        <v>1008</v>
      </c>
      <c r="B170">
        <v>47</v>
      </c>
      <c r="C170" t="s">
        <v>16</v>
      </c>
      <c r="D170" t="s">
        <v>17</v>
      </c>
      <c r="E170" t="s">
        <v>40</v>
      </c>
      <c r="F170" t="s">
        <v>26</v>
      </c>
      <c r="G170" t="s">
        <v>37</v>
      </c>
      <c r="H170" t="s">
        <v>21</v>
      </c>
      <c r="I170">
        <v>18</v>
      </c>
      <c r="J170">
        <v>7654</v>
      </c>
      <c r="K170" t="s">
        <v>22</v>
      </c>
      <c r="L170">
        <v>1</v>
      </c>
      <c r="M170">
        <v>1</v>
      </c>
      <c r="N170">
        <v>14</v>
      </c>
      <c r="O170">
        <v>8</v>
      </c>
      <c r="P170">
        <v>18</v>
      </c>
      <c r="Q170" t="s">
        <v>22</v>
      </c>
    </row>
    <row r="171" spans="1:17" x14ac:dyDescent="0.25">
      <c r="A171">
        <v>1122</v>
      </c>
      <c r="B171">
        <v>45</v>
      </c>
      <c r="C171" t="s">
        <v>16</v>
      </c>
      <c r="D171" t="s">
        <v>17</v>
      </c>
      <c r="E171" t="s">
        <v>18</v>
      </c>
      <c r="G171" t="s">
        <v>37</v>
      </c>
      <c r="H171" t="s">
        <v>21</v>
      </c>
      <c r="I171">
        <v>11</v>
      </c>
      <c r="J171">
        <v>12820</v>
      </c>
      <c r="K171" t="s">
        <v>22</v>
      </c>
      <c r="L171">
        <v>4</v>
      </c>
      <c r="M171">
        <v>4</v>
      </c>
      <c r="N171">
        <v>1</v>
      </c>
      <c r="O171">
        <v>0</v>
      </c>
      <c r="P171">
        <v>20</v>
      </c>
      <c r="Q171" t="s">
        <v>22</v>
      </c>
    </row>
    <row r="172" spans="1:17" x14ac:dyDescent="0.25">
      <c r="A172">
        <v>1107</v>
      </c>
      <c r="B172">
        <v>22</v>
      </c>
      <c r="C172" t="s">
        <v>16</v>
      </c>
      <c r="D172" t="s">
        <v>17</v>
      </c>
      <c r="E172" t="s">
        <v>35</v>
      </c>
      <c r="F172" t="s">
        <v>38</v>
      </c>
      <c r="G172" t="s">
        <v>37</v>
      </c>
      <c r="H172" t="s">
        <v>34</v>
      </c>
      <c r="I172">
        <v>12</v>
      </c>
      <c r="J172">
        <v>2231</v>
      </c>
      <c r="K172" t="s">
        <v>22</v>
      </c>
      <c r="L172">
        <v>1</v>
      </c>
      <c r="M172">
        <v>3</v>
      </c>
      <c r="N172">
        <v>0</v>
      </c>
      <c r="O172">
        <v>0</v>
      </c>
      <c r="P172">
        <v>0</v>
      </c>
      <c r="Q172" t="s">
        <v>42</v>
      </c>
    </row>
    <row r="173" spans="1:17" x14ac:dyDescent="0.25">
      <c r="A173">
        <v>1475</v>
      </c>
      <c r="B173">
        <v>47</v>
      </c>
      <c r="C173" t="s">
        <v>23</v>
      </c>
      <c r="D173" t="s">
        <v>24</v>
      </c>
      <c r="E173" t="s">
        <v>45</v>
      </c>
      <c r="F173" t="s">
        <v>32</v>
      </c>
      <c r="G173" t="s">
        <v>37</v>
      </c>
      <c r="H173" t="s">
        <v>34</v>
      </c>
      <c r="I173">
        <v>9</v>
      </c>
      <c r="J173" t="s">
        <v>108</v>
      </c>
      <c r="K173" t="s">
        <v>22</v>
      </c>
      <c r="L173">
        <v>1</v>
      </c>
      <c r="M173">
        <v>3</v>
      </c>
      <c r="N173">
        <v>5</v>
      </c>
      <c r="O173">
        <v>2</v>
      </c>
      <c r="P173">
        <v>22</v>
      </c>
      <c r="Q173" t="s">
        <v>22</v>
      </c>
    </row>
    <row r="174" spans="1:17" x14ac:dyDescent="0.25">
      <c r="A174">
        <v>1878</v>
      </c>
      <c r="B174">
        <v>33</v>
      </c>
      <c r="C174" t="s">
        <v>23</v>
      </c>
      <c r="D174" t="s">
        <v>24</v>
      </c>
      <c r="E174" t="s">
        <v>52</v>
      </c>
      <c r="F174" t="s">
        <v>38</v>
      </c>
      <c r="G174" t="s">
        <v>37</v>
      </c>
      <c r="H174" t="s">
        <v>21</v>
      </c>
      <c r="I174">
        <v>4</v>
      </c>
      <c r="J174">
        <v>5366</v>
      </c>
      <c r="K174" t="s">
        <v>22</v>
      </c>
      <c r="L174">
        <v>1</v>
      </c>
      <c r="M174">
        <v>2</v>
      </c>
      <c r="N174">
        <v>1</v>
      </c>
      <c r="O174">
        <v>0</v>
      </c>
      <c r="P174">
        <v>9</v>
      </c>
      <c r="Q174" t="s">
        <v>22</v>
      </c>
    </row>
    <row r="175" spans="1:17" x14ac:dyDescent="0.25">
      <c r="A175">
        <v>1575</v>
      </c>
      <c r="B175">
        <v>48</v>
      </c>
      <c r="C175" t="s">
        <v>105</v>
      </c>
      <c r="D175" t="s">
        <v>17</v>
      </c>
      <c r="E175" t="s">
        <v>40</v>
      </c>
      <c r="F175" t="s">
        <v>19</v>
      </c>
      <c r="G175" t="s">
        <v>37</v>
      </c>
      <c r="H175" t="s">
        <v>21</v>
      </c>
      <c r="I175">
        <v>2</v>
      </c>
      <c r="J175">
        <v>10792</v>
      </c>
      <c r="K175" t="s">
        <v>22</v>
      </c>
      <c r="L175">
        <v>4</v>
      </c>
      <c r="M175">
        <v>4</v>
      </c>
      <c r="N175">
        <v>25</v>
      </c>
      <c r="O175">
        <v>7</v>
      </c>
      <c r="P175">
        <v>28</v>
      </c>
      <c r="Q175" t="s">
        <v>22</v>
      </c>
    </row>
    <row r="176" spans="1:17" x14ac:dyDescent="0.25">
      <c r="A176">
        <v>1216</v>
      </c>
      <c r="B176">
        <v>21</v>
      </c>
      <c r="C176" t="s">
        <v>16</v>
      </c>
      <c r="D176" t="s">
        <v>24</v>
      </c>
      <c r="E176" t="s">
        <v>52</v>
      </c>
      <c r="F176" t="s">
        <v>32</v>
      </c>
      <c r="G176" t="s">
        <v>33</v>
      </c>
      <c r="H176" t="s">
        <v>34</v>
      </c>
      <c r="I176">
        <v>25</v>
      </c>
      <c r="J176">
        <v>6493</v>
      </c>
      <c r="K176" t="s">
        <v>22</v>
      </c>
      <c r="L176">
        <v>1</v>
      </c>
      <c r="M176">
        <v>4</v>
      </c>
      <c r="N176">
        <v>0</v>
      </c>
      <c r="O176">
        <v>0</v>
      </c>
      <c r="P176">
        <v>0</v>
      </c>
      <c r="Q176" t="s">
        <v>22</v>
      </c>
    </row>
    <row r="177" spans="1:17" x14ac:dyDescent="0.25">
      <c r="A177">
        <v>1015</v>
      </c>
      <c r="B177">
        <v>23</v>
      </c>
      <c r="C177" t="s">
        <v>23</v>
      </c>
      <c r="D177" t="s">
        <v>27</v>
      </c>
      <c r="E177" t="s">
        <v>31</v>
      </c>
      <c r="F177" t="s">
        <v>32</v>
      </c>
      <c r="G177" t="s">
        <v>20</v>
      </c>
      <c r="H177" t="s">
        <v>21</v>
      </c>
      <c r="I177">
        <v>15</v>
      </c>
      <c r="J177">
        <v>6832</v>
      </c>
      <c r="K177" t="s">
        <v>42</v>
      </c>
      <c r="L177">
        <v>2</v>
      </c>
      <c r="M177">
        <v>2</v>
      </c>
      <c r="N177">
        <v>0</v>
      </c>
      <c r="O177">
        <v>0</v>
      </c>
      <c r="P177">
        <v>0</v>
      </c>
      <c r="Q177" t="s">
        <v>42</v>
      </c>
    </row>
    <row r="178" spans="1:17" x14ac:dyDescent="0.25">
      <c r="A178">
        <v>1081</v>
      </c>
      <c r="B178">
        <v>46</v>
      </c>
      <c r="C178" t="s">
        <v>23</v>
      </c>
      <c r="D178" t="s">
        <v>24</v>
      </c>
      <c r="E178" t="s">
        <v>52</v>
      </c>
      <c r="F178" t="s">
        <v>32</v>
      </c>
      <c r="G178" t="s">
        <v>37</v>
      </c>
      <c r="H178" t="s">
        <v>21</v>
      </c>
      <c r="I178">
        <v>9</v>
      </c>
      <c r="J178">
        <v>10324</v>
      </c>
      <c r="K178" t="s">
        <v>22</v>
      </c>
      <c r="L178">
        <v>3</v>
      </c>
      <c r="M178">
        <v>4</v>
      </c>
      <c r="N178">
        <v>13</v>
      </c>
      <c r="O178">
        <v>11</v>
      </c>
      <c r="P178">
        <v>19</v>
      </c>
      <c r="Q178" t="s">
        <v>22</v>
      </c>
    </row>
    <row r="179" spans="1:17" x14ac:dyDescent="0.25">
      <c r="A179">
        <v>1017</v>
      </c>
      <c r="B179">
        <v>44</v>
      </c>
      <c r="C179" t="s">
        <v>16</v>
      </c>
      <c r="D179" t="s">
        <v>17</v>
      </c>
      <c r="E179" t="s">
        <v>40</v>
      </c>
      <c r="F179" t="s">
        <v>29</v>
      </c>
      <c r="G179" t="s">
        <v>37</v>
      </c>
      <c r="H179" t="s">
        <v>30</v>
      </c>
      <c r="I179">
        <v>7</v>
      </c>
      <c r="J179">
        <v>11060</v>
      </c>
      <c r="K179" t="s">
        <v>42</v>
      </c>
      <c r="L179">
        <v>4</v>
      </c>
      <c r="M179">
        <v>2</v>
      </c>
      <c r="N179">
        <v>14</v>
      </c>
      <c r="O179">
        <v>4</v>
      </c>
      <c r="P179">
        <v>19</v>
      </c>
      <c r="Q179" t="s">
        <v>22</v>
      </c>
    </row>
    <row r="180" spans="1:17" x14ac:dyDescent="0.25">
      <c r="A180">
        <v>1293</v>
      </c>
      <c r="B180">
        <v>53</v>
      </c>
      <c r="C180" t="s">
        <v>16</v>
      </c>
      <c r="D180" t="s">
        <v>47</v>
      </c>
      <c r="E180" t="s">
        <v>48</v>
      </c>
      <c r="F180" t="s">
        <v>38</v>
      </c>
      <c r="G180" t="s">
        <v>20</v>
      </c>
      <c r="H180" t="s">
        <v>34</v>
      </c>
      <c r="I180">
        <v>8</v>
      </c>
      <c r="J180">
        <v>11119</v>
      </c>
      <c r="K180" t="s">
        <v>22</v>
      </c>
      <c r="L180">
        <v>1</v>
      </c>
      <c r="M180">
        <v>2</v>
      </c>
      <c r="N180">
        <v>11</v>
      </c>
      <c r="O180">
        <v>7</v>
      </c>
      <c r="P180">
        <v>21</v>
      </c>
      <c r="Q180" t="s">
        <v>42</v>
      </c>
    </row>
    <row r="181" spans="1:17" x14ac:dyDescent="0.25">
      <c r="A181">
        <v>1723</v>
      </c>
      <c r="B181">
        <v>57</v>
      </c>
      <c r="C181" t="s">
        <v>23</v>
      </c>
      <c r="D181" t="s">
        <v>38</v>
      </c>
      <c r="E181" t="s">
        <v>49</v>
      </c>
      <c r="F181" t="s">
        <v>26</v>
      </c>
      <c r="G181" t="s">
        <v>33</v>
      </c>
      <c r="H181" t="s">
        <v>34</v>
      </c>
      <c r="I181">
        <v>17</v>
      </c>
      <c r="J181">
        <v>14977</v>
      </c>
      <c r="K181" t="s">
        <v>22</v>
      </c>
      <c r="L181">
        <v>1</v>
      </c>
      <c r="M181">
        <v>3</v>
      </c>
      <c r="N181">
        <v>15</v>
      </c>
      <c r="O181">
        <v>3</v>
      </c>
      <c r="P181">
        <v>37</v>
      </c>
      <c r="Q181" t="s">
        <v>22</v>
      </c>
    </row>
    <row r="182" spans="1:17" x14ac:dyDescent="0.25">
      <c r="A182">
        <v>1160</v>
      </c>
      <c r="B182">
        <v>53</v>
      </c>
      <c r="C182" t="s">
        <v>23</v>
      </c>
      <c r="D182" t="s">
        <v>17</v>
      </c>
      <c r="E182" t="s">
        <v>18</v>
      </c>
      <c r="F182" t="s">
        <v>32</v>
      </c>
      <c r="G182" t="s">
        <v>20</v>
      </c>
      <c r="H182" t="s">
        <v>30</v>
      </c>
      <c r="I182">
        <v>8</v>
      </c>
      <c r="J182">
        <v>15049</v>
      </c>
      <c r="K182" t="s">
        <v>22</v>
      </c>
      <c r="L182">
        <v>3</v>
      </c>
      <c r="M182">
        <v>4</v>
      </c>
      <c r="N182">
        <v>25</v>
      </c>
      <c r="O182">
        <v>12</v>
      </c>
      <c r="P182">
        <v>28</v>
      </c>
      <c r="Q182" t="s">
        <v>22</v>
      </c>
    </row>
    <row r="183" spans="1:17" x14ac:dyDescent="0.25">
      <c r="A183">
        <v>1042</v>
      </c>
      <c r="B183">
        <v>39</v>
      </c>
      <c r="C183" t="s">
        <v>16</v>
      </c>
      <c r="D183" t="s">
        <v>17</v>
      </c>
      <c r="E183" t="s">
        <v>18</v>
      </c>
      <c r="F183" t="s">
        <v>26</v>
      </c>
      <c r="G183" t="s">
        <v>20</v>
      </c>
      <c r="H183" t="s">
        <v>21</v>
      </c>
      <c r="I183">
        <v>21</v>
      </c>
      <c r="J183">
        <v>10407</v>
      </c>
      <c r="K183" t="s">
        <v>42</v>
      </c>
      <c r="L183">
        <v>4</v>
      </c>
      <c r="M183">
        <v>3</v>
      </c>
      <c r="N183">
        <v>3</v>
      </c>
      <c r="O183">
        <v>0</v>
      </c>
      <c r="P183">
        <v>18</v>
      </c>
      <c r="Q183" t="s">
        <v>22</v>
      </c>
    </row>
    <row r="184" spans="1:17" x14ac:dyDescent="0.25">
      <c r="A184">
        <v>1907</v>
      </c>
      <c r="B184">
        <v>30</v>
      </c>
      <c r="C184" t="s">
        <v>16</v>
      </c>
      <c r="D184" t="s">
        <v>47</v>
      </c>
      <c r="E184" t="s">
        <v>48</v>
      </c>
      <c r="F184" t="s">
        <v>36</v>
      </c>
      <c r="G184" t="s">
        <v>37</v>
      </c>
      <c r="H184" t="s">
        <v>30</v>
      </c>
      <c r="I184">
        <v>3</v>
      </c>
      <c r="J184">
        <v>7230</v>
      </c>
      <c r="K184" t="s">
        <v>22</v>
      </c>
      <c r="L184">
        <v>2</v>
      </c>
      <c r="M184">
        <v>4</v>
      </c>
      <c r="N184">
        <v>4</v>
      </c>
      <c r="O184">
        <v>2</v>
      </c>
      <c r="P184">
        <v>4</v>
      </c>
      <c r="Q184" t="s">
        <v>22</v>
      </c>
    </row>
    <row r="185" spans="1:17" x14ac:dyDescent="0.25">
      <c r="A185">
        <v>1338</v>
      </c>
      <c r="B185">
        <v>53</v>
      </c>
      <c r="C185" t="s">
        <v>23</v>
      </c>
      <c r="D185" t="s">
        <v>24</v>
      </c>
      <c r="E185" t="s">
        <v>46</v>
      </c>
      <c r="F185" t="s">
        <v>38</v>
      </c>
      <c r="G185" t="s">
        <v>20</v>
      </c>
      <c r="H185" t="s">
        <v>30</v>
      </c>
      <c r="I185">
        <v>4</v>
      </c>
      <c r="J185">
        <v>10287</v>
      </c>
      <c r="K185" t="s">
        <v>22</v>
      </c>
      <c r="L185">
        <v>2</v>
      </c>
      <c r="M185">
        <v>1</v>
      </c>
      <c r="N185">
        <v>4</v>
      </c>
      <c r="O185">
        <v>1</v>
      </c>
      <c r="P185">
        <v>28</v>
      </c>
      <c r="Q185" t="s">
        <v>42</v>
      </c>
    </row>
    <row r="186" spans="1:17" x14ac:dyDescent="0.25">
      <c r="A186">
        <v>1837</v>
      </c>
      <c r="B186">
        <v>56</v>
      </c>
      <c r="C186" t="s">
        <v>23</v>
      </c>
      <c r="D186" t="s">
        <v>27</v>
      </c>
      <c r="E186" t="s">
        <v>44</v>
      </c>
      <c r="F186" t="s">
        <v>19</v>
      </c>
      <c r="G186" t="s">
        <v>33</v>
      </c>
      <c r="H186" t="s">
        <v>21</v>
      </c>
      <c r="I186">
        <v>6</v>
      </c>
      <c r="J186">
        <v>10640</v>
      </c>
      <c r="K186" t="s">
        <v>22</v>
      </c>
      <c r="L186">
        <v>3</v>
      </c>
      <c r="M186">
        <v>1</v>
      </c>
      <c r="N186">
        <v>13</v>
      </c>
      <c r="O186">
        <v>4</v>
      </c>
      <c r="P186">
        <v>23</v>
      </c>
      <c r="Q186" t="s">
        <v>22</v>
      </c>
    </row>
    <row r="187" spans="1:17" x14ac:dyDescent="0.25">
      <c r="A187">
        <v>1359</v>
      </c>
      <c r="B187">
        <v>40</v>
      </c>
      <c r="C187" t="s">
        <v>16</v>
      </c>
      <c r="D187" t="s">
        <v>38</v>
      </c>
      <c r="E187" t="s">
        <v>39</v>
      </c>
      <c r="F187" t="s">
        <v>41</v>
      </c>
      <c r="G187" t="s">
        <v>20</v>
      </c>
      <c r="H187" t="s">
        <v>21</v>
      </c>
      <c r="I187">
        <v>29</v>
      </c>
      <c r="J187">
        <v>9114</v>
      </c>
      <c r="K187" t="s">
        <v>22</v>
      </c>
      <c r="L187">
        <v>2</v>
      </c>
      <c r="M187">
        <v>1</v>
      </c>
      <c r="N187">
        <v>3</v>
      </c>
      <c r="O187">
        <v>1</v>
      </c>
      <c r="P187">
        <v>20</v>
      </c>
      <c r="Q187" t="s">
        <v>22</v>
      </c>
    </row>
    <row r="188" spans="1:17" x14ac:dyDescent="0.25">
      <c r="A188">
        <v>1395</v>
      </c>
      <c r="B188">
        <v>35</v>
      </c>
      <c r="C188" t="s">
        <v>23</v>
      </c>
      <c r="D188" t="s">
        <v>38</v>
      </c>
      <c r="E188" t="s">
        <v>49</v>
      </c>
      <c r="F188" t="s">
        <v>38</v>
      </c>
      <c r="G188" t="s">
        <v>33</v>
      </c>
      <c r="H188" t="s">
        <v>34</v>
      </c>
      <c r="I188">
        <v>4</v>
      </c>
      <c r="J188">
        <v>9022</v>
      </c>
      <c r="K188" t="s">
        <v>22</v>
      </c>
      <c r="L188">
        <v>1</v>
      </c>
      <c r="M188">
        <v>4</v>
      </c>
      <c r="N188">
        <v>8</v>
      </c>
      <c r="O188">
        <v>5</v>
      </c>
      <c r="P188">
        <v>10</v>
      </c>
      <c r="Q188" t="s">
        <v>22</v>
      </c>
    </row>
    <row r="189" spans="1:17" x14ac:dyDescent="0.25">
      <c r="A189">
        <v>1954</v>
      </c>
      <c r="B189">
        <v>60</v>
      </c>
      <c r="C189" t="s">
        <v>23</v>
      </c>
      <c r="D189" t="s">
        <v>109</v>
      </c>
      <c r="E189" t="s">
        <v>18</v>
      </c>
      <c r="F189" t="s">
        <v>36</v>
      </c>
      <c r="G189" t="s">
        <v>33</v>
      </c>
      <c r="H189" t="s">
        <v>34</v>
      </c>
      <c r="I189">
        <v>7</v>
      </c>
      <c r="J189">
        <v>15109</v>
      </c>
      <c r="K189" t="s">
        <v>22</v>
      </c>
      <c r="L189">
        <v>1</v>
      </c>
      <c r="M189">
        <v>1</v>
      </c>
      <c r="N189">
        <v>20</v>
      </c>
      <c r="O189">
        <v>10</v>
      </c>
      <c r="P189">
        <v>40</v>
      </c>
      <c r="Q189" t="s">
        <v>22</v>
      </c>
    </row>
    <row r="190" spans="1:17" x14ac:dyDescent="0.25">
      <c r="A190">
        <v>1694</v>
      </c>
      <c r="B190">
        <v>35</v>
      </c>
      <c r="C190" t="s">
        <v>23</v>
      </c>
      <c r="D190" t="s">
        <v>27</v>
      </c>
      <c r="E190" t="s">
        <v>28</v>
      </c>
      <c r="F190" t="s">
        <v>29</v>
      </c>
      <c r="G190" t="s">
        <v>20</v>
      </c>
      <c r="H190" t="s">
        <v>21</v>
      </c>
      <c r="I190">
        <v>17</v>
      </c>
      <c r="J190">
        <v>12380</v>
      </c>
      <c r="K190" t="s">
        <v>22</v>
      </c>
      <c r="L190">
        <v>2</v>
      </c>
      <c r="M190">
        <v>3</v>
      </c>
      <c r="N190">
        <v>1</v>
      </c>
      <c r="O190">
        <v>0</v>
      </c>
      <c r="P190">
        <v>15</v>
      </c>
      <c r="Q190" t="s">
        <v>22</v>
      </c>
    </row>
    <row r="191" spans="1:17" x14ac:dyDescent="0.25">
      <c r="A191">
        <v>1452</v>
      </c>
      <c r="B191">
        <v>21</v>
      </c>
      <c r="C191" t="s">
        <v>23</v>
      </c>
      <c r="D191" t="s">
        <v>17</v>
      </c>
      <c r="E191" t="s">
        <v>35</v>
      </c>
      <c r="F191" t="s">
        <v>36</v>
      </c>
      <c r="G191" t="s">
        <v>20</v>
      </c>
      <c r="H191" t="s">
        <v>30</v>
      </c>
      <c r="I191">
        <v>7</v>
      </c>
      <c r="J191">
        <v>4496</v>
      </c>
      <c r="K191" t="s">
        <v>22</v>
      </c>
      <c r="L191">
        <v>2</v>
      </c>
      <c r="M191">
        <v>2</v>
      </c>
      <c r="N191">
        <v>0</v>
      </c>
      <c r="O191">
        <v>0</v>
      </c>
      <c r="P191">
        <v>0</v>
      </c>
      <c r="Q191" t="s">
        <v>42</v>
      </c>
    </row>
    <row r="192" spans="1:17" x14ac:dyDescent="0.25">
      <c r="A192">
        <v>1745</v>
      </c>
      <c r="B192">
        <v>58</v>
      </c>
      <c r="C192" t="s">
        <v>23</v>
      </c>
      <c r="D192" t="s">
        <v>17</v>
      </c>
      <c r="E192" t="s">
        <v>35</v>
      </c>
      <c r="F192" t="s">
        <v>32</v>
      </c>
      <c r="G192" t="s">
        <v>33</v>
      </c>
      <c r="H192" t="s">
        <v>21</v>
      </c>
      <c r="I192">
        <v>21</v>
      </c>
      <c r="J192">
        <v>10888</v>
      </c>
      <c r="K192" t="s">
        <v>42</v>
      </c>
      <c r="L192">
        <v>4</v>
      </c>
      <c r="M192">
        <v>4</v>
      </c>
      <c r="N192">
        <v>5</v>
      </c>
      <c r="O192">
        <v>2</v>
      </c>
      <c r="P192">
        <v>33</v>
      </c>
      <c r="Q192" t="s">
        <v>22</v>
      </c>
    </row>
    <row r="193" spans="1:17" x14ac:dyDescent="0.25">
      <c r="A193">
        <v>1413</v>
      </c>
      <c r="B193">
        <v>54</v>
      </c>
      <c r="C193" t="s">
        <v>23</v>
      </c>
      <c r="D193" t="s">
        <v>38</v>
      </c>
      <c r="E193" t="s">
        <v>49</v>
      </c>
      <c r="F193" t="s">
        <v>36</v>
      </c>
      <c r="G193" t="s">
        <v>33</v>
      </c>
      <c r="H193" t="s">
        <v>30</v>
      </c>
      <c r="I193">
        <v>24</v>
      </c>
      <c r="J193">
        <v>13861</v>
      </c>
      <c r="K193" t="s">
        <v>22</v>
      </c>
      <c r="L193">
        <v>3</v>
      </c>
      <c r="M193">
        <v>1</v>
      </c>
      <c r="N193">
        <v>0</v>
      </c>
      <c r="O193">
        <v>0</v>
      </c>
      <c r="P193">
        <v>34</v>
      </c>
      <c r="Q193" t="s">
        <v>42</v>
      </c>
    </row>
    <row r="194" spans="1:17" x14ac:dyDescent="0.25">
      <c r="A194">
        <v>1788</v>
      </c>
      <c r="B194">
        <v>21</v>
      </c>
      <c r="C194" t="s">
        <v>16</v>
      </c>
      <c r="D194" t="s">
        <v>24</v>
      </c>
      <c r="E194" t="s">
        <v>52</v>
      </c>
      <c r="F194" t="s">
        <v>26</v>
      </c>
      <c r="G194" t="s">
        <v>20</v>
      </c>
      <c r="H194" t="s">
        <v>21</v>
      </c>
      <c r="I194">
        <v>11</v>
      </c>
      <c r="J194">
        <v>7211</v>
      </c>
      <c r="K194" t="s">
        <v>42</v>
      </c>
      <c r="L194">
        <v>1</v>
      </c>
      <c r="M194">
        <v>3</v>
      </c>
      <c r="N194">
        <v>0</v>
      </c>
      <c r="O194">
        <v>0</v>
      </c>
      <c r="P194">
        <v>0</v>
      </c>
      <c r="Q194" t="s">
        <v>42</v>
      </c>
    </row>
    <row r="195" spans="1:17" x14ac:dyDescent="0.25">
      <c r="A195">
        <v>1179</v>
      </c>
      <c r="B195">
        <v>31</v>
      </c>
      <c r="C195" t="s">
        <v>16</v>
      </c>
      <c r="D195" t="s">
        <v>17</v>
      </c>
      <c r="E195" t="s">
        <v>18</v>
      </c>
      <c r="F195" t="s">
        <v>36</v>
      </c>
      <c r="G195" t="s">
        <v>20</v>
      </c>
      <c r="H195" t="s">
        <v>21</v>
      </c>
      <c r="I195">
        <v>20</v>
      </c>
      <c r="J195">
        <v>10112</v>
      </c>
      <c r="K195" t="s">
        <v>22</v>
      </c>
      <c r="L195">
        <v>4</v>
      </c>
      <c r="M195">
        <v>3</v>
      </c>
      <c r="N195">
        <v>0</v>
      </c>
      <c r="O195">
        <v>0</v>
      </c>
      <c r="P195">
        <v>4</v>
      </c>
      <c r="Q195" t="s">
        <v>22</v>
      </c>
    </row>
    <row r="196" spans="1:17" x14ac:dyDescent="0.25">
      <c r="A196">
        <v>1026</v>
      </c>
      <c r="B196">
        <v>44</v>
      </c>
      <c r="C196" t="s">
        <v>16</v>
      </c>
      <c r="D196" t="s">
        <v>27</v>
      </c>
      <c r="E196" t="s">
        <v>31</v>
      </c>
      <c r="F196" t="s">
        <v>36</v>
      </c>
      <c r="G196" t="s">
        <v>37</v>
      </c>
      <c r="H196" t="s">
        <v>34</v>
      </c>
      <c r="I196">
        <v>28</v>
      </c>
      <c r="J196">
        <v>8427</v>
      </c>
      <c r="K196" t="s">
        <v>22</v>
      </c>
      <c r="L196">
        <v>3</v>
      </c>
      <c r="M196">
        <v>3</v>
      </c>
      <c r="N196">
        <v>7</v>
      </c>
      <c r="O196">
        <v>3</v>
      </c>
      <c r="P196">
        <v>24</v>
      </c>
      <c r="Q196" t="s">
        <v>22</v>
      </c>
    </row>
    <row r="197" spans="1:17" x14ac:dyDescent="0.25">
      <c r="A197">
        <v>1232</v>
      </c>
      <c r="B197">
        <v>47</v>
      </c>
      <c r="C197" t="s">
        <v>16</v>
      </c>
      <c r="D197" t="s">
        <v>17</v>
      </c>
      <c r="E197" t="s">
        <v>40</v>
      </c>
      <c r="F197" t="s">
        <v>19</v>
      </c>
      <c r="G197" t="s">
        <v>20</v>
      </c>
      <c r="H197" t="s">
        <v>30</v>
      </c>
      <c r="I197">
        <v>18</v>
      </c>
      <c r="J197">
        <v>12185</v>
      </c>
      <c r="K197" t="s">
        <v>42</v>
      </c>
      <c r="L197">
        <v>3</v>
      </c>
      <c r="M197">
        <v>1</v>
      </c>
      <c r="N197">
        <v>4</v>
      </c>
      <c r="O197">
        <v>4</v>
      </c>
      <c r="P197">
        <v>25</v>
      </c>
      <c r="Q197" t="s">
        <v>22</v>
      </c>
    </row>
    <row r="198" spans="1:17" x14ac:dyDescent="0.25">
      <c r="A198">
        <v>1946</v>
      </c>
      <c r="B198">
        <v>46</v>
      </c>
      <c r="C198" t="s">
        <v>23</v>
      </c>
      <c r="D198" t="s">
        <v>17</v>
      </c>
      <c r="E198" t="s">
        <v>18</v>
      </c>
      <c r="F198" t="s">
        <v>32</v>
      </c>
      <c r="G198" t="s">
        <v>20</v>
      </c>
      <c r="H198" t="s">
        <v>21</v>
      </c>
      <c r="I198">
        <v>4</v>
      </c>
      <c r="J198">
        <v>14688</v>
      </c>
      <c r="K198" t="s">
        <v>22</v>
      </c>
      <c r="L198">
        <v>1</v>
      </c>
      <c r="M198">
        <v>2</v>
      </c>
      <c r="N198">
        <v>15</v>
      </c>
      <c r="O198">
        <v>8</v>
      </c>
      <c r="P198">
        <v>25</v>
      </c>
      <c r="Q198" t="s">
        <v>95</v>
      </c>
    </row>
    <row r="199" spans="1:17" x14ac:dyDescent="0.25">
      <c r="A199">
        <v>1305</v>
      </c>
      <c r="B199">
        <v>59</v>
      </c>
      <c r="C199" t="s">
        <v>23</v>
      </c>
      <c r="D199" t="s">
        <v>47</v>
      </c>
      <c r="E199" t="s">
        <v>50</v>
      </c>
      <c r="G199" t="s">
        <v>37</v>
      </c>
      <c r="H199" t="s">
        <v>21</v>
      </c>
      <c r="I199">
        <v>28</v>
      </c>
      <c r="J199">
        <v>10703</v>
      </c>
      <c r="K199" t="s">
        <v>42</v>
      </c>
      <c r="L199">
        <v>4</v>
      </c>
      <c r="M199">
        <v>4</v>
      </c>
      <c r="N199">
        <v>19</v>
      </c>
      <c r="O199">
        <v>1</v>
      </c>
      <c r="P199">
        <v>32</v>
      </c>
      <c r="Q199" t="s">
        <v>22</v>
      </c>
    </row>
    <row r="200" spans="1:17" x14ac:dyDescent="0.25">
      <c r="A200">
        <v>1445</v>
      </c>
      <c r="B200">
        <v>32</v>
      </c>
      <c r="C200" t="s">
        <v>23</v>
      </c>
      <c r="D200" t="s">
        <v>24</v>
      </c>
      <c r="E200" t="s">
        <v>52</v>
      </c>
      <c r="F200" t="s">
        <v>36</v>
      </c>
      <c r="G200" t="s">
        <v>33</v>
      </c>
      <c r="H200" t="s">
        <v>34</v>
      </c>
      <c r="I200">
        <v>24</v>
      </c>
      <c r="J200">
        <v>8483</v>
      </c>
      <c r="K200" t="s">
        <v>22</v>
      </c>
      <c r="L200">
        <v>3</v>
      </c>
      <c r="M200">
        <v>3</v>
      </c>
      <c r="N200">
        <v>8</v>
      </c>
      <c r="O200">
        <v>7</v>
      </c>
      <c r="P200">
        <v>9</v>
      </c>
      <c r="Q200" t="s">
        <v>22</v>
      </c>
    </row>
    <row r="201" spans="1:17" x14ac:dyDescent="0.25">
      <c r="A201">
        <v>1272</v>
      </c>
      <c r="B201">
        <v>35</v>
      </c>
      <c r="C201" t="s">
        <v>23</v>
      </c>
      <c r="D201" t="s">
        <v>38</v>
      </c>
      <c r="E201" t="s">
        <v>49</v>
      </c>
      <c r="F201" t="s">
        <v>19</v>
      </c>
      <c r="G201" t="s">
        <v>37</v>
      </c>
      <c r="H201" t="s">
        <v>34</v>
      </c>
      <c r="I201">
        <v>26</v>
      </c>
      <c r="J201">
        <v>8488</v>
      </c>
      <c r="K201" t="s">
        <v>22</v>
      </c>
      <c r="L201">
        <v>4</v>
      </c>
      <c r="M201">
        <v>4</v>
      </c>
      <c r="N201">
        <v>2</v>
      </c>
      <c r="O201">
        <v>1</v>
      </c>
      <c r="P201">
        <v>2</v>
      </c>
      <c r="Q201" t="s">
        <v>22</v>
      </c>
    </row>
    <row r="202" spans="1:17" x14ac:dyDescent="0.25">
      <c r="A202">
        <v>1652</v>
      </c>
      <c r="B202">
        <v>52</v>
      </c>
      <c r="C202" t="s">
        <v>16</v>
      </c>
      <c r="D202" t="s">
        <v>38</v>
      </c>
      <c r="E202" t="s">
        <v>39</v>
      </c>
      <c r="F202" t="s">
        <v>32</v>
      </c>
      <c r="G202" t="s">
        <v>33</v>
      </c>
      <c r="H202" t="s">
        <v>30</v>
      </c>
      <c r="I202">
        <v>18</v>
      </c>
      <c r="J202">
        <v>9006</v>
      </c>
      <c r="K202" t="s">
        <v>22</v>
      </c>
      <c r="L202">
        <v>2</v>
      </c>
      <c r="M202">
        <v>3</v>
      </c>
      <c r="N202">
        <v>16</v>
      </c>
      <c r="O202">
        <v>8</v>
      </c>
      <c r="P202">
        <v>20</v>
      </c>
      <c r="Q202" t="s">
        <v>22</v>
      </c>
    </row>
    <row r="203" spans="1:17" x14ac:dyDescent="0.25">
      <c r="A203">
        <v>1400</v>
      </c>
      <c r="B203">
        <v>41</v>
      </c>
      <c r="C203" t="s">
        <v>16</v>
      </c>
      <c r="D203" t="s">
        <v>27</v>
      </c>
      <c r="E203" t="s">
        <v>31</v>
      </c>
      <c r="F203" t="s">
        <v>32</v>
      </c>
      <c r="G203" t="s">
        <v>33</v>
      </c>
      <c r="H203" t="s">
        <v>30</v>
      </c>
      <c r="I203">
        <v>15</v>
      </c>
      <c r="J203">
        <v>9514</v>
      </c>
      <c r="K203" t="s">
        <v>42</v>
      </c>
      <c r="L203">
        <v>4</v>
      </c>
      <c r="M203">
        <v>4</v>
      </c>
      <c r="N203">
        <v>19</v>
      </c>
      <c r="O203">
        <v>4</v>
      </c>
      <c r="P203">
        <v>21</v>
      </c>
      <c r="Q203" t="s">
        <v>22</v>
      </c>
    </row>
    <row r="204" spans="1:17" x14ac:dyDescent="0.25">
      <c r="A204">
        <v>1595</v>
      </c>
      <c r="B204">
        <v>43</v>
      </c>
      <c r="C204" t="s">
        <v>16</v>
      </c>
      <c r="D204" t="s">
        <v>47</v>
      </c>
      <c r="E204" t="s">
        <v>53</v>
      </c>
      <c r="F204" t="s">
        <v>36</v>
      </c>
      <c r="G204" t="s">
        <v>33</v>
      </c>
      <c r="H204" t="s">
        <v>21</v>
      </c>
      <c r="I204">
        <v>19</v>
      </c>
      <c r="J204">
        <v>10831</v>
      </c>
      <c r="K204" t="s">
        <v>22</v>
      </c>
      <c r="L204">
        <v>4</v>
      </c>
      <c r="M204">
        <v>4</v>
      </c>
      <c r="N204">
        <v>6</v>
      </c>
      <c r="O204">
        <v>5</v>
      </c>
      <c r="P204">
        <v>7</v>
      </c>
      <c r="Q204" t="s">
        <v>42</v>
      </c>
    </row>
    <row r="205" spans="1:17" x14ac:dyDescent="0.25">
      <c r="A205">
        <v>1066</v>
      </c>
      <c r="B205">
        <v>49</v>
      </c>
      <c r="C205" t="s">
        <v>16</v>
      </c>
      <c r="D205" t="s">
        <v>17</v>
      </c>
      <c r="E205" t="s">
        <v>40</v>
      </c>
      <c r="F205" t="s">
        <v>41</v>
      </c>
      <c r="G205" t="s">
        <v>20</v>
      </c>
      <c r="H205" t="s">
        <v>34</v>
      </c>
      <c r="I205">
        <v>14</v>
      </c>
      <c r="J205">
        <v>9194</v>
      </c>
      <c r="K205" t="s">
        <v>22</v>
      </c>
      <c r="L205">
        <v>3</v>
      </c>
      <c r="M205">
        <v>3</v>
      </c>
      <c r="N205">
        <v>5</v>
      </c>
      <c r="O205">
        <v>0</v>
      </c>
      <c r="P205">
        <v>29</v>
      </c>
      <c r="Q205" t="s">
        <v>22</v>
      </c>
    </row>
    <row r="206" spans="1:17" x14ac:dyDescent="0.25">
      <c r="A206">
        <v>1799</v>
      </c>
      <c r="B206">
        <v>54</v>
      </c>
      <c r="C206" t="s">
        <v>16</v>
      </c>
      <c r="D206" t="s">
        <v>27</v>
      </c>
      <c r="E206" t="s">
        <v>28</v>
      </c>
      <c r="F206" t="s">
        <v>41</v>
      </c>
      <c r="G206" t="s">
        <v>33</v>
      </c>
      <c r="H206" t="s">
        <v>34</v>
      </c>
      <c r="I206">
        <v>14</v>
      </c>
      <c r="J206">
        <v>12664</v>
      </c>
      <c r="K206" t="s">
        <v>22</v>
      </c>
      <c r="L206">
        <v>4</v>
      </c>
      <c r="M206">
        <v>1</v>
      </c>
      <c r="N206">
        <v>7</v>
      </c>
      <c r="O206">
        <v>5</v>
      </c>
      <c r="P206">
        <v>17</v>
      </c>
      <c r="Q206" t="s">
        <v>22</v>
      </c>
    </row>
    <row r="207" spans="1:17" x14ac:dyDescent="0.25">
      <c r="A207">
        <v>1353</v>
      </c>
      <c r="B207">
        <v>36</v>
      </c>
      <c r="C207" t="s">
        <v>16</v>
      </c>
      <c r="D207" t="s">
        <v>17</v>
      </c>
      <c r="E207" t="s">
        <v>18</v>
      </c>
      <c r="F207" t="s">
        <v>38</v>
      </c>
      <c r="G207" t="s">
        <v>37</v>
      </c>
      <c r="H207" t="s">
        <v>21</v>
      </c>
      <c r="I207">
        <v>10</v>
      </c>
      <c r="J207">
        <v>9009</v>
      </c>
      <c r="K207" t="s">
        <v>42</v>
      </c>
      <c r="L207">
        <v>1</v>
      </c>
      <c r="M207">
        <v>3</v>
      </c>
      <c r="N207">
        <v>1</v>
      </c>
      <c r="O207">
        <v>0</v>
      </c>
      <c r="P207">
        <v>5</v>
      </c>
      <c r="Q207" t="s">
        <v>42</v>
      </c>
    </row>
    <row r="208" spans="1:17" x14ac:dyDescent="0.25">
      <c r="A208">
        <v>1014</v>
      </c>
      <c r="B208">
        <v>56</v>
      </c>
      <c r="C208" t="s">
        <v>23</v>
      </c>
      <c r="D208" t="s">
        <v>17</v>
      </c>
      <c r="E208" t="s">
        <v>40</v>
      </c>
      <c r="F208" t="s">
        <v>41</v>
      </c>
      <c r="G208" t="s">
        <v>37</v>
      </c>
      <c r="H208" t="s">
        <v>34</v>
      </c>
      <c r="I208">
        <v>12</v>
      </c>
      <c r="J208">
        <v>9758</v>
      </c>
      <c r="K208" t="s">
        <v>22</v>
      </c>
      <c r="L208">
        <v>1</v>
      </c>
      <c r="M208">
        <v>1</v>
      </c>
      <c r="N208">
        <v>15</v>
      </c>
      <c r="O208">
        <v>13</v>
      </c>
      <c r="P208">
        <v>28</v>
      </c>
      <c r="Q208" t="s">
        <v>22</v>
      </c>
    </row>
    <row r="209" spans="1:17" x14ac:dyDescent="0.25">
      <c r="A209">
        <v>1104</v>
      </c>
      <c r="B209">
        <v>48</v>
      </c>
      <c r="C209" t="s">
        <v>16</v>
      </c>
      <c r="D209" t="s">
        <v>27</v>
      </c>
      <c r="E209" t="s">
        <v>28</v>
      </c>
      <c r="F209" t="s">
        <v>41</v>
      </c>
      <c r="G209" t="s">
        <v>33</v>
      </c>
      <c r="H209" t="s">
        <v>21</v>
      </c>
      <c r="I209">
        <v>24</v>
      </c>
      <c r="J209">
        <v>10282</v>
      </c>
      <c r="K209" t="s">
        <v>22</v>
      </c>
      <c r="L209">
        <v>2</v>
      </c>
      <c r="M209">
        <v>2</v>
      </c>
      <c r="N209">
        <v>0</v>
      </c>
      <c r="O209">
        <v>0</v>
      </c>
      <c r="P209">
        <v>15</v>
      </c>
      <c r="Q209" t="s">
        <v>22</v>
      </c>
    </row>
    <row r="210" spans="1:17" x14ac:dyDescent="0.25">
      <c r="A210">
        <v>1762</v>
      </c>
      <c r="B210">
        <v>30</v>
      </c>
      <c r="C210" t="s">
        <v>23</v>
      </c>
      <c r="D210" t="s">
        <v>27</v>
      </c>
      <c r="E210" t="s">
        <v>44</v>
      </c>
      <c r="F210" t="s">
        <v>19</v>
      </c>
      <c r="G210" t="s">
        <v>20</v>
      </c>
      <c r="H210" t="s">
        <v>30</v>
      </c>
      <c r="I210">
        <v>8</v>
      </c>
      <c r="J210">
        <v>7512</v>
      </c>
      <c r="K210" t="s">
        <v>42</v>
      </c>
      <c r="L210">
        <v>3</v>
      </c>
      <c r="M210">
        <v>3</v>
      </c>
      <c r="N210">
        <v>3</v>
      </c>
      <c r="O210">
        <v>1</v>
      </c>
      <c r="P210">
        <v>10</v>
      </c>
      <c r="Q210" t="s">
        <v>22</v>
      </c>
    </row>
    <row r="211" spans="1:17" x14ac:dyDescent="0.25">
      <c r="A211">
        <v>1869</v>
      </c>
      <c r="B211">
        <v>24</v>
      </c>
      <c r="C211" t="s">
        <v>16</v>
      </c>
      <c r="D211" t="s">
        <v>17</v>
      </c>
      <c r="E211" t="s">
        <v>18</v>
      </c>
      <c r="F211" t="s">
        <v>36</v>
      </c>
      <c r="G211" t="s">
        <v>20</v>
      </c>
      <c r="H211" t="s">
        <v>34</v>
      </c>
      <c r="I211">
        <v>19</v>
      </c>
      <c r="J211">
        <v>10858</v>
      </c>
      <c r="K211" t="s">
        <v>22</v>
      </c>
      <c r="L211">
        <v>2</v>
      </c>
      <c r="M211">
        <v>2</v>
      </c>
      <c r="N211">
        <v>0</v>
      </c>
      <c r="O211">
        <v>0</v>
      </c>
      <c r="P211">
        <v>0</v>
      </c>
      <c r="Q211" t="s">
        <v>42</v>
      </c>
    </row>
    <row r="212" spans="1:17" x14ac:dyDescent="0.25">
      <c r="A212">
        <v>1838</v>
      </c>
      <c r="B212">
        <v>28</v>
      </c>
      <c r="C212" t="s">
        <v>23</v>
      </c>
      <c r="D212" t="s">
        <v>17</v>
      </c>
      <c r="E212" t="s">
        <v>35</v>
      </c>
      <c r="F212" t="s">
        <v>19</v>
      </c>
      <c r="G212" t="s">
        <v>37</v>
      </c>
      <c r="H212" t="s">
        <v>30</v>
      </c>
      <c r="I212">
        <v>8</v>
      </c>
      <c r="J212">
        <v>7281</v>
      </c>
      <c r="K212" t="s">
        <v>22</v>
      </c>
      <c r="L212">
        <v>2</v>
      </c>
      <c r="M212">
        <v>1</v>
      </c>
      <c r="N212">
        <v>2</v>
      </c>
      <c r="O212">
        <v>0</v>
      </c>
      <c r="P212">
        <v>3</v>
      </c>
      <c r="Q212" t="s">
        <v>42</v>
      </c>
    </row>
    <row r="213" spans="1:17" x14ac:dyDescent="0.25">
      <c r="A213">
        <v>1701</v>
      </c>
      <c r="B213">
        <v>42</v>
      </c>
      <c r="C213" t="s">
        <v>23</v>
      </c>
      <c r="D213" t="s">
        <v>17</v>
      </c>
      <c r="E213" t="s">
        <v>35</v>
      </c>
      <c r="F213" t="s">
        <v>29</v>
      </c>
      <c r="G213" t="s">
        <v>37</v>
      </c>
      <c r="H213" t="s">
        <v>34</v>
      </c>
      <c r="I213">
        <v>1</v>
      </c>
      <c r="J213">
        <v>7374</v>
      </c>
      <c r="K213" t="s">
        <v>42</v>
      </c>
      <c r="L213">
        <v>3</v>
      </c>
      <c r="M213">
        <v>1</v>
      </c>
      <c r="N213">
        <v>8</v>
      </c>
      <c r="O213">
        <v>0</v>
      </c>
      <c r="P213">
        <v>11</v>
      </c>
      <c r="Q213" t="s">
        <v>22</v>
      </c>
    </row>
    <row r="214" spans="1:17" x14ac:dyDescent="0.25">
      <c r="A214">
        <v>1450</v>
      </c>
      <c r="B214">
        <v>51</v>
      </c>
      <c r="C214" t="s">
        <v>23</v>
      </c>
      <c r="D214" t="s">
        <v>24</v>
      </c>
      <c r="E214" t="s">
        <v>25</v>
      </c>
      <c r="F214" t="s">
        <v>29</v>
      </c>
      <c r="G214" t="s">
        <v>37</v>
      </c>
      <c r="H214" t="s">
        <v>30</v>
      </c>
      <c r="I214">
        <v>26</v>
      </c>
      <c r="J214">
        <v>13816</v>
      </c>
      <c r="K214" t="s">
        <v>22</v>
      </c>
      <c r="L214">
        <v>2</v>
      </c>
      <c r="M214">
        <v>2</v>
      </c>
      <c r="N214">
        <v>5</v>
      </c>
      <c r="O214">
        <v>0</v>
      </c>
      <c r="P214">
        <v>17</v>
      </c>
      <c r="Q214" t="s">
        <v>22</v>
      </c>
    </row>
    <row r="215" spans="1:17" x14ac:dyDescent="0.25">
      <c r="A215">
        <v>1994</v>
      </c>
      <c r="B215">
        <v>33</v>
      </c>
      <c r="C215" t="s">
        <v>16</v>
      </c>
      <c r="D215" t="s">
        <v>17</v>
      </c>
      <c r="E215" t="s">
        <v>40</v>
      </c>
      <c r="F215" t="s">
        <v>36</v>
      </c>
      <c r="G215" t="s">
        <v>37</v>
      </c>
      <c r="H215" t="s">
        <v>30</v>
      </c>
      <c r="I215">
        <v>12</v>
      </c>
      <c r="J215">
        <v>9587</v>
      </c>
      <c r="K215" t="s">
        <v>22</v>
      </c>
      <c r="L215">
        <v>4</v>
      </c>
      <c r="M215">
        <v>1</v>
      </c>
      <c r="N215">
        <v>1</v>
      </c>
      <c r="O215">
        <v>0</v>
      </c>
      <c r="P215">
        <v>12</v>
      </c>
      <c r="Q215" t="s">
        <v>22</v>
      </c>
    </row>
    <row r="216" spans="1:17" x14ac:dyDescent="0.25">
      <c r="A216">
        <v>1458</v>
      </c>
      <c r="B216">
        <v>44</v>
      </c>
      <c r="C216" t="s">
        <v>23</v>
      </c>
      <c r="D216" t="s">
        <v>24</v>
      </c>
      <c r="E216" t="s">
        <v>46</v>
      </c>
      <c r="F216" t="s">
        <v>36</v>
      </c>
      <c r="G216" t="s">
        <v>20</v>
      </c>
      <c r="H216" t="s">
        <v>30</v>
      </c>
      <c r="I216">
        <v>14</v>
      </c>
      <c r="J216">
        <v>10694</v>
      </c>
      <c r="K216" t="s">
        <v>22</v>
      </c>
      <c r="L216">
        <v>4</v>
      </c>
      <c r="M216">
        <v>3</v>
      </c>
      <c r="N216">
        <v>9</v>
      </c>
      <c r="O216">
        <v>7</v>
      </c>
      <c r="P216">
        <v>18</v>
      </c>
      <c r="Q216" t="s">
        <v>22</v>
      </c>
    </row>
    <row r="217" spans="1:17" x14ac:dyDescent="0.25">
      <c r="A217">
        <v>1689</v>
      </c>
      <c r="B217">
        <v>33</v>
      </c>
      <c r="C217" t="s">
        <v>16</v>
      </c>
      <c r="D217" t="s">
        <v>104</v>
      </c>
      <c r="E217" t="s">
        <v>25</v>
      </c>
      <c r="F217" t="s">
        <v>26</v>
      </c>
      <c r="G217" t="s">
        <v>33</v>
      </c>
      <c r="H217" t="s">
        <v>30</v>
      </c>
      <c r="I217">
        <v>10</v>
      </c>
      <c r="J217">
        <v>10337</v>
      </c>
      <c r="K217" t="s">
        <v>22</v>
      </c>
      <c r="L217">
        <v>3</v>
      </c>
      <c r="M217">
        <v>1</v>
      </c>
      <c r="N217">
        <v>9</v>
      </c>
      <c r="O217">
        <v>0</v>
      </c>
      <c r="P217">
        <v>13</v>
      </c>
      <c r="Q217" t="s">
        <v>22</v>
      </c>
    </row>
    <row r="218" spans="1:17" x14ac:dyDescent="0.25">
      <c r="A218">
        <v>1748</v>
      </c>
      <c r="B218">
        <v>48</v>
      </c>
      <c r="C218" t="s">
        <v>23</v>
      </c>
      <c r="D218" t="s">
        <v>27</v>
      </c>
      <c r="E218" t="s">
        <v>31</v>
      </c>
      <c r="F218" t="s">
        <v>29</v>
      </c>
      <c r="G218" t="s">
        <v>37</v>
      </c>
      <c r="H218" t="s">
        <v>21</v>
      </c>
      <c r="I218">
        <v>16</v>
      </c>
      <c r="J218">
        <v>10118</v>
      </c>
      <c r="K218" t="s">
        <v>42</v>
      </c>
      <c r="L218">
        <v>2</v>
      </c>
      <c r="M218">
        <v>3</v>
      </c>
      <c r="N218">
        <v>2</v>
      </c>
      <c r="O218">
        <v>2</v>
      </c>
      <c r="P218">
        <v>19</v>
      </c>
      <c r="Q218" t="s">
        <v>42</v>
      </c>
    </row>
    <row r="219" spans="1:17" x14ac:dyDescent="0.25">
      <c r="A219">
        <v>1349</v>
      </c>
      <c r="B219">
        <v>55</v>
      </c>
      <c r="C219" t="s">
        <v>23</v>
      </c>
      <c r="D219" t="s">
        <v>24</v>
      </c>
      <c r="E219" t="s">
        <v>46</v>
      </c>
      <c r="F219" t="s">
        <v>29</v>
      </c>
      <c r="G219" t="s">
        <v>33</v>
      </c>
      <c r="H219" t="s">
        <v>30</v>
      </c>
      <c r="I219">
        <v>16</v>
      </c>
      <c r="J219">
        <v>11169</v>
      </c>
      <c r="K219" t="s">
        <v>22</v>
      </c>
      <c r="L219">
        <v>2</v>
      </c>
      <c r="M219">
        <v>4</v>
      </c>
      <c r="N219">
        <v>16</v>
      </c>
      <c r="O219">
        <v>13</v>
      </c>
      <c r="P219">
        <v>29</v>
      </c>
      <c r="Q219" t="s">
        <v>22</v>
      </c>
    </row>
    <row r="220" spans="1:17" x14ac:dyDescent="0.25">
      <c r="A220">
        <v>1058</v>
      </c>
      <c r="B220">
        <v>25</v>
      </c>
      <c r="C220" t="s">
        <v>16</v>
      </c>
      <c r="D220" t="s">
        <v>96</v>
      </c>
      <c r="E220" t="s">
        <v>45</v>
      </c>
      <c r="F220" t="s">
        <v>38</v>
      </c>
      <c r="G220" t="s">
        <v>20</v>
      </c>
      <c r="H220" t="s">
        <v>21</v>
      </c>
      <c r="I220">
        <v>23</v>
      </c>
      <c r="J220">
        <v>8612</v>
      </c>
      <c r="K220" t="s">
        <v>22</v>
      </c>
      <c r="L220">
        <v>1</v>
      </c>
      <c r="M220">
        <v>2</v>
      </c>
      <c r="N220">
        <v>0</v>
      </c>
      <c r="O220">
        <v>0</v>
      </c>
      <c r="P220">
        <v>2</v>
      </c>
      <c r="Q220" t="s">
        <v>42</v>
      </c>
    </row>
    <row r="221" spans="1:17" x14ac:dyDescent="0.25">
      <c r="A221">
        <v>1063</v>
      </c>
      <c r="B221">
        <v>41</v>
      </c>
      <c r="C221" t="s">
        <v>16</v>
      </c>
      <c r="D221" t="s">
        <v>24</v>
      </c>
      <c r="E221" t="s">
        <v>46</v>
      </c>
      <c r="F221" t="s">
        <v>32</v>
      </c>
      <c r="G221" t="s">
        <v>37</v>
      </c>
      <c r="H221" t="s">
        <v>34</v>
      </c>
      <c r="I221">
        <v>22</v>
      </c>
      <c r="J221">
        <v>7160</v>
      </c>
      <c r="K221" t="s">
        <v>42</v>
      </c>
      <c r="L221">
        <v>1</v>
      </c>
      <c r="M221">
        <v>1</v>
      </c>
      <c r="N221">
        <v>12</v>
      </c>
      <c r="O221">
        <v>5</v>
      </c>
      <c r="P221">
        <v>21</v>
      </c>
      <c r="Q221" t="s">
        <v>22</v>
      </c>
    </row>
    <row r="222" spans="1:17" x14ac:dyDescent="0.25">
      <c r="A222">
        <v>1200</v>
      </c>
      <c r="B222">
        <v>27</v>
      </c>
      <c r="C222" t="s">
        <v>23</v>
      </c>
      <c r="D222" t="s">
        <v>38</v>
      </c>
      <c r="E222" t="s">
        <v>39</v>
      </c>
      <c r="F222" t="s">
        <v>19</v>
      </c>
      <c r="G222" t="s">
        <v>33</v>
      </c>
      <c r="H222" t="s">
        <v>21</v>
      </c>
      <c r="I222">
        <v>26</v>
      </c>
      <c r="J222">
        <v>5760</v>
      </c>
      <c r="K222" t="s">
        <v>22</v>
      </c>
      <c r="L222">
        <v>4</v>
      </c>
      <c r="M222">
        <v>3</v>
      </c>
      <c r="N222">
        <v>0</v>
      </c>
      <c r="O222">
        <v>0</v>
      </c>
      <c r="P222">
        <v>5</v>
      </c>
      <c r="Q222" t="s">
        <v>22</v>
      </c>
    </row>
    <row r="223" spans="1:17" x14ac:dyDescent="0.25">
      <c r="A223">
        <v>1690</v>
      </c>
      <c r="B223">
        <v>46</v>
      </c>
      <c r="C223" t="s">
        <v>105</v>
      </c>
      <c r="D223" t="s">
        <v>24</v>
      </c>
      <c r="E223" t="s">
        <v>45</v>
      </c>
      <c r="F223" t="s">
        <v>29</v>
      </c>
      <c r="G223" t="s">
        <v>33</v>
      </c>
      <c r="H223" t="s">
        <v>30</v>
      </c>
      <c r="I223">
        <v>12</v>
      </c>
      <c r="J223">
        <v>9536</v>
      </c>
      <c r="K223" t="s">
        <v>22</v>
      </c>
      <c r="L223">
        <v>1</v>
      </c>
      <c r="M223">
        <v>2</v>
      </c>
      <c r="N223">
        <v>17</v>
      </c>
      <c r="O223">
        <v>13</v>
      </c>
      <c r="P223">
        <v>18</v>
      </c>
      <c r="Q223" t="s">
        <v>42</v>
      </c>
    </row>
    <row r="224" spans="1:17" x14ac:dyDescent="0.25">
      <c r="A224">
        <v>1618</v>
      </c>
      <c r="B224">
        <v>44</v>
      </c>
      <c r="C224" t="s">
        <v>23</v>
      </c>
      <c r="D224" t="s">
        <v>27</v>
      </c>
      <c r="E224" t="s">
        <v>43</v>
      </c>
      <c r="F224" t="s">
        <v>29</v>
      </c>
      <c r="G224" t="s">
        <v>37</v>
      </c>
      <c r="H224" t="s">
        <v>21</v>
      </c>
      <c r="I224">
        <v>2</v>
      </c>
      <c r="J224">
        <v>9966</v>
      </c>
      <c r="K224" t="s">
        <v>42</v>
      </c>
      <c r="L224">
        <v>3</v>
      </c>
      <c r="M224">
        <v>4</v>
      </c>
      <c r="N224">
        <v>5</v>
      </c>
      <c r="O224">
        <v>0</v>
      </c>
      <c r="P224">
        <v>24</v>
      </c>
      <c r="Q224" t="s">
        <v>42</v>
      </c>
    </row>
    <row r="225" spans="1:17" x14ac:dyDescent="0.25">
      <c r="A225">
        <v>1377</v>
      </c>
      <c r="B225">
        <v>42</v>
      </c>
      <c r="C225" t="s">
        <v>16</v>
      </c>
      <c r="D225" t="s">
        <v>96</v>
      </c>
      <c r="E225" t="s">
        <v>25</v>
      </c>
      <c r="F225" t="s">
        <v>36</v>
      </c>
      <c r="G225" t="s">
        <v>20</v>
      </c>
      <c r="H225" t="s">
        <v>30</v>
      </c>
      <c r="I225">
        <v>13</v>
      </c>
      <c r="J225">
        <v>13021</v>
      </c>
      <c r="K225" t="s">
        <v>22</v>
      </c>
      <c r="L225">
        <v>4</v>
      </c>
      <c r="M225">
        <v>2</v>
      </c>
      <c r="N225">
        <v>0</v>
      </c>
      <c r="O225">
        <v>0</v>
      </c>
      <c r="P225">
        <v>20</v>
      </c>
      <c r="Q225" t="s">
        <v>42</v>
      </c>
    </row>
    <row r="226" spans="1:17" x14ac:dyDescent="0.25">
      <c r="A226">
        <v>1317</v>
      </c>
      <c r="B226">
        <v>51</v>
      </c>
      <c r="C226" t="s">
        <v>16</v>
      </c>
      <c r="D226" t="s">
        <v>24</v>
      </c>
      <c r="E226" t="s">
        <v>25</v>
      </c>
      <c r="F226" t="s">
        <v>26</v>
      </c>
      <c r="G226" t="s">
        <v>37</v>
      </c>
      <c r="H226" t="s">
        <v>34</v>
      </c>
      <c r="I226">
        <v>27</v>
      </c>
      <c r="J226">
        <v>15311</v>
      </c>
      <c r="K226" t="s">
        <v>42</v>
      </c>
      <c r="L226">
        <v>1</v>
      </c>
      <c r="M226">
        <v>2</v>
      </c>
      <c r="N226">
        <v>18</v>
      </c>
      <c r="O226">
        <v>1</v>
      </c>
      <c r="P226">
        <v>25</v>
      </c>
      <c r="Q226" t="s">
        <v>42</v>
      </c>
    </row>
    <row r="227" spans="1:17" x14ac:dyDescent="0.25">
      <c r="A227">
        <v>1134</v>
      </c>
      <c r="B227">
        <v>38</v>
      </c>
      <c r="C227" t="s">
        <v>16</v>
      </c>
      <c r="D227" t="s">
        <v>24</v>
      </c>
      <c r="E227" t="s">
        <v>25</v>
      </c>
      <c r="F227" t="s">
        <v>41</v>
      </c>
      <c r="G227" t="s">
        <v>37</v>
      </c>
      <c r="H227" t="s">
        <v>21</v>
      </c>
      <c r="I227">
        <v>23</v>
      </c>
      <c r="J227">
        <v>13798</v>
      </c>
      <c r="K227" t="s">
        <v>42</v>
      </c>
      <c r="L227">
        <v>2</v>
      </c>
      <c r="M227">
        <v>3</v>
      </c>
      <c r="N227">
        <v>12</v>
      </c>
      <c r="O227">
        <v>6</v>
      </c>
      <c r="P227">
        <v>18</v>
      </c>
      <c r="Q227" t="s">
        <v>110</v>
      </c>
    </row>
    <row r="228" spans="1:17" x14ac:dyDescent="0.25">
      <c r="A228">
        <v>1343</v>
      </c>
      <c r="B228">
        <v>44</v>
      </c>
      <c r="C228" t="s">
        <v>16</v>
      </c>
      <c r="D228" t="s">
        <v>38</v>
      </c>
      <c r="E228" t="s">
        <v>39</v>
      </c>
      <c r="F228" t="s">
        <v>29</v>
      </c>
      <c r="G228" t="s">
        <v>33</v>
      </c>
      <c r="H228" t="s">
        <v>30</v>
      </c>
      <c r="I228">
        <v>2</v>
      </c>
      <c r="J228">
        <v>5399</v>
      </c>
      <c r="K228" t="s">
        <v>42</v>
      </c>
      <c r="L228">
        <v>4</v>
      </c>
      <c r="M228">
        <v>4</v>
      </c>
      <c r="N228">
        <v>8</v>
      </c>
      <c r="O228">
        <v>5</v>
      </c>
      <c r="P228">
        <v>21</v>
      </c>
      <c r="Q228" t="s">
        <v>22</v>
      </c>
    </row>
    <row r="229" spans="1:17" x14ac:dyDescent="0.25">
      <c r="A229">
        <v>1184</v>
      </c>
      <c r="B229">
        <v>48</v>
      </c>
      <c r="C229" t="s">
        <v>105</v>
      </c>
      <c r="D229" t="s">
        <v>27</v>
      </c>
      <c r="E229" t="s">
        <v>31</v>
      </c>
      <c r="F229" t="s">
        <v>41</v>
      </c>
      <c r="G229" t="s">
        <v>33</v>
      </c>
      <c r="H229" t="s">
        <v>34</v>
      </c>
      <c r="I229">
        <v>28</v>
      </c>
      <c r="J229">
        <v>6502</v>
      </c>
      <c r="K229" t="s">
        <v>42</v>
      </c>
      <c r="L229">
        <v>1</v>
      </c>
      <c r="M229">
        <v>4</v>
      </c>
      <c r="N229">
        <v>1</v>
      </c>
      <c r="O229">
        <v>0</v>
      </c>
      <c r="P229">
        <v>9</v>
      </c>
      <c r="Q229" t="s">
        <v>22</v>
      </c>
    </row>
    <row r="230" spans="1:17" x14ac:dyDescent="0.25">
      <c r="A230">
        <v>1484</v>
      </c>
      <c r="B230">
        <v>28</v>
      </c>
      <c r="C230" t="s">
        <v>16</v>
      </c>
      <c r="D230" t="s">
        <v>17</v>
      </c>
      <c r="E230" t="s">
        <v>18</v>
      </c>
      <c r="F230" t="s">
        <v>26</v>
      </c>
      <c r="G230" t="s">
        <v>20</v>
      </c>
      <c r="H230" t="s">
        <v>34</v>
      </c>
      <c r="I230">
        <v>19</v>
      </c>
      <c r="J230">
        <v>8393</v>
      </c>
      <c r="K230" t="s">
        <v>42</v>
      </c>
      <c r="L230">
        <v>2</v>
      </c>
      <c r="M230">
        <v>3</v>
      </c>
      <c r="N230">
        <v>5</v>
      </c>
      <c r="O230">
        <v>3</v>
      </c>
      <c r="P230">
        <v>8</v>
      </c>
      <c r="Q230" t="s">
        <v>22</v>
      </c>
    </row>
    <row r="231" spans="1:17" x14ac:dyDescent="0.25">
      <c r="A231">
        <v>1175</v>
      </c>
      <c r="B231">
        <v>48</v>
      </c>
      <c r="C231" t="s">
        <v>23</v>
      </c>
      <c r="D231" t="s">
        <v>24</v>
      </c>
      <c r="E231" t="s">
        <v>52</v>
      </c>
      <c r="F231" t="s">
        <v>36</v>
      </c>
      <c r="G231" t="s">
        <v>33</v>
      </c>
      <c r="H231" t="s">
        <v>30</v>
      </c>
      <c r="I231">
        <v>10</v>
      </c>
      <c r="J231">
        <v>10310</v>
      </c>
      <c r="K231" t="s">
        <v>22</v>
      </c>
      <c r="L231">
        <v>3</v>
      </c>
      <c r="M231">
        <v>1</v>
      </c>
      <c r="N231">
        <v>18</v>
      </c>
      <c r="O231">
        <v>16</v>
      </c>
      <c r="P231">
        <v>20</v>
      </c>
      <c r="Q231" t="s">
        <v>22</v>
      </c>
    </row>
    <row r="232" spans="1:17" x14ac:dyDescent="0.25">
      <c r="A232">
        <v>1892</v>
      </c>
      <c r="B232">
        <v>52</v>
      </c>
      <c r="C232" t="s">
        <v>23</v>
      </c>
      <c r="D232" t="s">
        <v>24</v>
      </c>
      <c r="E232" t="s">
        <v>46</v>
      </c>
      <c r="F232" t="s">
        <v>29</v>
      </c>
      <c r="G232" t="s">
        <v>33</v>
      </c>
      <c r="H232" t="s">
        <v>30</v>
      </c>
      <c r="I232">
        <v>24</v>
      </c>
      <c r="J232">
        <v>13543</v>
      </c>
      <c r="K232" t="s">
        <v>42</v>
      </c>
      <c r="L232">
        <v>2</v>
      </c>
      <c r="M232">
        <v>1</v>
      </c>
      <c r="N232">
        <v>16</v>
      </c>
      <c r="O232">
        <v>6</v>
      </c>
      <c r="P232">
        <v>31</v>
      </c>
      <c r="Q232" t="s">
        <v>22</v>
      </c>
    </row>
    <row r="233" spans="1:17" x14ac:dyDescent="0.25">
      <c r="A233">
        <v>1345</v>
      </c>
      <c r="B233">
        <v>29</v>
      </c>
      <c r="C233" t="s">
        <v>105</v>
      </c>
      <c r="D233" t="s">
        <v>17</v>
      </c>
      <c r="E233" t="s">
        <v>35</v>
      </c>
      <c r="F233" t="s">
        <v>38</v>
      </c>
      <c r="G233" t="s">
        <v>33</v>
      </c>
      <c r="H233" t="s">
        <v>30</v>
      </c>
      <c r="I233">
        <v>19</v>
      </c>
      <c r="J233">
        <v>7663</v>
      </c>
      <c r="K233" t="s">
        <v>22</v>
      </c>
      <c r="L233">
        <v>3</v>
      </c>
      <c r="M233">
        <v>1</v>
      </c>
      <c r="N233">
        <v>3</v>
      </c>
      <c r="O233">
        <v>1</v>
      </c>
      <c r="P233">
        <v>8</v>
      </c>
      <c r="Q233" t="s">
        <v>22</v>
      </c>
    </row>
    <row r="234" spans="1:17" x14ac:dyDescent="0.25">
      <c r="A234">
        <v>1135</v>
      </c>
      <c r="B234">
        <v>32</v>
      </c>
      <c r="C234" t="s">
        <v>23</v>
      </c>
      <c r="D234" t="s">
        <v>27</v>
      </c>
      <c r="E234" t="s">
        <v>43</v>
      </c>
      <c r="F234" t="s">
        <v>32</v>
      </c>
      <c r="G234" t="s">
        <v>37</v>
      </c>
      <c r="H234" t="s">
        <v>34</v>
      </c>
      <c r="I234">
        <v>22</v>
      </c>
      <c r="J234">
        <v>6737</v>
      </c>
      <c r="K234" t="s">
        <v>42</v>
      </c>
      <c r="L234">
        <v>1</v>
      </c>
      <c r="M234">
        <v>2</v>
      </c>
      <c r="N234">
        <v>8</v>
      </c>
      <c r="O234">
        <v>4</v>
      </c>
      <c r="P234">
        <v>9</v>
      </c>
      <c r="Q234" t="s">
        <v>22</v>
      </c>
    </row>
    <row r="235" spans="1:17" x14ac:dyDescent="0.25">
      <c r="A235">
        <v>1521</v>
      </c>
      <c r="B235">
        <v>45</v>
      </c>
      <c r="C235" t="s">
        <v>16</v>
      </c>
      <c r="D235" t="s">
        <v>24</v>
      </c>
      <c r="E235" t="s">
        <v>25</v>
      </c>
      <c r="F235" t="s">
        <v>36</v>
      </c>
      <c r="G235" t="s">
        <v>37</v>
      </c>
      <c r="H235" t="s">
        <v>30</v>
      </c>
      <c r="I235">
        <v>18</v>
      </c>
      <c r="J235">
        <v>10208</v>
      </c>
      <c r="K235" t="s">
        <v>22</v>
      </c>
      <c r="L235">
        <v>4</v>
      </c>
      <c r="M235">
        <v>2</v>
      </c>
      <c r="N235">
        <v>2</v>
      </c>
      <c r="O235">
        <v>0</v>
      </c>
      <c r="P235">
        <v>22</v>
      </c>
      <c r="Q235" t="s">
        <v>22</v>
      </c>
    </row>
    <row r="236" spans="1:17" x14ac:dyDescent="0.25">
      <c r="A236">
        <v>1591</v>
      </c>
      <c r="B236">
        <v>33</v>
      </c>
      <c r="C236" t="s">
        <v>23</v>
      </c>
      <c r="D236" t="s">
        <v>38</v>
      </c>
      <c r="E236" t="s">
        <v>39</v>
      </c>
      <c r="F236" t="s">
        <v>32</v>
      </c>
      <c r="G236" t="s">
        <v>33</v>
      </c>
      <c r="H236" t="s">
        <v>21</v>
      </c>
      <c r="I236">
        <v>10</v>
      </c>
      <c r="J236">
        <v>7393</v>
      </c>
      <c r="K236" t="s">
        <v>22</v>
      </c>
      <c r="L236">
        <v>1</v>
      </c>
      <c r="M236">
        <v>4</v>
      </c>
      <c r="N236">
        <v>8</v>
      </c>
      <c r="O236">
        <v>3</v>
      </c>
      <c r="P236">
        <v>11</v>
      </c>
      <c r="Q236" t="s">
        <v>42</v>
      </c>
    </row>
    <row r="237" spans="1:17" x14ac:dyDescent="0.25">
      <c r="A237">
        <v>1388</v>
      </c>
      <c r="B237">
        <v>54</v>
      </c>
      <c r="C237" t="s">
        <v>16</v>
      </c>
      <c r="D237" t="s">
        <v>24</v>
      </c>
      <c r="E237" t="s">
        <v>25</v>
      </c>
      <c r="F237" t="s">
        <v>32</v>
      </c>
      <c r="G237" t="s">
        <v>20</v>
      </c>
      <c r="H237" t="s">
        <v>21</v>
      </c>
      <c r="I237">
        <v>4</v>
      </c>
      <c r="J237">
        <v>13329</v>
      </c>
      <c r="K237" t="s">
        <v>22</v>
      </c>
      <c r="M237">
        <v>4</v>
      </c>
      <c r="N237">
        <v>21</v>
      </c>
      <c r="O237">
        <v>2</v>
      </c>
      <c r="P237">
        <v>28</v>
      </c>
      <c r="Q237" t="s">
        <v>22</v>
      </c>
    </row>
    <row r="238" spans="1:17" x14ac:dyDescent="0.25">
      <c r="A238">
        <v>1297</v>
      </c>
      <c r="B238">
        <v>30</v>
      </c>
      <c r="C238" t="s">
        <v>23</v>
      </c>
      <c r="D238" t="s">
        <v>38</v>
      </c>
      <c r="E238" t="s">
        <v>49</v>
      </c>
      <c r="F238" t="s">
        <v>26</v>
      </c>
      <c r="G238" t="s">
        <v>37</v>
      </c>
      <c r="H238" t="s">
        <v>30</v>
      </c>
      <c r="I238">
        <v>1</v>
      </c>
      <c r="J238">
        <v>7934</v>
      </c>
      <c r="K238" t="s">
        <v>42</v>
      </c>
      <c r="L238">
        <v>4</v>
      </c>
      <c r="M238">
        <v>4</v>
      </c>
      <c r="N238">
        <v>3</v>
      </c>
      <c r="O238">
        <v>0</v>
      </c>
      <c r="P238">
        <v>5</v>
      </c>
      <c r="Q238" t="s">
        <v>42</v>
      </c>
    </row>
    <row r="239" spans="1:17" x14ac:dyDescent="0.25">
      <c r="A239">
        <v>1949</v>
      </c>
      <c r="B239">
        <v>21</v>
      </c>
      <c r="C239" t="s">
        <v>23</v>
      </c>
      <c r="D239" t="s">
        <v>38</v>
      </c>
      <c r="E239" t="s">
        <v>49</v>
      </c>
      <c r="F239" t="s">
        <v>36</v>
      </c>
      <c r="G239" t="s">
        <v>20</v>
      </c>
      <c r="H239" t="s">
        <v>21</v>
      </c>
      <c r="I239">
        <v>9</v>
      </c>
      <c r="J239">
        <v>7003</v>
      </c>
      <c r="K239" t="s">
        <v>42</v>
      </c>
      <c r="L239">
        <v>3</v>
      </c>
      <c r="M239">
        <v>3</v>
      </c>
      <c r="N239">
        <v>0</v>
      </c>
      <c r="O239">
        <v>0</v>
      </c>
      <c r="P239">
        <v>0</v>
      </c>
      <c r="Q239" t="s">
        <v>22</v>
      </c>
    </row>
    <row r="240" spans="1:17" x14ac:dyDescent="0.25">
      <c r="A240">
        <v>1407</v>
      </c>
      <c r="B240">
        <v>23</v>
      </c>
      <c r="C240" t="s">
        <v>23</v>
      </c>
      <c r="D240" t="s">
        <v>100</v>
      </c>
      <c r="E240" t="s">
        <v>44</v>
      </c>
      <c r="F240" t="s">
        <v>32</v>
      </c>
      <c r="G240" t="s">
        <v>37</v>
      </c>
      <c r="H240" t="s">
        <v>21</v>
      </c>
      <c r="I240">
        <v>3</v>
      </c>
      <c r="J240">
        <v>6945</v>
      </c>
      <c r="K240" t="s">
        <v>42</v>
      </c>
      <c r="L240">
        <v>3</v>
      </c>
      <c r="M240">
        <v>3</v>
      </c>
      <c r="N240">
        <v>0</v>
      </c>
      <c r="O240">
        <v>0</v>
      </c>
      <c r="P240">
        <v>0</v>
      </c>
      <c r="Q240" t="s">
        <v>42</v>
      </c>
    </row>
    <row r="241" spans="1:17" x14ac:dyDescent="0.25">
      <c r="A241">
        <v>1254</v>
      </c>
      <c r="B241">
        <v>36</v>
      </c>
      <c r="C241" t="s">
        <v>16</v>
      </c>
      <c r="D241" t="s">
        <v>17</v>
      </c>
      <c r="E241" t="s">
        <v>40</v>
      </c>
      <c r="F241" t="s">
        <v>38</v>
      </c>
      <c r="G241" t="s">
        <v>20</v>
      </c>
      <c r="H241" t="s">
        <v>21</v>
      </c>
      <c r="I241">
        <v>16</v>
      </c>
      <c r="J241">
        <v>4797</v>
      </c>
      <c r="K241" t="s">
        <v>42</v>
      </c>
      <c r="L241">
        <v>3</v>
      </c>
      <c r="M241">
        <v>2</v>
      </c>
      <c r="N241">
        <v>11</v>
      </c>
      <c r="O241">
        <v>11</v>
      </c>
      <c r="P241">
        <v>16</v>
      </c>
      <c r="Q241" t="s">
        <v>22</v>
      </c>
    </row>
    <row r="242" spans="1:17" x14ac:dyDescent="0.25">
      <c r="A242">
        <v>1228</v>
      </c>
      <c r="B242">
        <v>26</v>
      </c>
      <c r="C242" t="s">
        <v>16</v>
      </c>
      <c r="D242" t="s">
        <v>38</v>
      </c>
      <c r="E242" t="s">
        <v>39</v>
      </c>
      <c r="F242" t="s">
        <v>38</v>
      </c>
      <c r="G242" t="s">
        <v>20</v>
      </c>
      <c r="H242" t="s">
        <v>34</v>
      </c>
      <c r="I242">
        <v>16</v>
      </c>
      <c r="J242" t="s">
        <v>111</v>
      </c>
      <c r="K242" t="s">
        <v>22</v>
      </c>
      <c r="L242">
        <v>1</v>
      </c>
      <c r="M242">
        <v>3</v>
      </c>
      <c r="N242">
        <v>2</v>
      </c>
      <c r="O242">
        <v>0</v>
      </c>
      <c r="P242">
        <v>5</v>
      </c>
      <c r="Q242" t="s">
        <v>22</v>
      </c>
    </row>
    <row r="243" spans="1:17" x14ac:dyDescent="0.25">
      <c r="A243">
        <v>1798</v>
      </c>
      <c r="B243">
        <v>23</v>
      </c>
      <c r="C243" t="s">
        <v>16</v>
      </c>
      <c r="D243" t="s">
        <v>27</v>
      </c>
      <c r="E243" t="s">
        <v>43</v>
      </c>
      <c r="F243" t="s">
        <v>41</v>
      </c>
      <c r="G243" t="s">
        <v>33</v>
      </c>
      <c r="H243" t="s">
        <v>21</v>
      </c>
      <c r="I243">
        <v>23</v>
      </c>
      <c r="J243" t="s">
        <v>112</v>
      </c>
      <c r="K243" t="s">
        <v>42</v>
      </c>
      <c r="L243">
        <v>3</v>
      </c>
      <c r="M243">
        <v>2</v>
      </c>
      <c r="N243">
        <v>0</v>
      </c>
      <c r="O243">
        <v>0</v>
      </c>
      <c r="P243">
        <v>0</v>
      </c>
      <c r="Q243" t="s">
        <v>22</v>
      </c>
    </row>
    <row r="244" spans="1:17" x14ac:dyDescent="0.25">
      <c r="A244">
        <v>1451</v>
      </c>
      <c r="B244">
        <v>46</v>
      </c>
      <c r="C244" t="s">
        <v>113</v>
      </c>
      <c r="D244" t="s">
        <v>27</v>
      </c>
      <c r="E244" t="s">
        <v>31</v>
      </c>
      <c r="F244" t="s">
        <v>29</v>
      </c>
      <c r="G244" t="s">
        <v>37</v>
      </c>
      <c r="H244" t="s">
        <v>21</v>
      </c>
      <c r="I244">
        <v>5</v>
      </c>
      <c r="J244">
        <v>9837</v>
      </c>
      <c r="K244" t="s">
        <v>22</v>
      </c>
      <c r="L244">
        <v>3</v>
      </c>
      <c r="M244">
        <v>3</v>
      </c>
      <c r="N244">
        <v>4</v>
      </c>
      <c r="O244">
        <v>0</v>
      </c>
      <c r="P244">
        <v>20</v>
      </c>
      <c r="Q244" t="s">
        <v>22</v>
      </c>
    </row>
    <row r="245" spans="1:17" x14ac:dyDescent="0.25">
      <c r="A245">
        <v>1985</v>
      </c>
      <c r="B245">
        <v>37</v>
      </c>
      <c r="C245" t="s">
        <v>23</v>
      </c>
      <c r="D245" t="s">
        <v>27</v>
      </c>
      <c r="E245" t="s">
        <v>44</v>
      </c>
      <c r="F245" t="s">
        <v>41</v>
      </c>
      <c r="G245" t="s">
        <v>20</v>
      </c>
      <c r="H245" t="s">
        <v>21</v>
      </c>
      <c r="I245">
        <v>13</v>
      </c>
      <c r="J245">
        <v>9414</v>
      </c>
      <c r="K245" t="s">
        <v>22</v>
      </c>
      <c r="L245">
        <v>2</v>
      </c>
      <c r="M245">
        <v>1</v>
      </c>
      <c r="N245">
        <v>2</v>
      </c>
      <c r="O245">
        <v>2</v>
      </c>
      <c r="P245">
        <v>17</v>
      </c>
      <c r="Q245" t="s">
        <v>42</v>
      </c>
    </row>
    <row r="246" spans="1:17" x14ac:dyDescent="0.25">
      <c r="A246">
        <v>1360</v>
      </c>
      <c r="B246">
        <v>29</v>
      </c>
      <c r="C246" t="s">
        <v>16</v>
      </c>
      <c r="D246" t="s">
        <v>27</v>
      </c>
      <c r="E246" t="s">
        <v>44</v>
      </c>
      <c r="F246" t="s">
        <v>38</v>
      </c>
      <c r="G246" t="s">
        <v>20</v>
      </c>
      <c r="H246" t="s">
        <v>34</v>
      </c>
      <c r="I246">
        <v>1</v>
      </c>
      <c r="J246">
        <v>6345</v>
      </c>
      <c r="K246" t="s">
        <v>42</v>
      </c>
      <c r="L246">
        <v>2</v>
      </c>
      <c r="M246">
        <v>2</v>
      </c>
      <c r="N246">
        <v>1</v>
      </c>
      <c r="O246">
        <v>0</v>
      </c>
      <c r="P246">
        <v>5</v>
      </c>
      <c r="Q246" t="s">
        <v>42</v>
      </c>
    </row>
    <row r="247" spans="1:17" x14ac:dyDescent="0.25">
      <c r="A247">
        <v>1661</v>
      </c>
      <c r="B247">
        <v>44</v>
      </c>
      <c r="C247" t="s">
        <v>23</v>
      </c>
      <c r="D247" t="s">
        <v>17</v>
      </c>
      <c r="E247" t="s">
        <v>35</v>
      </c>
      <c r="F247" t="s">
        <v>19</v>
      </c>
      <c r="G247" t="s">
        <v>20</v>
      </c>
      <c r="H247" t="s">
        <v>34</v>
      </c>
      <c r="I247">
        <v>8</v>
      </c>
      <c r="J247">
        <v>11153</v>
      </c>
      <c r="K247" t="s">
        <v>22</v>
      </c>
      <c r="L247">
        <v>4</v>
      </c>
      <c r="M247">
        <v>2</v>
      </c>
      <c r="N247">
        <v>7</v>
      </c>
      <c r="O247">
        <v>6</v>
      </c>
      <c r="P247">
        <v>24</v>
      </c>
      <c r="Q247" t="s">
        <v>22</v>
      </c>
    </row>
    <row r="248" spans="1:17" x14ac:dyDescent="0.25">
      <c r="A248">
        <v>1339</v>
      </c>
      <c r="B248">
        <v>23</v>
      </c>
      <c r="C248" t="s">
        <v>23</v>
      </c>
      <c r="D248" t="s">
        <v>24</v>
      </c>
      <c r="E248" t="s">
        <v>25</v>
      </c>
      <c r="F248" t="s">
        <v>41</v>
      </c>
      <c r="G248" t="s">
        <v>37</v>
      </c>
      <c r="H248" t="s">
        <v>34</v>
      </c>
      <c r="I248">
        <v>29</v>
      </c>
      <c r="J248">
        <v>10522</v>
      </c>
      <c r="K248" t="s">
        <v>22</v>
      </c>
      <c r="L248">
        <v>1</v>
      </c>
      <c r="M248">
        <v>2</v>
      </c>
      <c r="N248">
        <v>0</v>
      </c>
      <c r="O248">
        <v>0</v>
      </c>
      <c r="P248">
        <v>0</v>
      </c>
      <c r="Q248" t="s">
        <v>22</v>
      </c>
    </row>
    <row r="249" spans="1:17" x14ac:dyDescent="0.25">
      <c r="A249">
        <v>1731</v>
      </c>
      <c r="B249">
        <v>45</v>
      </c>
      <c r="C249" t="s">
        <v>16</v>
      </c>
      <c r="D249" t="s">
        <v>38</v>
      </c>
      <c r="E249" t="s">
        <v>49</v>
      </c>
      <c r="F249" t="s">
        <v>32</v>
      </c>
      <c r="G249" t="s">
        <v>37</v>
      </c>
      <c r="H249" t="s">
        <v>34</v>
      </c>
      <c r="I249">
        <v>11</v>
      </c>
      <c r="J249">
        <v>12308</v>
      </c>
      <c r="K249" t="s">
        <v>22</v>
      </c>
      <c r="L249">
        <v>2</v>
      </c>
      <c r="M249">
        <v>4</v>
      </c>
      <c r="N249">
        <v>8</v>
      </c>
      <c r="O249">
        <v>4</v>
      </c>
      <c r="P249">
        <v>23</v>
      </c>
      <c r="Q249" t="s">
        <v>95</v>
      </c>
    </row>
    <row r="250" spans="1:17" x14ac:dyDescent="0.25">
      <c r="A250">
        <v>1218</v>
      </c>
      <c r="B250">
        <v>57</v>
      </c>
      <c r="C250" t="s">
        <v>23</v>
      </c>
      <c r="D250" t="s">
        <v>27</v>
      </c>
      <c r="E250" t="s">
        <v>44</v>
      </c>
      <c r="F250" t="s">
        <v>36</v>
      </c>
      <c r="G250" t="s">
        <v>33</v>
      </c>
      <c r="H250" t="s">
        <v>34</v>
      </c>
      <c r="I250">
        <v>6</v>
      </c>
      <c r="J250">
        <v>13143</v>
      </c>
      <c r="K250" t="s">
        <v>22</v>
      </c>
      <c r="L250">
        <v>2</v>
      </c>
      <c r="M250">
        <v>4</v>
      </c>
      <c r="N250">
        <v>18</v>
      </c>
      <c r="O250">
        <v>18</v>
      </c>
      <c r="P250">
        <v>37</v>
      </c>
      <c r="Q250" t="s">
        <v>22</v>
      </c>
    </row>
    <row r="251" spans="1:17" x14ac:dyDescent="0.25">
      <c r="A251">
        <v>1513</v>
      </c>
      <c r="B251">
        <v>21</v>
      </c>
      <c r="C251" t="s">
        <v>23</v>
      </c>
      <c r="D251" t="s">
        <v>17</v>
      </c>
      <c r="E251" t="s">
        <v>40</v>
      </c>
      <c r="F251" t="s">
        <v>29</v>
      </c>
      <c r="G251" t="s">
        <v>33</v>
      </c>
      <c r="H251" t="s">
        <v>34</v>
      </c>
      <c r="I251">
        <v>11</v>
      </c>
      <c r="J251" t="s">
        <v>114</v>
      </c>
      <c r="K251" t="s">
        <v>22</v>
      </c>
      <c r="L251">
        <v>2</v>
      </c>
      <c r="M251">
        <v>1</v>
      </c>
      <c r="N251">
        <v>0</v>
      </c>
      <c r="O251">
        <v>0</v>
      </c>
      <c r="P251">
        <v>0</v>
      </c>
      <c r="Q251" t="s">
        <v>22</v>
      </c>
    </row>
    <row r="252" spans="1:17" x14ac:dyDescent="0.25">
      <c r="A252">
        <v>1187</v>
      </c>
      <c r="B252">
        <v>40</v>
      </c>
      <c r="C252" t="s">
        <v>23</v>
      </c>
      <c r="D252" t="s">
        <v>17</v>
      </c>
      <c r="E252" t="s">
        <v>18</v>
      </c>
      <c r="F252" t="s">
        <v>26</v>
      </c>
      <c r="G252" t="s">
        <v>33</v>
      </c>
      <c r="H252" t="s">
        <v>21</v>
      </c>
      <c r="I252">
        <v>3</v>
      </c>
      <c r="J252">
        <v>10212</v>
      </c>
      <c r="K252" t="s">
        <v>22</v>
      </c>
      <c r="L252">
        <v>3</v>
      </c>
      <c r="M252">
        <v>4</v>
      </c>
      <c r="N252">
        <v>12</v>
      </c>
      <c r="O252">
        <v>7</v>
      </c>
      <c r="P252">
        <v>20</v>
      </c>
      <c r="Q252" t="s">
        <v>22</v>
      </c>
    </row>
    <row r="253" spans="1:17" x14ac:dyDescent="0.25">
      <c r="A253">
        <v>1158</v>
      </c>
      <c r="B253">
        <v>24</v>
      </c>
      <c r="C253" t="s">
        <v>16</v>
      </c>
      <c r="D253" t="s">
        <v>27</v>
      </c>
      <c r="E253" t="s">
        <v>43</v>
      </c>
      <c r="F253" t="s">
        <v>41</v>
      </c>
      <c r="G253" t="s">
        <v>37</v>
      </c>
      <c r="H253" t="s">
        <v>21</v>
      </c>
      <c r="I253">
        <v>22</v>
      </c>
      <c r="J253">
        <v>5917</v>
      </c>
      <c r="K253" t="s">
        <v>22</v>
      </c>
      <c r="L253">
        <v>3</v>
      </c>
      <c r="M253">
        <v>1</v>
      </c>
      <c r="N253">
        <v>0</v>
      </c>
      <c r="O253">
        <v>0</v>
      </c>
      <c r="P253">
        <v>0</v>
      </c>
      <c r="Q253" t="s">
        <v>22</v>
      </c>
    </row>
    <row r="254" spans="1:17" x14ac:dyDescent="0.25">
      <c r="A254">
        <v>1820</v>
      </c>
      <c r="B254">
        <v>43</v>
      </c>
      <c r="C254" t="s">
        <v>113</v>
      </c>
      <c r="D254" t="s">
        <v>24</v>
      </c>
      <c r="E254" t="s">
        <v>25</v>
      </c>
      <c r="F254" t="s">
        <v>41</v>
      </c>
      <c r="G254" t="s">
        <v>20</v>
      </c>
      <c r="H254" t="s">
        <v>21</v>
      </c>
      <c r="I254">
        <v>1</v>
      </c>
      <c r="J254">
        <v>10459</v>
      </c>
      <c r="K254" t="s">
        <v>22</v>
      </c>
      <c r="L254">
        <v>1</v>
      </c>
      <c r="M254">
        <v>3</v>
      </c>
      <c r="N254">
        <v>0</v>
      </c>
      <c r="O254">
        <v>0</v>
      </c>
      <c r="P254">
        <v>12</v>
      </c>
      <c r="Q254" t="s">
        <v>42</v>
      </c>
    </row>
    <row r="255" spans="1:17" x14ac:dyDescent="0.25">
      <c r="A255">
        <v>1898</v>
      </c>
      <c r="B255">
        <v>41</v>
      </c>
      <c r="C255" t="s">
        <v>16</v>
      </c>
      <c r="D255" t="s">
        <v>24</v>
      </c>
      <c r="E255" t="s">
        <v>46</v>
      </c>
      <c r="F255" t="s">
        <v>38</v>
      </c>
      <c r="G255" t="s">
        <v>20</v>
      </c>
      <c r="H255" t="s">
        <v>21</v>
      </c>
      <c r="I255">
        <v>6</v>
      </c>
      <c r="J255">
        <v>6964</v>
      </c>
      <c r="K255" t="s">
        <v>22</v>
      </c>
      <c r="L255">
        <v>1</v>
      </c>
      <c r="M255">
        <v>4</v>
      </c>
      <c r="N255">
        <v>1</v>
      </c>
      <c r="O255">
        <v>1</v>
      </c>
      <c r="P255">
        <v>21</v>
      </c>
      <c r="Q255" t="s">
        <v>22</v>
      </c>
    </row>
    <row r="256" spans="1:17" x14ac:dyDescent="0.25">
      <c r="A256">
        <v>1975</v>
      </c>
      <c r="B256">
        <v>41</v>
      </c>
      <c r="C256" t="s">
        <v>16</v>
      </c>
      <c r="D256" t="s">
        <v>27</v>
      </c>
      <c r="E256" t="s">
        <v>44</v>
      </c>
      <c r="F256" t="s">
        <v>29</v>
      </c>
      <c r="G256" t="s">
        <v>33</v>
      </c>
      <c r="H256" t="s">
        <v>34</v>
      </c>
      <c r="I256">
        <v>13</v>
      </c>
      <c r="J256">
        <v>10507</v>
      </c>
      <c r="K256" t="s">
        <v>22</v>
      </c>
      <c r="L256">
        <v>1</v>
      </c>
      <c r="M256">
        <v>4</v>
      </c>
      <c r="N256">
        <v>2</v>
      </c>
      <c r="O256">
        <v>1</v>
      </c>
      <c r="P256">
        <v>21</v>
      </c>
      <c r="Q256" t="s">
        <v>22</v>
      </c>
    </row>
    <row r="257" spans="1:17" x14ac:dyDescent="0.25">
      <c r="A257">
        <v>1313</v>
      </c>
      <c r="B257">
        <v>45</v>
      </c>
      <c r="C257" t="s">
        <v>16</v>
      </c>
      <c r="D257" t="s">
        <v>24</v>
      </c>
      <c r="E257" t="s">
        <v>25</v>
      </c>
      <c r="F257" t="s">
        <v>41</v>
      </c>
      <c r="G257" t="s">
        <v>33</v>
      </c>
      <c r="H257" t="s">
        <v>30</v>
      </c>
      <c r="I257">
        <v>22</v>
      </c>
      <c r="J257">
        <v>14867</v>
      </c>
      <c r="K257" t="s">
        <v>22</v>
      </c>
      <c r="L257">
        <v>1</v>
      </c>
      <c r="M257">
        <v>3</v>
      </c>
      <c r="N257">
        <v>1</v>
      </c>
      <c r="O257">
        <v>1</v>
      </c>
      <c r="P257">
        <v>22</v>
      </c>
      <c r="Q257" t="s">
        <v>22</v>
      </c>
    </row>
    <row r="258" spans="1:17" x14ac:dyDescent="0.25">
      <c r="A258">
        <v>1671</v>
      </c>
      <c r="B258">
        <v>34</v>
      </c>
      <c r="C258" t="s">
        <v>23</v>
      </c>
      <c r="D258" t="s">
        <v>27</v>
      </c>
      <c r="E258" t="s">
        <v>44</v>
      </c>
      <c r="G258" t="s">
        <v>37</v>
      </c>
      <c r="H258" t="s">
        <v>30</v>
      </c>
      <c r="I258">
        <v>8</v>
      </c>
      <c r="J258">
        <v>7737</v>
      </c>
      <c r="K258" t="s">
        <v>22</v>
      </c>
      <c r="L258">
        <v>2</v>
      </c>
      <c r="M258">
        <v>4</v>
      </c>
      <c r="N258">
        <v>1</v>
      </c>
      <c r="O258">
        <v>1</v>
      </c>
      <c r="P258">
        <v>7</v>
      </c>
      <c r="Q258" t="s">
        <v>22</v>
      </c>
    </row>
    <row r="259" spans="1:17" x14ac:dyDescent="0.25">
      <c r="A259">
        <v>1059</v>
      </c>
      <c r="B259">
        <v>35</v>
      </c>
      <c r="C259" t="s">
        <v>23</v>
      </c>
      <c r="D259" t="s">
        <v>27</v>
      </c>
      <c r="E259" t="s">
        <v>28</v>
      </c>
      <c r="F259" t="s">
        <v>26</v>
      </c>
      <c r="G259" t="s">
        <v>33</v>
      </c>
      <c r="H259" t="s">
        <v>21</v>
      </c>
      <c r="I259">
        <v>26</v>
      </c>
      <c r="J259">
        <v>11249</v>
      </c>
      <c r="K259" t="s">
        <v>22</v>
      </c>
      <c r="L259">
        <v>3</v>
      </c>
      <c r="M259">
        <v>4</v>
      </c>
      <c r="N259">
        <v>3</v>
      </c>
      <c r="O259">
        <v>1</v>
      </c>
      <c r="P259">
        <v>8</v>
      </c>
      <c r="Q259" t="s">
        <v>22</v>
      </c>
    </row>
    <row r="260" spans="1:17" x14ac:dyDescent="0.25">
      <c r="A260">
        <v>1631</v>
      </c>
      <c r="B260">
        <v>50</v>
      </c>
      <c r="C260" t="s">
        <v>23</v>
      </c>
      <c r="D260" t="s">
        <v>38</v>
      </c>
      <c r="E260" t="s">
        <v>49</v>
      </c>
      <c r="F260" t="s">
        <v>38</v>
      </c>
      <c r="G260" t="s">
        <v>37</v>
      </c>
      <c r="H260" t="s">
        <v>21</v>
      </c>
      <c r="I260">
        <v>24</v>
      </c>
      <c r="J260">
        <v>11665</v>
      </c>
      <c r="K260" t="s">
        <v>22</v>
      </c>
      <c r="L260">
        <v>2</v>
      </c>
      <c r="M260">
        <v>2</v>
      </c>
      <c r="N260">
        <v>21</v>
      </c>
      <c r="O260">
        <v>16</v>
      </c>
      <c r="P260">
        <v>22</v>
      </c>
      <c r="Q260" t="s">
        <v>22</v>
      </c>
    </row>
    <row r="261" spans="1:17" x14ac:dyDescent="0.25">
      <c r="A261">
        <v>1616</v>
      </c>
      <c r="B261">
        <v>45</v>
      </c>
      <c r="C261" t="s">
        <v>16</v>
      </c>
      <c r="D261" t="s">
        <v>47</v>
      </c>
      <c r="E261" t="s">
        <v>50</v>
      </c>
      <c r="F261" t="s">
        <v>26</v>
      </c>
      <c r="G261" t="s">
        <v>33</v>
      </c>
      <c r="H261" t="s">
        <v>30</v>
      </c>
      <c r="I261">
        <v>26</v>
      </c>
      <c r="J261">
        <v>11383</v>
      </c>
      <c r="K261" t="s">
        <v>22</v>
      </c>
      <c r="L261">
        <v>1</v>
      </c>
      <c r="M261">
        <v>2</v>
      </c>
      <c r="N261">
        <v>9</v>
      </c>
      <c r="O261">
        <v>3</v>
      </c>
      <c r="P261">
        <v>25</v>
      </c>
      <c r="Q261" t="s">
        <v>22</v>
      </c>
    </row>
    <row r="262" spans="1:17" x14ac:dyDescent="0.25">
      <c r="A262">
        <v>1240</v>
      </c>
      <c r="B262">
        <v>37</v>
      </c>
      <c r="C262" t="s">
        <v>16</v>
      </c>
      <c r="D262" t="s">
        <v>17</v>
      </c>
      <c r="E262" t="s">
        <v>40</v>
      </c>
      <c r="F262" t="s">
        <v>29</v>
      </c>
      <c r="G262" t="s">
        <v>20</v>
      </c>
      <c r="H262" t="s">
        <v>30</v>
      </c>
      <c r="I262">
        <v>1</v>
      </c>
      <c r="J262">
        <v>5451</v>
      </c>
      <c r="K262" t="s">
        <v>22</v>
      </c>
      <c r="L262">
        <v>2</v>
      </c>
      <c r="M262">
        <v>2</v>
      </c>
      <c r="N262">
        <v>0</v>
      </c>
      <c r="O262">
        <v>0</v>
      </c>
      <c r="P262">
        <v>9</v>
      </c>
      <c r="Q262" t="s">
        <v>42</v>
      </c>
    </row>
    <row r="263" spans="1:17" x14ac:dyDescent="0.25">
      <c r="A263">
        <v>1340</v>
      </c>
      <c r="B263">
        <v>43</v>
      </c>
      <c r="C263" t="s">
        <v>23</v>
      </c>
      <c r="D263" t="s">
        <v>24</v>
      </c>
      <c r="E263" t="s">
        <v>45</v>
      </c>
      <c r="F263" t="s">
        <v>36</v>
      </c>
      <c r="G263" t="s">
        <v>33</v>
      </c>
      <c r="H263" t="s">
        <v>30</v>
      </c>
      <c r="I263">
        <v>7</v>
      </c>
      <c r="J263">
        <v>8553</v>
      </c>
      <c r="K263" t="s">
        <v>42</v>
      </c>
      <c r="L263">
        <v>1</v>
      </c>
      <c r="M263">
        <v>3</v>
      </c>
      <c r="N263">
        <v>19</v>
      </c>
      <c r="O263">
        <v>8</v>
      </c>
      <c r="P263">
        <v>19</v>
      </c>
      <c r="Q263" t="s">
        <v>22</v>
      </c>
    </row>
    <row r="264" spans="1:17" x14ac:dyDescent="0.25">
      <c r="A264">
        <v>1268</v>
      </c>
      <c r="B264">
        <v>37</v>
      </c>
      <c r="C264" t="s">
        <v>23</v>
      </c>
      <c r="D264" t="s">
        <v>24</v>
      </c>
      <c r="E264" t="s">
        <v>52</v>
      </c>
      <c r="F264" t="s">
        <v>19</v>
      </c>
      <c r="G264" t="s">
        <v>37</v>
      </c>
      <c r="H264" t="s">
        <v>30</v>
      </c>
      <c r="I264">
        <v>29</v>
      </c>
      <c r="J264">
        <v>7987</v>
      </c>
      <c r="K264" t="s">
        <v>22</v>
      </c>
      <c r="L264">
        <v>2</v>
      </c>
      <c r="M264">
        <v>4</v>
      </c>
      <c r="N264">
        <v>4</v>
      </c>
      <c r="O264">
        <v>3</v>
      </c>
      <c r="P264">
        <v>9</v>
      </c>
      <c r="Q264" t="s">
        <v>88</v>
      </c>
    </row>
    <row r="265" spans="1:17" x14ac:dyDescent="0.25">
      <c r="A265">
        <v>1759</v>
      </c>
      <c r="B265">
        <v>37</v>
      </c>
      <c r="C265" t="s">
        <v>105</v>
      </c>
      <c r="D265" t="s">
        <v>17</v>
      </c>
      <c r="E265" t="s">
        <v>40</v>
      </c>
      <c r="F265" t="s">
        <v>36</v>
      </c>
      <c r="G265" t="s">
        <v>33</v>
      </c>
      <c r="H265" t="s">
        <v>34</v>
      </c>
      <c r="I265">
        <v>13</v>
      </c>
      <c r="J265">
        <v>8717</v>
      </c>
      <c r="K265" t="s">
        <v>42</v>
      </c>
      <c r="L265">
        <v>4</v>
      </c>
      <c r="M265">
        <v>4</v>
      </c>
      <c r="N265">
        <v>1</v>
      </c>
      <c r="O265">
        <v>0</v>
      </c>
      <c r="P265">
        <v>12</v>
      </c>
      <c r="Q265" t="s">
        <v>42</v>
      </c>
    </row>
    <row r="266" spans="1:17" x14ac:dyDescent="0.25">
      <c r="A266">
        <v>1136</v>
      </c>
      <c r="B266">
        <v>41</v>
      </c>
      <c r="C266" t="s">
        <v>23</v>
      </c>
      <c r="D266" t="s">
        <v>17</v>
      </c>
      <c r="E266" t="s">
        <v>35</v>
      </c>
      <c r="F266" t="s">
        <v>19</v>
      </c>
      <c r="G266" t="s">
        <v>20</v>
      </c>
      <c r="H266" t="s">
        <v>21</v>
      </c>
      <c r="I266">
        <v>7</v>
      </c>
      <c r="J266">
        <v>7449</v>
      </c>
      <c r="K266" t="s">
        <v>22</v>
      </c>
      <c r="L266">
        <v>4</v>
      </c>
      <c r="M266">
        <v>4</v>
      </c>
      <c r="N266">
        <v>4</v>
      </c>
      <c r="O266">
        <v>0</v>
      </c>
      <c r="P266">
        <v>16</v>
      </c>
      <c r="Q266" t="s">
        <v>22</v>
      </c>
    </row>
    <row r="267" spans="1:17" x14ac:dyDescent="0.25">
      <c r="A267">
        <v>1020</v>
      </c>
      <c r="B267">
        <v>40</v>
      </c>
      <c r="C267" t="s">
        <v>16</v>
      </c>
      <c r="D267" t="s">
        <v>38</v>
      </c>
      <c r="E267" t="s">
        <v>49</v>
      </c>
      <c r="F267" t="s">
        <v>19</v>
      </c>
      <c r="G267" t="s">
        <v>33</v>
      </c>
      <c r="H267" t="s">
        <v>34</v>
      </c>
      <c r="I267">
        <v>17</v>
      </c>
      <c r="J267">
        <v>10485</v>
      </c>
      <c r="K267" t="s">
        <v>22</v>
      </c>
      <c r="L267">
        <v>1</v>
      </c>
      <c r="M267">
        <v>1</v>
      </c>
      <c r="N267">
        <v>0</v>
      </c>
      <c r="O267">
        <v>0</v>
      </c>
      <c r="P267">
        <v>20</v>
      </c>
      <c r="Q267" t="s">
        <v>42</v>
      </c>
    </row>
    <row r="268" spans="1:17" x14ac:dyDescent="0.25">
      <c r="A268">
        <v>1781</v>
      </c>
      <c r="B268">
        <v>27</v>
      </c>
      <c r="C268" t="s">
        <v>23</v>
      </c>
      <c r="D268" t="s">
        <v>27</v>
      </c>
      <c r="E268" t="s">
        <v>44</v>
      </c>
      <c r="F268" t="s">
        <v>19</v>
      </c>
      <c r="G268" t="s">
        <v>37</v>
      </c>
      <c r="H268" t="s">
        <v>30</v>
      </c>
      <c r="I268">
        <v>3</v>
      </c>
      <c r="J268">
        <v>3030</v>
      </c>
      <c r="K268" t="s">
        <v>22</v>
      </c>
      <c r="L268">
        <v>4</v>
      </c>
      <c r="M268">
        <v>4</v>
      </c>
      <c r="N268">
        <v>0</v>
      </c>
      <c r="O268">
        <v>0</v>
      </c>
      <c r="P268">
        <v>0</v>
      </c>
      <c r="Q268" t="s">
        <v>22</v>
      </c>
    </row>
    <row r="269" spans="1:17" x14ac:dyDescent="0.25">
      <c r="A269">
        <v>1034</v>
      </c>
      <c r="B269">
        <v>59</v>
      </c>
      <c r="C269" t="s">
        <v>16</v>
      </c>
      <c r="D269" t="s">
        <v>47</v>
      </c>
      <c r="E269" t="s">
        <v>50</v>
      </c>
      <c r="F269" t="s">
        <v>38</v>
      </c>
      <c r="G269" t="s">
        <v>20</v>
      </c>
      <c r="H269" t="s">
        <v>30</v>
      </c>
      <c r="I269">
        <v>25</v>
      </c>
      <c r="J269">
        <v>10209</v>
      </c>
      <c r="K269" t="s">
        <v>22</v>
      </c>
      <c r="L269">
        <v>2</v>
      </c>
      <c r="M269">
        <v>4</v>
      </c>
      <c r="N269">
        <v>13</v>
      </c>
      <c r="O269">
        <v>13</v>
      </c>
      <c r="P269">
        <v>39</v>
      </c>
      <c r="Q269" t="s">
        <v>22</v>
      </c>
    </row>
    <row r="270" spans="1:17" x14ac:dyDescent="0.25">
      <c r="A270">
        <v>1460</v>
      </c>
      <c r="B270">
        <v>41</v>
      </c>
      <c r="C270" t="s">
        <v>87</v>
      </c>
      <c r="D270" t="s">
        <v>24</v>
      </c>
      <c r="E270" t="s">
        <v>52</v>
      </c>
      <c r="F270" t="s">
        <v>29</v>
      </c>
      <c r="G270" t="s">
        <v>20</v>
      </c>
      <c r="H270" t="s">
        <v>30</v>
      </c>
      <c r="I270">
        <v>23</v>
      </c>
      <c r="J270">
        <v>11588</v>
      </c>
      <c r="K270" t="s">
        <v>42</v>
      </c>
      <c r="L270">
        <v>4</v>
      </c>
      <c r="M270">
        <v>4</v>
      </c>
      <c r="N270">
        <v>12</v>
      </c>
      <c r="O270">
        <v>1</v>
      </c>
      <c r="P270">
        <v>19</v>
      </c>
      <c r="Q270" t="s">
        <v>22</v>
      </c>
    </row>
    <row r="271" spans="1:17" x14ac:dyDescent="0.25">
      <c r="A271">
        <v>1108</v>
      </c>
      <c r="B271">
        <v>28</v>
      </c>
      <c r="C271" t="s">
        <v>16</v>
      </c>
      <c r="D271" t="s">
        <v>27</v>
      </c>
      <c r="E271" t="s">
        <v>44</v>
      </c>
      <c r="F271" t="s">
        <v>41</v>
      </c>
      <c r="G271" t="s">
        <v>33</v>
      </c>
      <c r="H271" t="s">
        <v>21</v>
      </c>
      <c r="I271">
        <v>3</v>
      </c>
      <c r="J271">
        <v>8023</v>
      </c>
      <c r="K271" t="s">
        <v>22</v>
      </c>
      <c r="L271">
        <v>4</v>
      </c>
      <c r="M271">
        <v>2</v>
      </c>
      <c r="N271">
        <v>2</v>
      </c>
      <c r="O271">
        <v>2</v>
      </c>
      <c r="P271">
        <v>8</v>
      </c>
      <c r="Q271" t="s">
        <v>22</v>
      </c>
    </row>
    <row r="272" spans="1:17" x14ac:dyDescent="0.25">
      <c r="A272">
        <v>1761</v>
      </c>
      <c r="B272">
        <v>47</v>
      </c>
      <c r="C272" t="s">
        <v>23</v>
      </c>
      <c r="D272" t="s">
        <v>27</v>
      </c>
      <c r="E272" t="s">
        <v>28</v>
      </c>
      <c r="F272" t="s">
        <v>29</v>
      </c>
      <c r="G272" t="s">
        <v>37</v>
      </c>
      <c r="H272" t="s">
        <v>30</v>
      </c>
      <c r="I272">
        <v>18</v>
      </c>
      <c r="J272">
        <v>10950</v>
      </c>
      <c r="K272" t="s">
        <v>22</v>
      </c>
      <c r="L272">
        <v>4</v>
      </c>
      <c r="M272">
        <v>3</v>
      </c>
      <c r="N272">
        <v>24</v>
      </c>
      <c r="O272">
        <v>1</v>
      </c>
      <c r="P272">
        <v>25</v>
      </c>
      <c r="Q272" t="s">
        <v>22</v>
      </c>
    </row>
    <row r="273" spans="1:17" x14ac:dyDescent="0.25">
      <c r="A273">
        <v>1612</v>
      </c>
      <c r="B273">
        <v>39</v>
      </c>
      <c r="C273" t="s">
        <v>16</v>
      </c>
      <c r="D273" t="s">
        <v>24</v>
      </c>
      <c r="E273" t="s">
        <v>46</v>
      </c>
      <c r="F273" t="s">
        <v>36</v>
      </c>
      <c r="G273" t="s">
        <v>20</v>
      </c>
      <c r="H273" t="s">
        <v>34</v>
      </c>
      <c r="I273">
        <v>20</v>
      </c>
      <c r="J273">
        <v>9677</v>
      </c>
      <c r="K273" t="s">
        <v>22</v>
      </c>
      <c r="L273">
        <v>3</v>
      </c>
      <c r="M273">
        <v>2</v>
      </c>
      <c r="N273">
        <v>12</v>
      </c>
      <c r="O273">
        <v>6</v>
      </c>
      <c r="P273">
        <v>19</v>
      </c>
      <c r="Q273" t="s">
        <v>22</v>
      </c>
    </row>
    <row r="274" spans="1:17" x14ac:dyDescent="0.25">
      <c r="A274">
        <v>1078</v>
      </c>
      <c r="B274">
        <v>46</v>
      </c>
      <c r="C274" t="s">
        <v>16</v>
      </c>
      <c r="D274" t="s">
        <v>17</v>
      </c>
      <c r="E274" t="s">
        <v>18</v>
      </c>
      <c r="F274" t="s">
        <v>26</v>
      </c>
      <c r="G274" t="s">
        <v>37</v>
      </c>
      <c r="H274" t="s">
        <v>30</v>
      </c>
      <c r="I274">
        <v>20</v>
      </c>
      <c r="J274">
        <v>10661</v>
      </c>
      <c r="K274" t="s">
        <v>22</v>
      </c>
      <c r="L274">
        <v>1</v>
      </c>
      <c r="M274">
        <v>4</v>
      </c>
      <c r="N274">
        <v>7</v>
      </c>
      <c r="O274">
        <v>7</v>
      </c>
      <c r="P274">
        <v>13</v>
      </c>
      <c r="Q274" t="s">
        <v>42</v>
      </c>
    </row>
    <row r="275" spans="1:17" x14ac:dyDescent="0.25">
      <c r="A275">
        <v>1214</v>
      </c>
      <c r="B275">
        <v>29</v>
      </c>
      <c r="C275" t="s">
        <v>16</v>
      </c>
      <c r="D275" t="s">
        <v>17</v>
      </c>
      <c r="E275" t="s">
        <v>35</v>
      </c>
      <c r="F275" t="s">
        <v>41</v>
      </c>
      <c r="G275" t="s">
        <v>33</v>
      </c>
      <c r="H275" t="s">
        <v>30</v>
      </c>
      <c r="I275">
        <v>9</v>
      </c>
      <c r="J275">
        <v>7240</v>
      </c>
      <c r="K275" t="s">
        <v>42</v>
      </c>
      <c r="L275">
        <v>4</v>
      </c>
      <c r="M275">
        <v>4</v>
      </c>
      <c r="N275">
        <v>3</v>
      </c>
      <c r="O275">
        <v>2</v>
      </c>
      <c r="P275">
        <v>9</v>
      </c>
      <c r="Q275" t="s">
        <v>22</v>
      </c>
    </row>
    <row r="276" spans="1:17" x14ac:dyDescent="0.25">
      <c r="A276">
        <v>1635</v>
      </c>
      <c r="B276">
        <v>35</v>
      </c>
      <c r="C276" t="s">
        <v>23</v>
      </c>
      <c r="D276" t="s">
        <v>24</v>
      </c>
      <c r="E276" t="s">
        <v>25</v>
      </c>
      <c r="F276" t="s">
        <v>19</v>
      </c>
      <c r="G276" t="s">
        <v>33</v>
      </c>
      <c r="H276" t="s">
        <v>21</v>
      </c>
      <c r="I276">
        <v>27</v>
      </c>
      <c r="J276">
        <v>11725</v>
      </c>
      <c r="K276" t="s">
        <v>42</v>
      </c>
      <c r="L276">
        <v>2</v>
      </c>
      <c r="M276">
        <v>2</v>
      </c>
      <c r="N276">
        <v>1</v>
      </c>
      <c r="O276">
        <v>1</v>
      </c>
      <c r="P276">
        <v>15</v>
      </c>
      <c r="Q276" t="s">
        <v>42</v>
      </c>
    </row>
    <row r="277" spans="1:17" x14ac:dyDescent="0.25">
      <c r="A277">
        <v>1215</v>
      </c>
      <c r="B277">
        <v>35</v>
      </c>
      <c r="C277" t="s">
        <v>16</v>
      </c>
      <c r="D277" t="s">
        <v>47</v>
      </c>
      <c r="E277" t="s">
        <v>53</v>
      </c>
      <c r="F277" t="s">
        <v>29</v>
      </c>
      <c r="G277" t="s">
        <v>37</v>
      </c>
      <c r="H277" t="s">
        <v>21</v>
      </c>
      <c r="I277">
        <v>16</v>
      </c>
      <c r="J277">
        <v>8274</v>
      </c>
      <c r="K277" t="s">
        <v>22</v>
      </c>
      <c r="L277">
        <v>3</v>
      </c>
      <c r="M277">
        <v>4</v>
      </c>
      <c r="N277">
        <v>0</v>
      </c>
      <c r="O277">
        <v>0</v>
      </c>
      <c r="P277">
        <v>4</v>
      </c>
      <c r="Q277" t="s">
        <v>95</v>
      </c>
    </row>
    <row r="278" spans="1:17" x14ac:dyDescent="0.25">
      <c r="A278">
        <v>1550</v>
      </c>
      <c r="B278">
        <v>23</v>
      </c>
      <c r="C278" t="s">
        <v>23</v>
      </c>
      <c r="D278" t="s">
        <v>24</v>
      </c>
      <c r="E278" t="s">
        <v>46</v>
      </c>
      <c r="F278" t="s">
        <v>36</v>
      </c>
      <c r="G278" t="s">
        <v>33</v>
      </c>
      <c r="H278" t="s">
        <v>30</v>
      </c>
      <c r="I278">
        <v>20</v>
      </c>
      <c r="J278">
        <v>5458</v>
      </c>
      <c r="K278" t="s">
        <v>42</v>
      </c>
      <c r="L278">
        <v>1</v>
      </c>
      <c r="M278">
        <v>4</v>
      </c>
      <c r="N278">
        <v>0</v>
      </c>
      <c r="O278">
        <v>0</v>
      </c>
      <c r="P278">
        <v>3</v>
      </c>
      <c r="Q278" t="s">
        <v>42</v>
      </c>
    </row>
    <row r="279" spans="1:17" x14ac:dyDescent="0.25">
      <c r="A279">
        <v>1519</v>
      </c>
      <c r="B279">
        <v>56</v>
      </c>
      <c r="C279" t="s">
        <v>16</v>
      </c>
      <c r="D279" t="s">
        <v>27</v>
      </c>
      <c r="E279" t="s">
        <v>43</v>
      </c>
      <c r="F279" t="s">
        <v>19</v>
      </c>
      <c r="G279" t="s">
        <v>37</v>
      </c>
      <c r="H279" t="s">
        <v>30</v>
      </c>
      <c r="I279">
        <v>23</v>
      </c>
      <c r="J279">
        <v>13282</v>
      </c>
      <c r="K279" t="s">
        <v>22</v>
      </c>
      <c r="L279">
        <v>4</v>
      </c>
      <c r="M279">
        <v>4</v>
      </c>
      <c r="N279">
        <v>22</v>
      </c>
      <c r="O279">
        <v>21</v>
      </c>
      <c r="P279">
        <v>36</v>
      </c>
      <c r="Q279" t="s">
        <v>22</v>
      </c>
    </row>
    <row r="280" spans="1:17" x14ac:dyDescent="0.25">
      <c r="A280">
        <v>1007</v>
      </c>
      <c r="B280">
        <v>55</v>
      </c>
      <c r="C280" t="s">
        <v>16</v>
      </c>
      <c r="D280" t="s">
        <v>17</v>
      </c>
      <c r="E280" t="s">
        <v>40</v>
      </c>
      <c r="F280" t="s">
        <v>36</v>
      </c>
      <c r="G280" t="s">
        <v>33</v>
      </c>
      <c r="H280" t="s">
        <v>34</v>
      </c>
      <c r="I280">
        <v>5</v>
      </c>
      <c r="J280">
        <v>8597</v>
      </c>
      <c r="K280" t="s">
        <v>22</v>
      </c>
      <c r="L280">
        <v>3</v>
      </c>
      <c r="M280">
        <v>2</v>
      </c>
      <c r="N280">
        <v>13</v>
      </c>
      <c r="O280">
        <v>9</v>
      </c>
      <c r="P280">
        <v>22</v>
      </c>
      <c r="Q280" t="s">
        <v>22</v>
      </c>
    </row>
    <row r="281" spans="1:17" x14ac:dyDescent="0.25">
      <c r="A281">
        <v>1846</v>
      </c>
      <c r="B281">
        <v>21</v>
      </c>
      <c r="C281" t="s">
        <v>16</v>
      </c>
      <c r="D281" t="s">
        <v>17</v>
      </c>
      <c r="E281" t="s">
        <v>35</v>
      </c>
      <c r="F281" t="s">
        <v>32</v>
      </c>
      <c r="G281" t="s">
        <v>20</v>
      </c>
      <c r="H281" t="s">
        <v>30</v>
      </c>
      <c r="I281">
        <v>24</v>
      </c>
      <c r="J281">
        <v>2299</v>
      </c>
      <c r="K281" t="s">
        <v>22</v>
      </c>
      <c r="L281">
        <v>2</v>
      </c>
      <c r="M281">
        <v>2</v>
      </c>
      <c r="N281">
        <v>0</v>
      </c>
      <c r="O281">
        <v>0</v>
      </c>
      <c r="P281">
        <v>0</v>
      </c>
      <c r="Q281" t="s">
        <v>22</v>
      </c>
    </row>
    <row r="282" spans="1:17" x14ac:dyDescent="0.25">
      <c r="A282">
        <v>1739</v>
      </c>
      <c r="B282">
        <v>54</v>
      </c>
      <c r="C282" t="s">
        <v>16</v>
      </c>
      <c r="D282" t="s">
        <v>17</v>
      </c>
      <c r="E282" t="s">
        <v>18</v>
      </c>
      <c r="F282" t="s">
        <v>41</v>
      </c>
      <c r="G282" t="s">
        <v>20</v>
      </c>
      <c r="H282" t="s">
        <v>21</v>
      </c>
      <c r="I282">
        <v>23</v>
      </c>
      <c r="J282">
        <v>15804</v>
      </c>
      <c r="K282" t="s">
        <v>22</v>
      </c>
      <c r="L282">
        <v>3</v>
      </c>
      <c r="M282">
        <v>3</v>
      </c>
      <c r="N282">
        <v>9</v>
      </c>
      <c r="O282">
        <v>1</v>
      </c>
      <c r="P282">
        <v>31</v>
      </c>
      <c r="Q282" t="s">
        <v>22</v>
      </c>
    </row>
    <row r="283" spans="1:17" x14ac:dyDescent="0.25">
      <c r="A283">
        <v>1477</v>
      </c>
      <c r="B283">
        <v>52</v>
      </c>
      <c r="C283" t="s">
        <v>16</v>
      </c>
      <c r="D283" t="s">
        <v>109</v>
      </c>
      <c r="E283" t="s">
        <v>18</v>
      </c>
      <c r="F283" t="s">
        <v>19</v>
      </c>
      <c r="G283" t="s">
        <v>20</v>
      </c>
      <c r="H283" t="s">
        <v>30</v>
      </c>
      <c r="I283">
        <v>4</v>
      </c>
      <c r="J283">
        <v>13764</v>
      </c>
      <c r="K283" t="s">
        <v>42</v>
      </c>
      <c r="L283">
        <v>4</v>
      </c>
      <c r="M283">
        <v>1</v>
      </c>
      <c r="N283">
        <v>18</v>
      </c>
      <c r="O283">
        <v>16</v>
      </c>
      <c r="P283">
        <v>32</v>
      </c>
      <c r="Q283" t="s">
        <v>22</v>
      </c>
    </row>
    <row r="284" spans="1:17" x14ac:dyDescent="0.25">
      <c r="A284">
        <v>1113</v>
      </c>
      <c r="B284">
        <v>29</v>
      </c>
      <c r="C284" t="s">
        <v>23</v>
      </c>
      <c r="D284" t="s">
        <v>17</v>
      </c>
      <c r="E284" t="s">
        <v>40</v>
      </c>
      <c r="F284" t="s">
        <v>29</v>
      </c>
      <c r="G284" t="s">
        <v>33</v>
      </c>
      <c r="H284" t="s">
        <v>30</v>
      </c>
      <c r="I284">
        <v>12</v>
      </c>
      <c r="J284">
        <v>5104</v>
      </c>
      <c r="K284" t="s">
        <v>22</v>
      </c>
      <c r="L284">
        <v>1</v>
      </c>
      <c r="M284">
        <v>2</v>
      </c>
      <c r="N284">
        <v>7</v>
      </c>
      <c r="O284">
        <v>0</v>
      </c>
      <c r="P284">
        <v>9</v>
      </c>
      <c r="Q284" t="s">
        <v>22</v>
      </c>
    </row>
    <row r="285" spans="1:17" x14ac:dyDescent="0.25">
      <c r="A285">
        <v>1707</v>
      </c>
      <c r="B285">
        <v>53</v>
      </c>
      <c r="C285" t="s">
        <v>23</v>
      </c>
      <c r="D285" t="s">
        <v>24</v>
      </c>
      <c r="E285" t="s">
        <v>52</v>
      </c>
      <c r="F285" t="s">
        <v>36</v>
      </c>
      <c r="G285" t="s">
        <v>20</v>
      </c>
      <c r="H285" t="s">
        <v>21</v>
      </c>
      <c r="I285">
        <v>11</v>
      </c>
      <c r="J285">
        <v>12758</v>
      </c>
      <c r="K285" t="s">
        <v>22</v>
      </c>
      <c r="L285">
        <v>4</v>
      </c>
      <c r="M285">
        <v>4</v>
      </c>
      <c r="N285">
        <v>22</v>
      </c>
      <c r="O285">
        <v>19</v>
      </c>
      <c r="P285">
        <v>30</v>
      </c>
      <c r="Q285" t="s">
        <v>22</v>
      </c>
    </row>
    <row r="286" spans="1:17" x14ac:dyDescent="0.25">
      <c r="A286">
        <v>1142</v>
      </c>
      <c r="B286">
        <v>50</v>
      </c>
      <c r="C286" t="s">
        <v>16</v>
      </c>
      <c r="D286" t="s">
        <v>17</v>
      </c>
      <c r="E286" t="s">
        <v>40</v>
      </c>
      <c r="F286" t="s">
        <v>26</v>
      </c>
      <c r="G286" t="s">
        <v>33</v>
      </c>
      <c r="H286" t="s">
        <v>30</v>
      </c>
      <c r="I286">
        <v>22</v>
      </c>
      <c r="J286">
        <v>12506</v>
      </c>
      <c r="K286" t="s">
        <v>22</v>
      </c>
      <c r="L286">
        <v>4</v>
      </c>
      <c r="M286">
        <v>2</v>
      </c>
      <c r="N286">
        <v>19</v>
      </c>
      <c r="O286">
        <v>11</v>
      </c>
      <c r="P286">
        <v>30</v>
      </c>
      <c r="Q286" t="s">
        <v>22</v>
      </c>
    </row>
    <row r="287" spans="1:17" x14ac:dyDescent="0.25">
      <c r="A287">
        <v>1870</v>
      </c>
      <c r="B287">
        <v>55</v>
      </c>
      <c r="C287" t="s">
        <v>23</v>
      </c>
      <c r="D287" t="s">
        <v>96</v>
      </c>
      <c r="E287" t="s">
        <v>25</v>
      </c>
      <c r="F287" t="s">
        <v>41</v>
      </c>
      <c r="G287" t="s">
        <v>37</v>
      </c>
      <c r="H287" t="s">
        <v>34</v>
      </c>
      <c r="I287">
        <v>12</v>
      </c>
      <c r="J287">
        <v>13554</v>
      </c>
      <c r="K287" t="s">
        <v>22</v>
      </c>
      <c r="L287">
        <v>1</v>
      </c>
      <c r="M287">
        <v>3</v>
      </c>
      <c r="N287">
        <v>0</v>
      </c>
      <c r="O287">
        <v>0</v>
      </c>
      <c r="P287">
        <v>26</v>
      </c>
      <c r="Q287" t="s">
        <v>22</v>
      </c>
    </row>
    <row r="288" spans="1:17" x14ac:dyDescent="0.25">
      <c r="A288">
        <v>1048</v>
      </c>
      <c r="B288">
        <v>37</v>
      </c>
      <c r="C288" t="s">
        <v>16</v>
      </c>
      <c r="D288" t="s">
        <v>24</v>
      </c>
      <c r="E288" t="s">
        <v>52</v>
      </c>
      <c r="F288" t="s">
        <v>19</v>
      </c>
      <c r="G288" t="s">
        <v>33</v>
      </c>
      <c r="H288" t="s">
        <v>34</v>
      </c>
      <c r="I288">
        <v>16</v>
      </c>
      <c r="J288">
        <v>8252</v>
      </c>
      <c r="K288" t="s">
        <v>22</v>
      </c>
      <c r="L288">
        <v>1</v>
      </c>
      <c r="M288">
        <v>1</v>
      </c>
      <c r="N288">
        <v>4</v>
      </c>
      <c r="O288">
        <v>1</v>
      </c>
      <c r="P288">
        <v>14</v>
      </c>
      <c r="Q288" t="s">
        <v>22</v>
      </c>
    </row>
    <row r="289" spans="1:17" x14ac:dyDescent="0.25">
      <c r="A289">
        <v>1505</v>
      </c>
      <c r="B289">
        <v>45</v>
      </c>
      <c r="C289" t="s">
        <v>16</v>
      </c>
      <c r="D289" t="s">
        <v>24</v>
      </c>
      <c r="E289" t="s">
        <v>46</v>
      </c>
      <c r="F289" t="s">
        <v>38</v>
      </c>
      <c r="G289" t="s">
        <v>37</v>
      </c>
      <c r="H289" t="s">
        <v>30</v>
      </c>
      <c r="I289">
        <v>20</v>
      </c>
      <c r="J289">
        <v>10315</v>
      </c>
      <c r="K289" t="s">
        <v>22</v>
      </c>
      <c r="L289">
        <v>4</v>
      </c>
      <c r="M289">
        <v>3</v>
      </c>
      <c r="N289">
        <v>15</v>
      </c>
      <c r="O289">
        <v>14</v>
      </c>
      <c r="P289">
        <v>23</v>
      </c>
      <c r="Q289" t="s">
        <v>22</v>
      </c>
    </row>
    <row r="290" spans="1:17" x14ac:dyDescent="0.25">
      <c r="A290">
        <v>1423</v>
      </c>
      <c r="B290">
        <v>35</v>
      </c>
      <c r="C290" t="s">
        <v>23</v>
      </c>
      <c r="D290" t="s">
        <v>24</v>
      </c>
      <c r="E290" t="s">
        <v>46</v>
      </c>
      <c r="F290" t="s">
        <v>29</v>
      </c>
      <c r="G290" t="s">
        <v>20</v>
      </c>
      <c r="H290" t="s">
        <v>34</v>
      </c>
      <c r="I290">
        <v>14</v>
      </c>
      <c r="J290">
        <v>4580</v>
      </c>
      <c r="K290" t="s">
        <v>42</v>
      </c>
      <c r="L290">
        <v>4</v>
      </c>
      <c r="M290">
        <v>4</v>
      </c>
      <c r="N290">
        <v>6</v>
      </c>
      <c r="O290">
        <v>1</v>
      </c>
      <c r="P290">
        <v>10</v>
      </c>
      <c r="Q290" t="s">
        <v>42</v>
      </c>
    </row>
    <row r="291" spans="1:17" x14ac:dyDescent="0.25">
      <c r="A291">
        <v>1718</v>
      </c>
      <c r="B291">
        <v>52</v>
      </c>
      <c r="C291" t="s">
        <v>16</v>
      </c>
      <c r="D291" t="s">
        <v>17</v>
      </c>
      <c r="E291" t="s">
        <v>35</v>
      </c>
      <c r="F291" t="s">
        <v>32</v>
      </c>
      <c r="G291" t="s">
        <v>20</v>
      </c>
      <c r="H291" t="s">
        <v>34</v>
      </c>
      <c r="I291">
        <v>24</v>
      </c>
      <c r="J291">
        <v>9871</v>
      </c>
      <c r="K291" t="s">
        <v>22</v>
      </c>
      <c r="L291">
        <v>1</v>
      </c>
      <c r="M291">
        <v>1</v>
      </c>
      <c r="N291">
        <v>14</v>
      </c>
      <c r="O291">
        <v>4</v>
      </c>
      <c r="P291">
        <v>23</v>
      </c>
      <c r="Q291" t="s">
        <v>22</v>
      </c>
    </row>
    <row r="292" spans="1:17" x14ac:dyDescent="0.25">
      <c r="A292">
        <v>1939</v>
      </c>
      <c r="B292">
        <v>36</v>
      </c>
      <c r="C292" t="s">
        <v>16</v>
      </c>
      <c r="D292" t="s">
        <v>17</v>
      </c>
      <c r="E292" t="s">
        <v>35</v>
      </c>
      <c r="F292" t="s">
        <v>29</v>
      </c>
      <c r="G292" t="s">
        <v>33</v>
      </c>
      <c r="H292" t="s">
        <v>21</v>
      </c>
      <c r="I292">
        <v>14</v>
      </c>
      <c r="J292">
        <v>6993</v>
      </c>
      <c r="K292" t="s">
        <v>42</v>
      </c>
      <c r="L292">
        <v>3</v>
      </c>
      <c r="M292">
        <v>2</v>
      </c>
      <c r="N292">
        <v>0</v>
      </c>
      <c r="O292">
        <v>0</v>
      </c>
      <c r="P292">
        <v>15</v>
      </c>
      <c r="Q292" t="s">
        <v>22</v>
      </c>
    </row>
    <row r="293" spans="1:17" x14ac:dyDescent="0.25">
      <c r="A293">
        <v>1623</v>
      </c>
      <c r="B293">
        <v>55</v>
      </c>
      <c r="C293" t="s">
        <v>23</v>
      </c>
      <c r="D293" t="s">
        <v>27</v>
      </c>
      <c r="E293" t="s">
        <v>31</v>
      </c>
      <c r="F293" t="s">
        <v>36</v>
      </c>
      <c r="G293" t="s">
        <v>33</v>
      </c>
      <c r="H293" t="s">
        <v>30</v>
      </c>
      <c r="I293">
        <v>28</v>
      </c>
      <c r="J293">
        <v>11175</v>
      </c>
      <c r="K293" t="s">
        <v>22</v>
      </c>
      <c r="L293">
        <v>2</v>
      </c>
      <c r="M293">
        <v>1</v>
      </c>
      <c r="N293">
        <v>1</v>
      </c>
      <c r="O293">
        <v>0</v>
      </c>
      <c r="P293">
        <v>26</v>
      </c>
      <c r="Q293" t="s">
        <v>22</v>
      </c>
    </row>
    <row r="294" spans="1:17" x14ac:dyDescent="0.25">
      <c r="A294">
        <v>1334</v>
      </c>
      <c r="B294">
        <v>29</v>
      </c>
      <c r="C294" t="s">
        <v>16</v>
      </c>
      <c r="D294" t="s">
        <v>17</v>
      </c>
      <c r="E294" t="s">
        <v>18</v>
      </c>
      <c r="F294" t="s">
        <v>19</v>
      </c>
      <c r="G294" t="s">
        <v>20</v>
      </c>
      <c r="H294" t="s">
        <v>30</v>
      </c>
      <c r="I294">
        <v>26</v>
      </c>
      <c r="J294">
        <v>6696</v>
      </c>
      <c r="K294" t="s">
        <v>22</v>
      </c>
      <c r="L294">
        <v>2</v>
      </c>
      <c r="M294">
        <v>3</v>
      </c>
      <c r="N294">
        <v>0</v>
      </c>
      <c r="O294">
        <v>0</v>
      </c>
      <c r="P294">
        <v>2</v>
      </c>
      <c r="Q294" t="s">
        <v>22</v>
      </c>
    </row>
    <row r="295" spans="1:17" x14ac:dyDescent="0.25">
      <c r="A295">
        <v>1436</v>
      </c>
      <c r="B295">
        <v>49</v>
      </c>
      <c r="C295" t="s">
        <v>16</v>
      </c>
      <c r="D295" t="s">
        <v>24</v>
      </c>
      <c r="E295" t="s">
        <v>45</v>
      </c>
      <c r="F295" t="s">
        <v>36</v>
      </c>
      <c r="G295" t="s">
        <v>33</v>
      </c>
      <c r="H295" t="s">
        <v>21</v>
      </c>
      <c r="I295">
        <v>10</v>
      </c>
      <c r="J295">
        <v>10622</v>
      </c>
      <c r="K295" t="s">
        <v>22</v>
      </c>
      <c r="L295">
        <v>2</v>
      </c>
      <c r="M295">
        <v>4</v>
      </c>
      <c r="N295">
        <v>9</v>
      </c>
      <c r="O295">
        <v>2</v>
      </c>
      <c r="P295">
        <v>24</v>
      </c>
      <c r="Q295" t="s">
        <v>22</v>
      </c>
    </row>
    <row r="296" spans="1:17" x14ac:dyDescent="0.25">
      <c r="A296">
        <v>1485</v>
      </c>
      <c r="B296">
        <v>31</v>
      </c>
      <c r="C296" t="s">
        <v>23</v>
      </c>
      <c r="D296" t="s">
        <v>17</v>
      </c>
      <c r="E296" t="s">
        <v>35</v>
      </c>
      <c r="F296" t="s">
        <v>26</v>
      </c>
      <c r="G296" t="s">
        <v>33</v>
      </c>
      <c r="H296" t="s">
        <v>34</v>
      </c>
      <c r="I296">
        <v>7</v>
      </c>
      <c r="J296">
        <v>6585</v>
      </c>
      <c r="K296" t="s">
        <v>22</v>
      </c>
      <c r="M296">
        <v>1</v>
      </c>
      <c r="N296">
        <v>1</v>
      </c>
      <c r="O296">
        <v>0</v>
      </c>
      <c r="P296">
        <v>3</v>
      </c>
      <c r="Q296" t="s">
        <v>42</v>
      </c>
    </row>
    <row r="297" spans="1:17" x14ac:dyDescent="0.25">
      <c r="A297">
        <v>1336</v>
      </c>
      <c r="B297">
        <v>55</v>
      </c>
      <c r="C297" t="s">
        <v>16</v>
      </c>
      <c r="D297" t="s">
        <v>17</v>
      </c>
      <c r="E297" t="s">
        <v>18</v>
      </c>
      <c r="F297" t="s">
        <v>38</v>
      </c>
      <c r="G297" t="s">
        <v>33</v>
      </c>
      <c r="H297" t="s">
        <v>34</v>
      </c>
      <c r="I297">
        <v>21</v>
      </c>
      <c r="J297">
        <v>16276</v>
      </c>
      <c r="K297" t="s">
        <v>42</v>
      </c>
      <c r="L297">
        <v>3</v>
      </c>
      <c r="M297">
        <v>4</v>
      </c>
      <c r="N297">
        <v>14</v>
      </c>
      <c r="O297">
        <v>4</v>
      </c>
      <c r="P297">
        <v>34</v>
      </c>
      <c r="Q297" t="s">
        <v>22</v>
      </c>
    </row>
    <row r="298" spans="1:17" x14ac:dyDescent="0.25">
      <c r="A298">
        <v>1331</v>
      </c>
      <c r="B298">
        <v>53</v>
      </c>
      <c r="C298" t="s">
        <v>16</v>
      </c>
      <c r="D298" t="s">
        <v>27</v>
      </c>
      <c r="E298" t="s">
        <v>31</v>
      </c>
      <c r="F298" t="s">
        <v>29</v>
      </c>
      <c r="G298" t="s">
        <v>37</v>
      </c>
      <c r="H298" t="s">
        <v>34</v>
      </c>
      <c r="I298">
        <v>2</v>
      </c>
      <c r="J298">
        <v>10132</v>
      </c>
      <c r="K298" t="s">
        <v>22</v>
      </c>
      <c r="L298">
        <v>3</v>
      </c>
      <c r="M298">
        <v>2</v>
      </c>
      <c r="N298">
        <v>12</v>
      </c>
      <c r="O298">
        <v>10</v>
      </c>
      <c r="P298">
        <v>27</v>
      </c>
      <c r="Q298" t="s">
        <v>22</v>
      </c>
    </row>
    <row r="299" spans="1:17" x14ac:dyDescent="0.25">
      <c r="A299">
        <v>1290</v>
      </c>
      <c r="B299">
        <v>30</v>
      </c>
      <c r="C299" t="s">
        <v>23</v>
      </c>
      <c r="D299" t="s">
        <v>17</v>
      </c>
      <c r="E299" t="s">
        <v>18</v>
      </c>
      <c r="F299" t="s">
        <v>36</v>
      </c>
      <c r="G299" t="s">
        <v>20</v>
      </c>
      <c r="H299" t="s">
        <v>21</v>
      </c>
      <c r="I299">
        <v>25</v>
      </c>
      <c r="J299">
        <v>9010</v>
      </c>
      <c r="K299" t="s">
        <v>42</v>
      </c>
      <c r="L299">
        <v>4</v>
      </c>
      <c r="M299">
        <v>3</v>
      </c>
      <c r="N299">
        <v>1</v>
      </c>
      <c r="O299">
        <v>0</v>
      </c>
      <c r="P299">
        <v>6</v>
      </c>
      <c r="Q299" t="s">
        <v>22</v>
      </c>
    </row>
    <row r="300" spans="1:17" x14ac:dyDescent="0.25">
      <c r="A300">
        <v>1832</v>
      </c>
      <c r="B300">
        <v>49</v>
      </c>
      <c r="C300" t="s">
        <v>16</v>
      </c>
      <c r="D300" t="s">
        <v>17</v>
      </c>
      <c r="E300" t="s">
        <v>18</v>
      </c>
      <c r="F300" t="s">
        <v>19</v>
      </c>
      <c r="G300" t="s">
        <v>20</v>
      </c>
      <c r="H300" t="s">
        <v>21</v>
      </c>
      <c r="I300">
        <v>20</v>
      </c>
      <c r="J300">
        <v>12742</v>
      </c>
      <c r="K300" t="s">
        <v>42</v>
      </c>
      <c r="L300">
        <v>4</v>
      </c>
      <c r="M300">
        <v>3</v>
      </c>
      <c r="N300">
        <v>1</v>
      </c>
      <c r="O300">
        <v>0</v>
      </c>
      <c r="P300">
        <v>19</v>
      </c>
      <c r="Q300" t="s">
        <v>22</v>
      </c>
    </row>
    <row r="301" spans="1:17" x14ac:dyDescent="0.25">
      <c r="A301">
        <v>1728</v>
      </c>
      <c r="B301">
        <v>51</v>
      </c>
      <c r="C301" t="s">
        <v>16</v>
      </c>
      <c r="D301" t="s">
        <v>17</v>
      </c>
      <c r="E301" t="s">
        <v>40</v>
      </c>
      <c r="F301" t="s">
        <v>36</v>
      </c>
      <c r="G301" t="s">
        <v>20</v>
      </c>
      <c r="H301" t="s">
        <v>34</v>
      </c>
      <c r="I301">
        <v>3</v>
      </c>
      <c r="J301">
        <v>10071</v>
      </c>
      <c r="K301" t="s">
        <v>22</v>
      </c>
      <c r="L301">
        <v>2</v>
      </c>
      <c r="M301">
        <v>3</v>
      </c>
      <c r="N301">
        <v>21</v>
      </c>
      <c r="O301">
        <v>4</v>
      </c>
      <c r="P301">
        <v>29</v>
      </c>
      <c r="Q301" t="s">
        <v>22</v>
      </c>
    </row>
    <row r="302" spans="1:17" x14ac:dyDescent="0.25">
      <c r="A302">
        <v>1264</v>
      </c>
      <c r="B302">
        <v>55</v>
      </c>
      <c r="C302" t="s">
        <v>16</v>
      </c>
      <c r="D302" t="s">
        <v>27</v>
      </c>
      <c r="E302" t="s">
        <v>44</v>
      </c>
      <c r="F302" t="s">
        <v>19</v>
      </c>
      <c r="G302" t="s">
        <v>20</v>
      </c>
      <c r="H302" t="s">
        <v>30</v>
      </c>
      <c r="I302">
        <v>22</v>
      </c>
      <c r="J302">
        <v>9796</v>
      </c>
      <c r="K302" t="s">
        <v>42</v>
      </c>
      <c r="L302">
        <v>4</v>
      </c>
      <c r="M302">
        <v>1</v>
      </c>
      <c r="N302">
        <v>22</v>
      </c>
      <c r="O302">
        <v>21</v>
      </c>
      <c r="P302">
        <v>31</v>
      </c>
      <c r="Q302" t="s">
        <v>42</v>
      </c>
    </row>
    <row r="303" spans="1:17" x14ac:dyDescent="0.25">
      <c r="A303">
        <v>1819</v>
      </c>
      <c r="B303">
        <v>37</v>
      </c>
      <c r="C303" t="s">
        <v>16</v>
      </c>
      <c r="D303" t="s">
        <v>47</v>
      </c>
      <c r="E303" t="s">
        <v>53</v>
      </c>
      <c r="F303" t="s">
        <v>32</v>
      </c>
      <c r="G303" t="s">
        <v>20</v>
      </c>
      <c r="H303" t="s">
        <v>34</v>
      </c>
      <c r="I303">
        <v>17</v>
      </c>
      <c r="J303">
        <v>13762</v>
      </c>
      <c r="K303" t="s">
        <v>22</v>
      </c>
      <c r="L303">
        <v>3</v>
      </c>
      <c r="M303">
        <v>1</v>
      </c>
      <c r="N303">
        <v>8</v>
      </c>
      <c r="O303">
        <v>3</v>
      </c>
      <c r="P303">
        <v>17</v>
      </c>
      <c r="Q303" t="s">
        <v>22</v>
      </c>
    </row>
    <row r="304" spans="1:17" x14ac:dyDescent="0.25">
      <c r="A304">
        <v>1977</v>
      </c>
      <c r="B304">
        <v>44</v>
      </c>
      <c r="C304" t="s">
        <v>16</v>
      </c>
      <c r="D304" t="s">
        <v>24</v>
      </c>
      <c r="E304" t="s">
        <v>25</v>
      </c>
      <c r="F304" t="s">
        <v>36</v>
      </c>
      <c r="G304" t="s">
        <v>33</v>
      </c>
      <c r="H304" t="s">
        <v>34</v>
      </c>
      <c r="I304">
        <v>23</v>
      </c>
      <c r="J304">
        <v>10616</v>
      </c>
      <c r="K304" t="s">
        <v>22</v>
      </c>
      <c r="L304">
        <v>4</v>
      </c>
      <c r="M304">
        <v>1</v>
      </c>
      <c r="N304">
        <v>0</v>
      </c>
      <c r="O304">
        <v>0</v>
      </c>
      <c r="P304">
        <v>20</v>
      </c>
      <c r="Q304" t="s">
        <v>22</v>
      </c>
    </row>
    <row r="305" spans="1:17" x14ac:dyDescent="0.25">
      <c r="A305">
        <v>1563</v>
      </c>
      <c r="B305">
        <v>60</v>
      </c>
      <c r="C305" t="s">
        <v>23</v>
      </c>
      <c r="D305" t="s">
        <v>24</v>
      </c>
      <c r="E305" t="s">
        <v>45</v>
      </c>
      <c r="F305" t="s">
        <v>41</v>
      </c>
      <c r="G305" t="s">
        <v>20</v>
      </c>
      <c r="H305" t="s">
        <v>30</v>
      </c>
      <c r="I305">
        <v>13</v>
      </c>
      <c r="J305">
        <v>11918</v>
      </c>
      <c r="K305" t="s">
        <v>22</v>
      </c>
      <c r="L305">
        <v>2</v>
      </c>
      <c r="M305">
        <v>4</v>
      </c>
      <c r="N305">
        <v>1</v>
      </c>
      <c r="O305">
        <v>0</v>
      </c>
      <c r="P305">
        <v>40</v>
      </c>
      <c r="Q305" t="s">
        <v>42</v>
      </c>
    </row>
    <row r="306" spans="1:17" x14ac:dyDescent="0.25">
      <c r="A306">
        <v>1506</v>
      </c>
      <c r="B306">
        <v>25</v>
      </c>
      <c r="C306" t="s">
        <v>87</v>
      </c>
      <c r="D306" t="s">
        <v>24</v>
      </c>
      <c r="E306" t="s">
        <v>25</v>
      </c>
      <c r="F306" t="s">
        <v>32</v>
      </c>
      <c r="G306" t="s">
        <v>20</v>
      </c>
      <c r="H306" t="s">
        <v>30</v>
      </c>
      <c r="I306">
        <v>21</v>
      </c>
      <c r="J306">
        <v>9445</v>
      </c>
      <c r="K306" t="s">
        <v>42</v>
      </c>
      <c r="L306">
        <v>2</v>
      </c>
      <c r="M306">
        <v>1</v>
      </c>
      <c r="N306">
        <v>0</v>
      </c>
      <c r="O306">
        <v>0</v>
      </c>
      <c r="P306">
        <v>1</v>
      </c>
      <c r="Q306" t="s">
        <v>42</v>
      </c>
    </row>
    <row r="307" spans="1:17" x14ac:dyDescent="0.25">
      <c r="A307">
        <v>1300</v>
      </c>
      <c r="B307">
        <v>36</v>
      </c>
      <c r="C307" t="s">
        <v>16</v>
      </c>
      <c r="D307" t="s">
        <v>17</v>
      </c>
      <c r="E307" t="s">
        <v>40</v>
      </c>
      <c r="F307" t="s">
        <v>29</v>
      </c>
      <c r="G307" t="s">
        <v>37</v>
      </c>
      <c r="H307" t="s">
        <v>34</v>
      </c>
      <c r="I307">
        <v>24</v>
      </c>
      <c r="J307">
        <v>6785</v>
      </c>
      <c r="K307" t="s">
        <v>42</v>
      </c>
      <c r="L307">
        <v>3</v>
      </c>
      <c r="M307">
        <v>2</v>
      </c>
      <c r="N307">
        <v>1</v>
      </c>
      <c r="O307">
        <v>1</v>
      </c>
      <c r="P307">
        <v>8</v>
      </c>
      <c r="Q307" t="s">
        <v>22</v>
      </c>
    </row>
    <row r="308" spans="1:17" x14ac:dyDescent="0.25">
      <c r="A308">
        <v>1265</v>
      </c>
      <c r="B308">
        <v>55</v>
      </c>
      <c r="C308" t="s">
        <v>16</v>
      </c>
      <c r="D308" t="s">
        <v>115</v>
      </c>
      <c r="E308" t="s">
        <v>50</v>
      </c>
      <c r="F308" t="s">
        <v>36</v>
      </c>
      <c r="G308" t="s">
        <v>20</v>
      </c>
      <c r="H308" t="s">
        <v>34</v>
      </c>
      <c r="I308">
        <v>20</v>
      </c>
      <c r="J308">
        <v>9739</v>
      </c>
      <c r="K308" t="s">
        <v>42</v>
      </c>
      <c r="L308">
        <v>2</v>
      </c>
      <c r="M308">
        <v>4</v>
      </c>
      <c r="N308">
        <v>1</v>
      </c>
      <c r="O308">
        <v>0</v>
      </c>
      <c r="P308">
        <v>23</v>
      </c>
      <c r="Q308" t="s">
        <v>42</v>
      </c>
    </row>
    <row r="309" spans="1:17" x14ac:dyDescent="0.25">
      <c r="A309">
        <v>1358</v>
      </c>
      <c r="B309">
        <v>28</v>
      </c>
      <c r="C309" t="s">
        <v>23</v>
      </c>
      <c r="D309" t="s">
        <v>24</v>
      </c>
      <c r="E309" t="s">
        <v>52</v>
      </c>
      <c r="F309" t="s">
        <v>32</v>
      </c>
      <c r="G309" t="s">
        <v>20</v>
      </c>
      <c r="H309" t="s">
        <v>34</v>
      </c>
      <c r="I309">
        <v>29</v>
      </c>
      <c r="J309">
        <v>4564</v>
      </c>
      <c r="K309" t="s">
        <v>22</v>
      </c>
      <c r="L309">
        <v>2</v>
      </c>
      <c r="M309">
        <v>3</v>
      </c>
      <c r="N309">
        <v>0</v>
      </c>
      <c r="O309">
        <v>0</v>
      </c>
      <c r="P309">
        <v>0</v>
      </c>
      <c r="Q309" t="s">
        <v>22</v>
      </c>
    </row>
    <row r="310" spans="1:17" x14ac:dyDescent="0.25">
      <c r="A310">
        <v>1590</v>
      </c>
      <c r="B310">
        <v>35</v>
      </c>
      <c r="C310" t="s">
        <v>16</v>
      </c>
      <c r="D310" t="s">
        <v>17</v>
      </c>
      <c r="E310" t="s">
        <v>18</v>
      </c>
      <c r="F310" t="s">
        <v>36</v>
      </c>
      <c r="G310" t="s">
        <v>33</v>
      </c>
      <c r="H310" t="s">
        <v>34</v>
      </c>
      <c r="I310">
        <v>3</v>
      </c>
      <c r="J310">
        <v>8990</v>
      </c>
      <c r="K310" t="s">
        <v>22</v>
      </c>
      <c r="L310">
        <v>2</v>
      </c>
      <c r="M310">
        <v>4</v>
      </c>
      <c r="N310">
        <v>3</v>
      </c>
      <c r="O310">
        <v>3</v>
      </c>
      <c r="P310">
        <v>13</v>
      </c>
      <c r="Q310" t="s">
        <v>22</v>
      </c>
    </row>
    <row r="311" spans="1:17" x14ac:dyDescent="0.25">
      <c r="A311">
        <v>1527</v>
      </c>
      <c r="B311">
        <v>33</v>
      </c>
      <c r="C311" t="s">
        <v>16</v>
      </c>
      <c r="D311" t="s">
        <v>47</v>
      </c>
      <c r="E311" t="s">
        <v>48</v>
      </c>
      <c r="F311" t="s">
        <v>36</v>
      </c>
      <c r="G311" t="s">
        <v>37</v>
      </c>
      <c r="H311" t="s">
        <v>34</v>
      </c>
      <c r="I311">
        <v>12</v>
      </c>
      <c r="J311">
        <v>7259</v>
      </c>
      <c r="K311" t="s">
        <v>42</v>
      </c>
      <c r="L311">
        <v>1</v>
      </c>
      <c r="M311">
        <v>4</v>
      </c>
      <c r="N311">
        <v>2</v>
      </c>
      <c r="O311">
        <v>2</v>
      </c>
      <c r="P311">
        <v>7</v>
      </c>
      <c r="Q311" t="s">
        <v>22</v>
      </c>
    </row>
    <row r="312" spans="1:17" x14ac:dyDescent="0.25">
      <c r="A312">
        <v>1168</v>
      </c>
      <c r="B312">
        <v>44</v>
      </c>
      <c r="C312" t="s">
        <v>23</v>
      </c>
      <c r="D312" t="s">
        <v>17</v>
      </c>
      <c r="E312" t="s">
        <v>35</v>
      </c>
      <c r="F312" t="s">
        <v>32</v>
      </c>
      <c r="G312" t="s">
        <v>33</v>
      </c>
      <c r="H312" t="s">
        <v>34</v>
      </c>
      <c r="I312">
        <v>10</v>
      </c>
      <c r="J312">
        <v>6768</v>
      </c>
      <c r="K312" t="s">
        <v>42</v>
      </c>
      <c r="L312">
        <v>4</v>
      </c>
      <c r="M312">
        <v>2</v>
      </c>
      <c r="N312">
        <v>17</v>
      </c>
      <c r="O312">
        <v>7</v>
      </c>
      <c r="P312">
        <v>21</v>
      </c>
      <c r="Q312" t="s">
        <v>22</v>
      </c>
    </row>
    <row r="313" spans="1:17" x14ac:dyDescent="0.25">
      <c r="A313">
        <v>1624</v>
      </c>
      <c r="B313">
        <v>30</v>
      </c>
      <c r="C313" t="s">
        <v>23</v>
      </c>
      <c r="D313" t="s">
        <v>17</v>
      </c>
      <c r="E313" t="s">
        <v>18</v>
      </c>
      <c r="F313" t="s">
        <v>19</v>
      </c>
      <c r="G313" t="s">
        <v>37</v>
      </c>
      <c r="H313" t="s">
        <v>30</v>
      </c>
      <c r="I313">
        <v>17</v>
      </c>
      <c r="J313">
        <v>10268</v>
      </c>
      <c r="K313" t="s">
        <v>42</v>
      </c>
      <c r="L313">
        <v>2</v>
      </c>
      <c r="M313">
        <v>3</v>
      </c>
      <c r="N313">
        <v>0</v>
      </c>
      <c r="O313">
        <v>0</v>
      </c>
      <c r="P313">
        <v>0</v>
      </c>
      <c r="Q313" t="s">
        <v>22</v>
      </c>
    </row>
    <row r="314" spans="1:17" x14ac:dyDescent="0.25">
      <c r="A314">
        <v>1432</v>
      </c>
      <c r="B314">
        <v>34</v>
      </c>
      <c r="C314" t="s">
        <v>16</v>
      </c>
      <c r="D314" t="s">
        <v>17</v>
      </c>
      <c r="E314" t="s">
        <v>18</v>
      </c>
      <c r="F314" t="s">
        <v>29</v>
      </c>
      <c r="G314" t="s">
        <v>33</v>
      </c>
      <c r="H314" t="s">
        <v>21</v>
      </c>
      <c r="I314">
        <v>15</v>
      </c>
      <c r="J314">
        <v>12302</v>
      </c>
      <c r="K314" t="s">
        <v>22</v>
      </c>
      <c r="L314">
        <v>1</v>
      </c>
      <c r="M314">
        <v>1</v>
      </c>
      <c r="N314">
        <v>4</v>
      </c>
      <c r="O314">
        <v>3</v>
      </c>
      <c r="P314">
        <v>5</v>
      </c>
      <c r="Q314" t="s">
        <v>22</v>
      </c>
    </row>
    <row r="315" spans="1:17" x14ac:dyDescent="0.25">
      <c r="A315">
        <v>1980</v>
      </c>
      <c r="B315">
        <v>33</v>
      </c>
      <c r="C315" t="s">
        <v>23</v>
      </c>
      <c r="D315" t="s">
        <v>24</v>
      </c>
      <c r="E315" t="s">
        <v>45</v>
      </c>
      <c r="F315" t="s">
        <v>41</v>
      </c>
      <c r="G315" t="s">
        <v>33</v>
      </c>
      <c r="H315" t="s">
        <v>30</v>
      </c>
      <c r="I315">
        <v>27</v>
      </c>
      <c r="J315">
        <v>7594</v>
      </c>
      <c r="K315" t="s">
        <v>22</v>
      </c>
      <c r="L315">
        <v>3</v>
      </c>
      <c r="M315">
        <v>2</v>
      </c>
      <c r="N315">
        <v>1</v>
      </c>
      <c r="O315">
        <v>0</v>
      </c>
      <c r="P315">
        <v>9</v>
      </c>
      <c r="Q315" t="s">
        <v>22</v>
      </c>
    </row>
    <row r="316" spans="1:17" x14ac:dyDescent="0.25">
      <c r="A316">
        <v>1172</v>
      </c>
      <c r="B316">
        <v>33</v>
      </c>
      <c r="C316" t="s">
        <v>16</v>
      </c>
      <c r="D316" t="s">
        <v>47</v>
      </c>
      <c r="E316" t="s">
        <v>50</v>
      </c>
      <c r="F316" t="s">
        <v>32</v>
      </c>
      <c r="G316" t="s">
        <v>37</v>
      </c>
      <c r="H316" t="s">
        <v>21</v>
      </c>
      <c r="I316">
        <v>8</v>
      </c>
      <c r="J316">
        <v>7238</v>
      </c>
      <c r="K316" t="s">
        <v>22</v>
      </c>
      <c r="L316">
        <v>4</v>
      </c>
      <c r="M316">
        <v>2</v>
      </c>
      <c r="N316">
        <v>5</v>
      </c>
      <c r="O316">
        <v>0</v>
      </c>
      <c r="P316">
        <v>5</v>
      </c>
      <c r="Q316" t="s">
        <v>95</v>
      </c>
    </row>
    <row r="317" spans="1:17" x14ac:dyDescent="0.25">
      <c r="A317">
        <v>1855</v>
      </c>
      <c r="B317">
        <v>31</v>
      </c>
      <c r="C317" t="s">
        <v>16</v>
      </c>
      <c r="D317" t="s">
        <v>38</v>
      </c>
      <c r="E317" t="s">
        <v>49</v>
      </c>
      <c r="F317" t="s">
        <v>26</v>
      </c>
      <c r="G317" t="s">
        <v>37</v>
      </c>
      <c r="H317" t="s">
        <v>34</v>
      </c>
      <c r="I317">
        <v>5</v>
      </c>
      <c r="J317" t="s">
        <v>116</v>
      </c>
      <c r="K317" t="s">
        <v>42</v>
      </c>
      <c r="L317">
        <v>2</v>
      </c>
      <c r="M317">
        <v>3</v>
      </c>
      <c r="N317">
        <v>2</v>
      </c>
      <c r="O317">
        <v>0</v>
      </c>
      <c r="P317">
        <v>2</v>
      </c>
      <c r="Q317" t="s">
        <v>22</v>
      </c>
    </row>
    <row r="318" spans="1:17" x14ac:dyDescent="0.25">
      <c r="A318">
        <v>1230</v>
      </c>
      <c r="B318">
        <v>25</v>
      </c>
      <c r="C318" t="s">
        <v>105</v>
      </c>
      <c r="D318" t="s">
        <v>27</v>
      </c>
      <c r="E318" t="s">
        <v>31</v>
      </c>
      <c r="F318" t="s">
        <v>29</v>
      </c>
      <c r="G318" t="s">
        <v>37</v>
      </c>
      <c r="H318" t="s">
        <v>21</v>
      </c>
      <c r="I318">
        <v>27</v>
      </c>
      <c r="J318">
        <v>3885</v>
      </c>
      <c r="K318" t="s">
        <v>22</v>
      </c>
      <c r="L318">
        <v>2</v>
      </c>
      <c r="M318">
        <v>1</v>
      </c>
      <c r="N318">
        <v>0</v>
      </c>
      <c r="O318">
        <v>0</v>
      </c>
      <c r="P318">
        <v>0</v>
      </c>
      <c r="Q318" t="s">
        <v>22</v>
      </c>
    </row>
    <row r="319" spans="1:17" x14ac:dyDescent="0.25">
      <c r="A319">
        <v>1323</v>
      </c>
      <c r="B319">
        <v>21</v>
      </c>
      <c r="C319" t="s">
        <v>16</v>
      </c>
      <c r="D319" t="s">
        <v>24</v>
      </c>
      <c r="E319" t="s">
        <v>52</v>
      </c>
      <c r="F319" t="s">
        <v>29</v>
      </c>
      <c r="G319" t="s">
        <v>37</v>
      </c>
      <c r="H319" t="s">
        <v>21</v>
      </c>
      <c r="I319">
        <v>23</v>
      </c>
      <c r="J319" t="s">
        <v>117</v>
      </c>
      <c r="K319" t="s">
        <v>42</v>
      </c>
      <c r="L319">
        <v>3</v>
      </c>
      <c r="M319">
        <v>4</v>
      </c>
      <c r="N319">
        <v>1</v>
      </c>
      <c r="O319">
        <v>1</v>
      </c>
      <c r="P319">
        <v>1</v>
      </c>
      <c r="Q319" t="s">
        <v>22</v>
      </c>
    </row>
    <row r="320" spans="1:17" x14ac:dyDescent="0.25">
      <c r="A320">
        <v>1653</v>
      </c>
      <c r="B320">
        <v>60</v>
      </c>
      <c r="C320" t="s">
        <v>23</v>
      </c>
      <c r="D320" t="s">
        <v>17</v>
      </c>
      <c r="E320" t="s">
        <v>40</v>
      </c>
      <c r="F320" t="s">
        <v>38</v>
      </c>
      <c r="G320" t="s">
        <v>37</v>
      </c>
      <c r="H320" t="s">
        <v>21</v>
      </c>
      <c r="I320">
        <v>1</v>
      </c>
      <c r="J320">
        <v>14728</v>
      </c>
      <c r="K320" t="s">
        <v>22</v>
      </c>
      <c r="L320">
        <v>2</v>
      </c>
      <c r="M320">
        <v>2</v>
      </c>
      <c r="N320">
        <v>4</v>
      </c>
      <c r="O320">
        <v>2</v>
      </c>
      <c r="P320">
        <v>40</v>
      </c>
      <c r="Q320" t="s">
        <v>22</v>
      </c>
    </row>
    <row r="321" spans="1:17" x14ac:dyDescent="0.25">
      <c r="A321">
        <v>1418</v>
      </c>
      <c r="B321">
        <v>21</v>
      </c>
      <c r="C321" t="s">
        <v>23</v>
      </c>
      <c r="D321" t="s">
        <v>24</v>
      </c>
      <c r="E321" t="s">
        <v>52</v>
      </c>
      <c r="F321" t="s">
        <v>41</v>
      </c>
      <c r="G321" t="s">
        <v>37</v>
      </c>
      <c r="H321" t="s">
        <v>21</v>
      </c>
      <c r="I321">
        <v>19</v>
      </c>
      <c r="J321" t="s">
        <v>118</v>
      </c>
      <c r="K321" t="s">
        <v>22</v>
      </c>
      <c r="L321">
        <v>2</v>
      </c>
      <c r="M321">
        <v>1</v>
      </c>
      <c r="N321">
        <v>0</v>
      </c>
      <c r="O321">
        <v>0</v>
      </c>
      <c r="P321">
        <v>0</v>
      </c>
      <c r="Q321" t="s">
        <v>22</v>
      </c>
    </row>
    <row r="322" spans="1:17" x14ac:dyDescent="0.25">
      <c r="A322">
        <v>1112</v>
      </c>
      <c r="B322">
        <v>48</v>
      </c>
      <c r="C322" t="s">
        <v>16</v>
      </c>
      <c r="D322" t="s">
        <v>27</v>
      </c>
      <c r="E322" t="s">
        <v>44</v>
      </c>
      <c r="F322" t="s">
        <v>29</v>
      </c>
      <c r="G322" t="s">
        <v>37</v>
      </c>
      <c r="H322" t="s">
        <v>30</v>
      </c>
      <c r="I322">
        <v>21</v>
      </c>
      <c r="J322">
        <v>11883</v>
      </c>
      <c r="K322" t="s">
        <v>42</v>
      </c>
      <c r="L322">
        <v>3</v>
      </c>
      <c r="M322">
        <v>1</v>
      </c>
      <c r="N322">
        <v>11</v>
      </c>
      <c r="O322">
        <v>9</v>
      </c>
      <c r="P322">
        <v>28</v>
      </c>
      <c r="Q322" t="s">
        <v>22</v>
      </c>
    </row>
    <row r="323" spans="1:17" x14ac:dyDescent="0.25">
      <c r="A323">
        <v>1794</v>
      </c>
      <c r="B323">
        <v>58</v>
      </c>
      <c r="C323" t="s">
        <v>23</v>
      </c>
      <c r="D323" t="s">
        <v>17</v>
      </c>
      <c r="E323" t="s">
        <v>18</v>
      </c>
      <c r="F323" t="s">
        <v>19</v>
      </c>
      <c r="G323" t="s">
        <v>20</v>
      </c>
      <c r="H323" t="s">
        <v>34</v>
      </c>
      <c r="I323">
        <v>24</v>
      </c>
      <c r="J323">
        <v>14694</v>
      </c>
      <c r="K323" t="s">
        <v>22</v>
      </c>
      <c r="L323">
        <v>3</v>
      </c>
      <c r="M323">
        <v>3</v>
      </c>
      <c r="N323">
        <v>18</v>
      </c>
      <c r="O323">
        <v>12</v>
      </c>
      <c r="P323">
        <v>35</v>
      </c>
      <c r="Q323" t="s">
        <v>42</v>
      </c>
    </row>
    <row r="324" spans="1:17" x14ac:dyDescent="0.25">
      <c r="A324">
        <v>1572</v>
      </c>
      <c r="B324">
        <v>60</v>
      </c>
      <c r="C324" t="s">
        <v>23</v>
      </c>
      <c r="D324" t="s">
        <v>24</v>
      </c>
      <c r="E324" t="s">
        <v>45</v>
      </c>
      <c r="F324" t="s">
        <v>41</v>
      </c>
      <c r="G324" t="s">
        <v>20</v>
      </c>
      <c r="H324" t="s">
        <v>34</v>
      </c>
      <c r="I324">
        <v>3</v>
      </c>
      <c r="J324">
        <v>11879</v>
      </c>
      <c r="K324" t="s">
        <v>42</v>
      </c>
      <c r="L324">
        <v>4</v>
      </c>
      <c r="M324">
        <v>1</v>
      </c>
      <c r="N324">
        <v>3</v>
      </c>
      <c r="O324">
        <v>1</v>
      </c>
      <c r="P324">
        <v>37</v>
      </c>
      <c r="Q324" t="s">
        <v>22</v>
      </c>
    </row>
    <row r="325" spans="1:17" x14ac:dyDescent="0.25">
      <c r="A325">
        <v>1031</v>
      </c>
      <c r="B325">
        <v>48</v>
      </c>
      <c r="C325" t="s">
        <v>23</v>
      </c>
      <c r="D325" t="s">
        <v>24</v>
      </c>
      <c r="E325" t="s">
        <v>45</v>
      </c>
      <c r="F325" t="s">
        <v>19</v>
      </c>
      <c r="G325" t="s">
        <v>33</v>
      </c>
      <c r="H325" t="s">
        <v>34</v>
      </c>
      <c r="I325">
        <v>25</v>
      </c>
      <c r="J325">
        <v>7884</v>
      </c>
      <c r="K325" t="s">
        <v>42</v>
      </c>
      <c r="L325">
        <v>3</v>
      </c>
      <c r="M325">
        <v>3</v>
      </c>
      <c r="N325">
        <v>5</v>
      </c>
      <c r="O325">
        <v>5</v>
      </c>
      <c r="P325">
        <v>21</v>
      </c>
      <c r="Q325" t="s">
        <v>42</v>
      </c>
    </row>
    <row r="326" spans="1:17" x14ac:dyDescent="0.25">
      <c r="A326">
        <v>1139</v>
      </c>
      <c r="B326">
        <v>36</v>
      </c>
      <c r="C326" t="s">
        <v>23</v>
      </c>
      <c r="D326" t="s">
        <v>17</v>
      </c>
      <c r="E326" t="s">
        <v>35</v>
      </c>
      <c r="F326" t="s">
        <v>41</v>
      </c>
      <c r="G326" t="s">
        <v>37</v>
      </c>
      <c r="H326" t="s">
        <v>34</v>
      </c>
      <c r="I326">
        <v>17</v>
      </c>
      <c r="J326">
        <v>6948</v>
      </c>
      <c r="K326" t="s">
        <v>22</v>
      </c>
      <c r="L326">
        <v>2</v>
      </c>
      <c r="M326">
        <v>4</v>
      </c>
      <c r="N326">
        <v>5</v>
      </c>
      <c r="O326">
        <v>2</v>
      </c>
      <c r="P326">
        <v>11</v>
      </c>
      <c r="Q326" t="s">
        <v>22</v>
      </c>
    </row>
    <row r="327" spans="1:17" x14ac:dyDescent="0.25">
      <c r="A327">
        <v>1914</v>
      </c>
      <c r="B327">
        <v>50</v>
      </c>
      <c r="C327" t="s">
        <v>23</v>
      </c>
      <c r="D327" t="s">
        <v>17</v>
      </c>
      <c r="E327" t="s">
        <v>35</v>
      </c>
      <c r="F327" t="s">
        <v>29</v>
      </c>
      <c r="G327" t="s">
        <v>20</v>
      </c>
      <c r="H327" t="s">
        <v>21</v>
      </c>
      <c r="I327">
        <v>24</v>
      </c>
      <c r="J327">
        <v>9474</v>
      </c>
      <c r="K327" t="s">
        <v>22</v>
      </c>
      <c r="L327">
        <v>3</v>
      </c>
      <c r="M327">
        <v>3</v>
      </c>
      <c r="N327">
        <v>21</v>
      </c>
      <c r="O327">
        <v>11</v>
      </c>
      <c r="P327">
        <v>27</v>
      </c>
      <c r="Q327" t="s">
        <v>42</v>
      </c>
    </row>
    <row r="328" spans="1:17" x14ac:dyDescent="0.25">
      <c r="A328">
        <v>1356</v>
      </c>
      <c r="B328">
        <v>42</v>
      </c>
      <c r="C328" t="s">
        <v>16</v>
      </c>
      <c r="D328" t="s">
        <v>17</v>
      </c>
      <c r="E328" t="s">
        <v>35</v>
      </c>
      <c r="F328" t="s">
        <v>19</v>
      </c>
      <c r="G328" t="s">
        <v>20</v>
      </c>
      <c r="H328" t="s">
        <v>30</v>
      </c>
      <c r="I328">
        <v>9</v>
      </c>
      <c r="J328">
        <v>8836</v>
      </c>
      <c r="K328" t="s">
        <v>22</v>
      </c>
      <c r="L328">
        <v>4</v>
      </c>
      <c r="M328">
        <v>1</v>
      </c>
      <c r="N328">
        <v>8</v>
      </c>
      <c r="O328">
        <v>0</v>
      </c>
      <c r="P328">
        <v>15</v>
      </c>
      <c r="Q328" t="s">
        <v>22</v>
      </c>
    </row>
    <row r="329" spans="1:17" x14ac:dyDescent="0.25">
      <c r="A329">
        <v>1706</v>
      </c>
      <c r="B329">
        <v>43</v>
      </c>
      <c r="C329" t="s">
        <v>16</v>
      </c>
      <c r="D329" t="s">
        <v>17</v>
      </c>
      <c r="E329" t="s">
        <v>40</v>
      </c>
      <c r="F329" t="s">
        <v>32</v>
      </c>
      <c r="G329" t="s">
        <v>37</v>
      </c>
      <c r="H329" t="s">
        <v>34</v>
      </c>
      <c r="I329">
        <v>19</v>
      </c>
      <c r="J329">
        <v>9113</v>
      </c>
      <c r="K329" t="s">
        <v>42</v>
      </c>
      <c r="L329">
        <v>1</v>
      </c>
      <c r="M329">
        <v>3</v>
      </c>
      <c r="N329">
        <v>1</v>
      </c>
      <c r="O329">
        <v>0</v>
      </c>
      <c r="P329">
        <v>12</v>
      </c>
      <c r="Q329" t="s">
        <v>22</v>
      </c>
    </row>
    <row r="330" spans="1:17" x14ac:dyDescent="0.25">
      <c r="A330">
        <v>1006</v>
      </c>
      <c r="B330">
        <v>34</v>
      </c>
      <c r="C330" t="s">
        <v>23</v>
      </c>
      <c r="D330" t="s">
        <v>27</v>
      </c>
      <c r="E330" t="s">
        <v>31</v>
      </c>
      <c r="F330" t="s">
        <v>38</v>
      </c>
      <c r="G330" t="s">
        <v>20</v>
      </c>
      <c r="H330" t="s">
        <v>34</v>
      </c>
      <c r="I330">
        <v>16</v>
      </c>
      <c r="J330">
        <v>6161</v>
      </c>
      <c r="K330" t="s">
        <v>42</v>
      </c>
      <c r="L330">
        <v>2</v>
      </c>
      <c r="M330">
        <v>3</v>
      </c>
      <c r="N330">
        <v>6</v>
      </c>
      <c r="O330">
        <v>2</v>
      </c>
      <c r="P330">
        <v>13</v>
      </c>
      <c r="Q330" t="s">
        <v>22</v>
      </c>
    </row>
    <row r="331" spans="1:17" x14ac:dyDescent="0.25">
      <c r="A331">
        <v>1085</v>
      </c>
      <c r="B331">
        <v>56</v>
      </c>
      <c r="C331" t="s">
        <v>23</v>
      </c>
      <c r="D331" t="s">
        <v>17</v>
      </c>
      <c r="E331" t="s">
        <v>40</v>
      </c>
      <c r="F331" t="s">
        <v>19</v>
      </c>
      <c r="G331" t="s">
        <v>20</v>
      </c>
      <c r="H331" t="s">
        <v>30</v>
      </c>
      <c r="I331">
        <v>15</v>
      </c>
      <c r="J331">
        <v>10155</v>
      </c>
      <c r="K331" t="s">
        <v>22</v>
      </c>
      <c r="L331">
        <v>1</v>
      </c>
      <c r="M331">
        <v>2</v>
      </c>
      <c r="N331">
        <v>23</v>
      </c>
      <c r="O331">
        <v>20</v>
      </c>
      <c r="P331">
        <v>30</v>
      </c>
      <c r="Q331" t="s">
        <v>22</v>
      </c>
    </row>
    <row r="332" spans="1:17" x14ac:dyDescent="0.25">
      <c r="A332">
        <v>1260</v>
      </c>
      <c r="B332">
        <v>56</v>
      </c>
      <c r="C332" t="s">
        <v>23</v>
      </c>
      <c r="D332" t="s">
        <v>47</v>
      </c>
      <c r="E332" t="s">
        <v>53</v>
      </c>
      <c r="F332" t="s">
        <v>41</v>
      </c>
      <c r="G332" t="s">
        <v>33</v>
      </c>
      <c r="H332" t="s">
        <v>30</v>
      </c>
      <c r="I332">
        <v>22</v>
      </c>
      <c r="J332">
        <v>13996</v>
      </c>
      <c r="K332" t="s">
        <v>22</v>
      </c>
      <c r="L332">
        <v>4</v>
      </c>
      <c r="M332">
        <v>2</v>
      </c>
      <c r="N332">
        <v>21</v>
      </c>
      <c r="O332">
        <v>10</v>
      </c>
      <c r="P332">
        <v>31</v>
      </c>
      <c r="Q332" t="s">
        <v>22</v>
      </c>
    </row>
    <row r="333" spans="1:17" x14ac:dyDescent="0.25">
      <c r="A333">
        <v>1159</v>
      </c>
      <c r="B333">
        <v>55</v>
      </c>
      <c r="C333" t="s">
        <v>16</v>
      </c>
      <c r="D333" t="s">
        <v>109</v>
      </c>
      <c r="E333" t="s">
        <v>18</v>
      </c>
      <c r="F333" t="s">
        <v>36</v>
      </c>
      <c r="G333" t="s">
        <v>37</v>
      </c>
      <c r="H333" t="s">
        <v>34</v>
      </c>
      <c r="I333">
        <v>6</v>
      </c>
      <c r="J333">
        <v>14235</v>
      </c>
      <c r="K333" t="s">
        <v>22</v>
      </c>
      <c r="L333">
        <v>1</v>
      </c>
      <c r="M333">
        <v>4</v>
      </c>
      <c r="N333">
        <v>23</v>
      </c>
      <c r="O333">
        <v>8</v>
      </c>
      <c r="P333">
        <v>30</v>
      </c>
      <c r="Q333" t="s">
        <v>42</v>
      </c>
    </row>
    <row r="334" spans="1:17" x14ac:dyDescent="0.25">
      <c r="A334">
        <v>1100</v>
      </c>
      <c r="B334">
        <v>35</v>
      </c>
      <c r="C334" t="s">
        <v>23</v>
      </c>
      <c r="D334" t="s">
        <v>17</v>
      </c>
      <c r="E334" t="s">
        <v>35</v>
      </c>
      <c r="F334" t="s">
        <v>29</v>
      </c>
      <c r="G334" t="s">
        <v>20</v>
      </c>
      <c r="H334" t="s">
        <v>21</v>
      </c>
      <c r="I334">
        <v>7</v>
      </c>
      <c r="J334">
        <v>7534</v>
      </c>
      <c r="K334" t="s">
        <v>22</v>
      </c>
      <c r="L334">
        <v>3</v>
      </c>
      <c r="M334">
        <v>4</v>
      </c>
      <c r="N334">
        <v>14</v>
      </c>
      <c r="O334">
        <v>3</v>
      </c>
      <c r="P334">
        <v>15</v>
      </c>
      <c r="Q334" t="s">
        <v>22</v>
      </c>
    </row>
    <row r="335" spans="1:17" x14ac:dyDescent="0.25">
      <c r="A335">
        <v>1626</v>
      </c>
      <c r="B335">
        <v>57</v>
      </c>
      <c r="C335" t="s">
        <v>23</v>
      </c>
      <c r="D335" t="s">
        <v>38</v>
      </c>
      <c r="E335" t="s">
        <v>39</v>
      </c>
      <c r="F335" t="s">
        <v>41</v>
      </c>
      <c r="G335" t="s">
        <v>33</v>
      </c>
      <c r="H335" t="s">
        <v>21</v>
      </c>
      <c r="I335">
        <v>29</v>
      </c>
      <c r="J335">
        <v>10948</v>
      </c>
      <c r="K335" t="s">
        <v>22</v>
      </c>
      <c r="L335">
        <v>3</v>
      </c>
      <c r="M335">
        <v>3</v>
      </c>
      <c r="N335">
        <v>19</v>
      </c>
      <c r="O335">
        <v>13</v>
      </c>
      <c r="P335">
        <v>31</v>
      </c>
      <c r="Q335" t="s">
        <v>22</v>
      </c>
    </row>
    <row r="336" spans="1:17" x14ac:dyDescent="0.25">
      <c r="A336">
        <v>1515</v>
      </c>
      <c r="B336">
        <v>55</v>
      </c>
      <c r="C336" t="s">
        <v>23</v>
      </c>
      <c r="D336" t="s">
        <v>27</v>
      </c>
      <c r="E336" t="s">
        <v>31</v>
      </c>
      <c r="F336" t="s">
        <v>29</v>
      </c>
      <c r="G336" t="s">
        <v>20</v>
      </c>
      <c r="H336" t="s">
        <v>30</v>
      </c>
      <c r="I336">
        <v>23</v>
      </c>
      <c r="J336">
        <v>12212</v>
      </c>
      <c r="K336" t="s">
        <v>22</v>
      </c>
      <c r="L336">
        <v>3</v>
      </c>
      <c r="M336">
        <v>2</v>
      </c>
      <c r="N336">
        <v>20</v>
      </c>
      <c r="O336">
        <v>3</v>
      </c>
      <c r="P336">
        <v>33</v>
      </c>
      <c r="Q336" t="s">
        <v>22</v>
      </c>
    </row>
    <row r="337" spans="1:17" x14ac:dyDescent="0.25">
      <c r="A337">
        <v>1437</v>
      </c>
      <c r="B337">
        <v>59</v>
      </c>
      <c r="C337" t="s">
        <v>87</v>
      </c>
      <c r="D337" t="s">
        <v>17</v>
      </c>
      <c r="E337" t="s">
        <v>40</v>
      </c>
      <c r="F337" t="s">
        <v>29</v>
      </c>
      <c r="G337" t="s">
        <v>33</v>
      </c>
      <c r="H337" t="s">
        <v>21</v>
      </c>
      <c r="I337">
        <v>2</v>
      </c>
      <c r="J337" t="s">
        <v>119</v>
      </c>
      <c r="K337" t="s">
        <v>42</v>
      </c>
      <c r="L337">
        <v>2</v>
      </c>
      <c r="M337">
        <v>2</v>
      </c>
      <c r="N337">
        <v>9</v>
      </c>
      <c r="O337">
        <v>2</v>
      </c>
      <c r="P337">
        <v>39</v>
      </c>
      <c r="Q337" t="s">
        <v>22</v>
      </c>
    </row>
    <row r="338" spans="1:17" x14ac:dyDescent="0.25">
      <c r="A338">
        <v>1931</v>
      </c>
      <c r="B338">
        <v>34</v>
      </c>
      <c r="C338" t="s">
        <v>23</v>
      </c>
      <c r="D338" t="s">
        <v>27</v>
      </c>
      <c r="E338" t="s">
        <v>43</v>
      </c>
      <c r="F338" t="s">
        <v>38</v>
      </c>
      <c r="G338" t="s">
        <v>37</v>
      </c>
      <c r="H338" t="s">
        <v>30</v>
      </c>
      <c r="I338">
        <v>24</v>
      </c>
      <c r="J338" t="s">
        <v>120</v>
      </c>
      <c r="K338" t="s">
        <v>42</v>
      </c>
      <c r="L338">
        <v>2</v>
      </c>
      <c r="M338">
        <v>3</v>
      </c>
      <c r="N338">
        <v>2</v>
      </c>
      <c r="O338">
        <v>1</v>
      </c>
      <c r="P338">
        <v>12</v>
      </c>
      <c r="Q338" t="s">
        <v>22</v>
      </c>
    </row>
    <row r="339" spans="1:17" x14ac:dyDescent="0.25">
      <c r="A339">
        <v>1561</v>
      </c>
      <c r="B339">
        <v>54</v>
      </c>
      <c r="C339" t="s">
        <v>16</v>
      </c>
      <c r="D339" t="s">
        <v>27</v>
      </c>
      <c r="E339" t="s">
        <v>43</v>
      </c>
      <c r="F339" t="s">
        <v>26</v>
      </c>
      <c r="G339" t="s">
        <v>37</v>
      </c>
      <c r="H339" t="s">
        <v>30</v>
      </c>
      <c r="I339">
        <v>3</v>
      </c>
      <c r="J339">
        <v>12083</v>
      </c>
      <c r="K339" t="s">
        <v>42</v>
      </c>
      <c r="L339">
        <v>2</v>
      </c>
      <c r="M339">
        <v>4</v>
      </c>
      <c r="N339">
        <v>7</v>
      </c>
      <c r="O339">
        <v>0</v>
      </c>
      <c r="P339">
        <v>29</v>
      </c>
      <c r="Q339" t="s">
        <v>22</v>
      </c>
    </row>
    <row r="340" spans="1:17" x14ac:dyDescent="0.25">
      <c r="A340">
        <v>1826</v>
      </c>
      <c r="B340">
        <v>44</v>
      </c>
      <c r="C340" t="s">
        <v>16</v>
      </c>
      <c r="D340" t="s">
        <v>27</v>
      </c>
      <c r="E340" t="s">
        <v>31</v>
      </c>
      <c r="F340" t="s">
        <v>41</v>
      </c>
      <c r="G340" t="s">
        <v>37</v>
      </c>
      <c r="H340" t="s">
        <v>30</v>
      </c>
      <c r="I340">
        <v>18</v>
      </c>
      <c r="J340">
        <v>12136</v>
      </c>
      <c r="K340" t="s">
        <v>22</v>
      </c>
      <c r="L340">
        <v>3</v>
      </c>
      <c r="M340">
        <v>4</v>
      </c>
      <c r="N340">
        <v>4</v>
      </c>
      <c r="O340">
        <v>3</v>
      </c>
      <c r="P340">
        <v>24</v>
      </c>
      <c r="Q340" t="s">
        <v>42</v>
      </c>
    </row>
    <row r="341" spans="1:17" x14ac:dyDescent="0.25">
      <c r="A341">
        <v>1283</v>
      </c>
      <c r="B341">
        <v>27</v>
      </c>
      <c r="C341" t="s">
        <v>23</v>
      </c>
      <c r="D341" t="s">
        <v>24</v>
      </c>
      <c r="E341" t="s">
        <v>52</v>
      </c>
      <c r="F341" t="s">
        <v>32</v>
      </c>
      <c r="G341" t="s">
        <v>20</v>
      </c>
      <c r="H341" t="s">
        <v>30</v>
      </c>
      <c r="I341">
        <v>29</v>
      </c>
      <c r="J341">
        <v>7333</v>
      </c>
      <c r="K341" t="s">
        <v>22</v>
      </c>
      <c r="L341">
        <v>3</v>
      </c>
      <c r="M341">
        <v>2</v>
      </c>
      <c r="N341">
        <v>6</v>
      </c>
      <c r="O341">
        <v>4</v>
      </c>
      <c r="P341">
        <v>7</v>
      </c>
      <c r="Q341" t="s">
        <v>22</v>
      </c>
    </row>
    <row r="342" spans="1:17" x14ac:dyDescent="0.25">
      <c r="A342">
        <v>1473</v>
      </c>
      <c r="B342">
        <v>56</v>
      </c>
      <c r="C342" t="s">
        <v>16</v>
      </c>
      <c r="D342" t="s">
        <v>24</v>
      </c>
      <c r="E342" t="s">
        <v>45</v>
      </c>
      <c r="F342" t="s">
        <v>26</v>
      </c>
      <c r="G342" t="s">
        <v>20</v>
      </c>
      <c r="H342" t="s">
        <v>21</v>
      </c>
      <c r="I342">
        <v>22</v>
      </c>
      <c r="J342">
        <v>10693</v>
      </c>
      <c r="K342" t="s">
        <v>42</v>
      </c>
      <c r="L342">
        <v>2</v>
      </c>
      <c r="M342">
        <v>2</v>
      </c>
      <c r="N342">
        <v>6</v>
      </c>
      <c r="O342">
        <v>2</v>
      </c>
      <c r="P342">
        <v>31</v>
      </c>
      <c r="Q342" t="s">
        <v>95</v>
      </c>
    </row>
    <row r="343" spans="1:17" x14ac:dyDescent="0.25">
      <c r="A343">
        <v>1472</v>
      </c>
      <c r="B343">
        <v>21</v>
      </c>
      <c r="C343" t="s">
        <v>23</v>
      </c>
      <c r="D343" t="s">
        <v>27</v>
      </c>
      <c r="E343" t="s">
        <v>43</v>
      </c>
      <c r="F343" t="s">
        <v>41</v>
      </c>
      <c r="G343" t="s">
        <v>20</v>
      </c>
      <c r="H343" t="s">
        <v>30</v>
      </c>
      <c r="I343">
        <v>27</v>
      </c>
      <c r="J343">
        <v>4885</v>
      </c>
      <c r="K343" t="s">
        <v>22</v>
      </c>
      <c r="L343">
        <v>4</v>
      </c>
      <c r="M343">
        <v>2</v>
      </c>
      <c r="N343">
        <v>0</v>
      </c>
      <c r="O343">
        <v>0</v>
      </c>
      <c r="P343">
        <v>0</v>
      </c>
      <c r="Q343" t="s">
        <v>22</v>
      </c>
    </row>
    <row r="344" spans="1:17" x14ac:dyDescent="0.25">
      <c r="A344">
        <v>1941</v>
      </c>
      <c r="B344">
        <v>33</v>
      </c>
      <c r="C344" t="s">
        <v>16</v>
      </c>
      <c r="D344" t="s">
        <v>24</v>
      </c>
      <c r="E344" t="s">
        <v>52</v>
      </c>
      <c r="F344" t="s">
        <v>29</v>
      </c>
      <c r="G344" t="s">
        <v>37</v>
      </c>
      <c r="H344" t="s">
        <v>21</v>
      </c>
      <c r="I344">
        <v>5</v>
      </c>
      <c r="J344">
        <v>5095</v>
      </c>
      <c r="K344" t="s">
        <v>42</v>
      </c>
      <c r="L344">
        <v>3</v>
      </c>
      <c r="M344">
        <v>3</v>
      </c>
      <c r="N344">
        <v>5</v>
      </c>
      <c r="O344">
        <v>3</v>
      </c>
      <c r="P344">
        <v>7</v>
      </c>
      <c r="Q344" t="s">
        <v>22</v>
      </c>
    </row>
    <row r="345" spans="1:17" x14ac:dyDescent="0.25">
      <c r="A345">
        <v>1307</v>
      </c>
      <c r="B345">
        <v>57</v>
      </c>
      <c r="C345" t="s">
        <v>23</v>
      </c>
      <c r="D345" t="s">
        <v>27</v>
      </c>
      <c r="E345" t="s">
        <v>28</v>
      </c>
      <c r="F345" t="s">
        <v>29</v>
      </c>
      <c r="G345" t="s">
        <v>33</v>
      </c>
      <c r="H345" t="s">
        <v>21</v>
      </c>
      <c r="I345">
        <v>27</v>
      </c>
      <c r="J345">
        <v>15774</v>
      </c>
      <c r="K345" t="s">
        <v>22</v>
      </c>
      <c r="L345">
        <v>3</v>
      </c>
      <c r="M345">
        <v>3</v>
      </c>
      <c r="N345">
        <v>22</v>
      </c>
      <c r="O345">
        <v>2</v>
      </c>
      <c r="P345">
        <v>33</v>
      </c>
      <c r="Q345" t="s">
        <v>22</v>
      </c>
    </row>
    <row r="346" spans="1:17" x14ac:dyDescent="0.25">
      <c r="A346">
        <v>1695</v>
      </c>
      <c r="B346">
        <v>47</v>
      </c>
      <c r="C346" t="s">
        <v>16</v>
      </c>
      <c r="D346" t="s">
        <v>17</v>
      </c>
      <c r="E346" t="s">
        <v>18</v>
      </c>
      <c r="F346" t="s">
        <v>38</v>
      </c>
      <c r="G346" t="s">
        <v>33</v>
      </c>
      <c r="H346" t="s">
        <v>21</v>
      </c>
      <c r="I346">
        <v>21</v>
      </c>
      <c r="J346">
        <v>16607</v>
      </c>
      <c r="K346" t="s">
        <v>42</v>
      </c>
      <c r="L346">
        <v>1</v>
      </c>
      <c r="M346">
        <v>4</v>
      </c>
      <c r="N346">
        <v>6</v>
      </c>
      <c r="O346">
        <v>4</v>
      </c>
      <c r="P346">
        <v>23</v>
      </c>
      <c r="Q346" t="s">
        <v>22</v>
      </c>
    </row>
    <row r="347" spans="1:17" x14ac:dyDescent="0.25">
      <c r="A347">
        <v>1222</v>
      </c>
      <c r="B347">
        <v>45</v>
      </c>
      <c r="C347" t="s">
        <v>23</v>
      </c>
      <c r="D347" t="s">
        <v>54</v>
      </c>
      <c r="E347" t="s">
        <v>53</v>
      </c>
      <c r="F347" t="s">
        <v>32</v>
      </c>
      <c r="G347" t="s">
        <v>20</v>
      </c>
      <c r="H347" t="s">
        <v>30</v>
      </c>
      <c r="I347">
        <v>4</v>
      </c>
      <c r="J347">
        <v>11962</v>
      </c>
      <c r="K347" t="s">
        <v>22</v>
      </c>
      <c r="L347">
        <v>3</v>
      </c>
      <c r="M347">
        <v>2</v>
      </c>
      <c r="N347">
        <v>18</v>
      </c>
      <c r="O347">
        <v>1</v>
      </c>
      <c r="P347">
        <v>25</v>
      </c>
      <c r="Q347" t="s">
        <v>22</v>
      </c>
    </row>
    <row r="348" spans="1:17" x14ac:dyDescent="0.25">
      <c r="A348">
        <v>1718</v>
      </c>
      <c r="B348">
        <v>52</v>
      </c>
      <c r="C348" t="s">
        <v>16</v>
      </c>
      <c r="D348" t="s">
        <v>17</v>
      </c>
      <c r="E348" t="s">
        <v>35</v>
      </c>
      <c r="F348" t="s">
        <v>32</v>
      </c>
      <c r="G348" t="s">
        <v>20</v>
      </c>
      <c r="H348" t="s">
        <v>34</v>
      </c>
      <c r="I348">
        <v>24</v>
      </c>
      <c r="J348">
        <v>9871</v>
      </c>
      <c r="K348" t="s">
        <v>22</v>
      </c>
      <c r="L348">
        <v>1</v>
      </c>
      <c r="M348">
        <v>1</v>
      </c>
      <c r="N348">
        <v>14</v>
      </c>
      <c r="O348">
        <v>4</v>
      </c>
      <c r="P348">
        <v>23</v>
      </c>
      <c r="Q348" t="s">
        <v>22</v>
      </c>
    </row>
    <row r="349" spans="1:17" x14ac:dyDescent="0.25">
      <c r="A349">
        <v>1863</v>
      </c>
      <c r="B349">
        <v>39</v>
      </c>
      <c r="C349" t="s">
        <v>23</v>
      </c>
      <c r="D349" t="s">
        <v>27</v>
      </c>
      <c r="E349" t="s">
        <v>43</v>
      </c>
      <c r="F349" t="s">
        <v>32</v>
      </c>
      <c r="G349" t="s">
        <v>20</v>
      </c>
      <c r="H349" t="s">
        <v>34</v>
      </c>
      <c r="I349">
        <v>5</v>
      </c>
      <c r="J349">
        <v>7886</v>
      </c>
      <c r="K349" t="s">
        <v>22</v>
      </c>
      <c r="L349">
        <v>3</v>
      </c>
      <c r="M349">
        <v>2</v>
      </c>
      <c r="N349">
        <v>8</v>
      </c>
      <c r="O349">
        <v>7</v>
      </c>
      <c r="P349">
        <v>10</v>
      </c>
      <c r="Q349" t="s">
        <v>22</v>
      </c>
    </row>
    <row r="350" spans="1:17" x14ac:dyDescent="0.25">
      <c r="A350">
        <v>1617</v>
      </c>
      <c r="B350">
        <v>56</v>
      </c>
      <c r="C350" t="s">
        <v>23</v>
      </c>
      <c r="D350" t="s">
        <v>24</v>
      </c>
      <c r="E350" t="s">
        <v>52</v>
      </c>
      <c r="F350" t="s">
        <v>26</v>
      </c>
      <c r="G350" t="s">
        <v>37</v>
      </c>
      <c r="H350" t="s">
        <v>34</v>
      </c>
      <c r="I350">
        <v>1</v>
      </c>
      <c r="J350">
        <v>13723</v>
      </c>
      <c r="K350" t="s">
        <v>22</v>
      </c>
      <c r="L350">
        <v>2</v>
      </c>
      <c r="M350">
        <v>2</v>
      </c>
      <c r="N350">
        <v>9</v>
      </c>
      <c r="O350">
        <v>2</v>
      </c>
      <c r="P350">
        <v>36</v>
      </c>
      <c r="Q350" t="s">
        <v>22</v>
      </c>
    </row>
    <row r="351" spans="1:17" x14ac:dyDescent="0.25">
      <c r="A351">
        <v>1180</v>
      </c>
      <c r="B351">
        <v>39</v>
      </c>
      <c r="C351" t="s">
        <v>23</v>
      </c>
      <c r="D351" t="s">
        <v>27</v>
      </c>
      <c r="E351" t="s">
        <v>43</v>
      </c>
      <c r="F351" t="s">
        <v>29</v>
      </c>
      <c r="G351" t="s">
        <v>20</v>
      </c>
      <c r="H351" t="s">
        <v>21</v>
      </c>
      <c r="I351">
        <v>12</v>
      </c>
      <c r="J351">
        <v>8605</v>
      </c>
      <c r="K351" t="s">
        <v>42</v>
      </c>
      <c r="L351">
        <v>2</v>
      </c>
      <c r="M351">
        <v>3</v>
      </c>
      <c r="N351">
        <v>4</v>
      </c>
      <c r="O351">
        <v>2</v>
      </c>
      <c r="P351">
        <v>19</v>
      </c>
      <c r="Q351" t="s">
        <v>22</v>
      </c>
    </row>
    <row r="352" spans="1:17" x14ac:dyDescent="0.25">
      <c r="A352">
        <v>1028</v>
      </c>
      <c r="B352">
        <v>47</v>
      </c>
      <c r="C352" t="s">
        <v>23</v>
      </c>
      <c r="D352" t="s">
        <v>27</v>
      </c>
      <c r="E352" t="s">
        <v>44</v>
      </c>
      <c r="F352" t="s">
        <v>26</v>
      </c>
      <c r="G352" t="s">
        <v>37</v>
      </c>
      <c r="H352" t="s">
        <v>30</v>
      </c>
      <c r="I352">
        <v>1</v>
      </c>
      <c r="J352">
        <v>8302</v>
      </c>
      <c r="K352" t="s">
        <v>22</v>
      </c>
      <c r="L352">
        <v>3</v>
      </c>
      <c r="M352">
        <v>1</v>
      </c>
      <c r="N352">
        <v>12</v>
      </c>
      <c r="O352">
        <v>9</v>
      </c>
      <c r="P352">
        <v>18</v>
      </c>
      <c r="Q352" t="s">
        <v>22</v>
      </c>
    </row>
    <row r="353" spans="1:17" x14ac:dyDescent="0.25">
      <c r="A353">
        <v>1489</v>
      </c>
      <c r="B353">
        <v>58</v>
      </c>
      <c r="C353" t="s">
        <v>16</v>
      </c>
      <c r="D353" t="s">
        <v>27</v>
      </c>
      <c r="E353" t="s">
        <v>28</v>
      </c>
      <c r="F353" t="s">
        <v>26</v>
      </c>
      <c r="G353" t="s">
        <v>37</v>
      </c>
      <c r="H353" t="s">
        <v>30</v>
      </c>
      <c r="I353">
        <v>20</v>
      </c>
      <c r="J353">
        <v>16166</v>
      </c>
      <c r="K353" t="s">
        <v>22</v>
      </c>
      <c r="L353">
        <v>2</v>
      </c>
      <c r="M353">
        <v>4</v>
      </c>
      <c r="N353">
        <v>1</v>
      </c>
      <c r="O353">
        <v>0</v>
      </c>
      <c r="P353">
        <v>33</v>
      </c>
      <c r="Q353" t="s">
        <v>22</v>
      </c>
    </row>
    <row r="354" spans="1:17" x14ac:dyDescent="0.25">
      <c r="A354">
        <v>1152</v>
      </c>
      <c r="B354">
        <v>53</v>
      </c>
      <c r="C354" t="s">
        <v>23</v>
      </c>
      <c r="D354" t="s">
        <v>47</v>
      </c>
      <c r="E354" t="s">
        <v>53</v>
      </c>
      <c r="F354" t="s">
        <v>36</v>
      </c>
      <c r="G354" t="s">
        <v>20</v>
      </c>
      <c r="H354" t="s">
        <v>21</v>
      </c>
      <c r="I354">
        <v>24</v>
      </c>
      <c r="J354" t="s">
        <v>121</v>
      </c>
      <c r="K354" t="s">
        <v>42</v>
      </c>
      <c r="L354">
        <v>4</v>
      </c>
      <c r="M354">
        <v>3</v>
      </c>
      <c r="N354">
        <v>6</v>
      </c>
      <c r="O354">
        <v>2</v>
      </c>
      <c r="P354">
        <v>31</v>
      </c>
      <c r="Q354" t="s">
        <v>22</v>
      </c>
    </row>
    <row r="355" spans="1:17" x14ac:dyDescent="0.25">
      <c r="A355">
        <v>1499</v>
      </c>
      <c r="B355">
        <v>27</v>
      </c>
      <c r="C355" t="s">
        <v>16</v>
      </c>
      <c r="D355" t="s">
        <v>27</v>
      </c>
      <c r="E355" t="s">
        <v>43</v>
      </c>
      <c r="F355" t="s">
        <v>32</v>
      </c>
      <c r="G355" t="s">
        <v>20</v>
      </c>
      <c r="H355" t="s">
        <v>21</v>
      </c>
      <c r="I355">
        <v>27</v>
      </c>
      <c r="J355">
        <v>8499</v>
      </c>
      <c r="K355" t="s">
        <v>22</v>
      </c>
      <c r="L355">
        <v>2</v>
      </c>
      <c r="M355">
        <v>3</v>
      </c>
      <c r="N355">
        <v>0</v>
      </c>
      <c r="O355">
        <v>0</v>
      </c>
      <c r="P355">
        <v>0</v>
      </c>
      <c r="Q355" t="s">
        <v>22</v>
      </c>
    </row>
    <row r="356" spans="1:17" x14ac:dyDescent="0.25">
      <c r="A356">
        <v>1874</v>
      </c>
      <c r="B356">
        <v>56</v>
      </c>
      <c r="C356" t="s">
        <v>87</v>
      </c>
      <c r="D356" t="s">
        <v>24</v>
      </c>
      <c r="E356" t="s">
        <v>52</v>
      </c>
      <c r="F356" t="s">
        <v>36</v>
      </c>
      <c r="G356" t="s">
        <v>33</v>
      </c>
      <c r="H356" t="s">
        <v>21</v>
      </c>
      <c r="I356">
        <v>27</v>
      </c>
      <c r="J356" t="s">
        <v>122</v>
      </c>
      <c r="K356" t="s">
        <v>42</v>
      </c>
      <c r="L356">
        <v>4</v>
      </c>
      <c r="M356">
        <v>3</v>
      </c>
      <c r="N356">
        <v>22</v>
      </c>
      <c r="O356">
        <v>13</v>
      </c>
      <c r="P356">
        <v>28</v>
      </c>
      <c r="Q356" t="s">
        <v>22</v>
      </c>
    </row>
    <row r="357" spans="1:17" x14ac:dyDescent="0.25">
      <c r="A357">
        <v>1885</v>
      </c>
      <c r="B357">
        <v>28</v>
      </c>
      <c r="C357" t="s">
        <v>16</v>
      </c>
      <c r="D357" t="s">
        <v>27</v>
      </c>
      <c r="E357" t="s">
        <v>28</v>
      </c>
      <c r="F357" t="s">
        <v>38</v>
      </c>
      <c r="G357" t="s">
        <v>37</v>
      </c>
      <c r="H357" t="s">
        <v>21</v>
      </c>
      <c r="I357">
        <v>9</v>
      </c>
      <c r="J357">
        <v>9044</v>
      </c>
      <c r="K357" t="s">
        <v>22</v>
      </c>
      <c r="L357">
        <v>4</v>
      </c>
      <c r="M357">
        <v>4</v>
      </c>
      <c r="N357">
        <v>0</v>
      </c>
      <c r="O357">
        <v>0</v>
      </c>
      <c r="P357">
        <v>8</v>
      </c>
      <c r="Q357" t="s">
        <v>42</v>
      </c>
    </row>
    <row r="358" spans="1:17" x14ac:dyDescent="0.25">
      <c r="A358">
        <v>1373</v>
      </c>
      <c r="B358">
        <v>59</v>
      </c>
      <c r="C358" t="s">
        <v>16</v>
      </c>
      <c r="D358" t="s">
        <v>24</v>
      </c>
      <c r="E358" t="s">
        <v>52</v>
      </c>
      <c r="F358" t="s">
        <v>36</v>
      </c>
      <c r="G358" t="s">
        <v>20</v>
      </c>
      <c r="H358" t="s">
        <v>30</v>
      </c>
      <c r="I358">
        <v>7</v>
      </c>
      <c r="J358">
        <v>10169</v>
      </c>
      <c r="K358" t="s">
        <v>22</v>
      </c>
      <c r="L358">
        <v>2</v>
      </c>
      <c r="M358">
        <v>2</v>
      </c>
      <c r="N358">
        <v>20</v>
      </c>
      <c r="O358">
        <v>15</v>
      </c>
      <c r="P358">
        <v>29</v>
      </c>
      <c r="Q358" t="s">
        <v>42</v>
      </c>
    </row>
    <row r="359" spans="1:17" x14ac:dyDescent="0.25">
      <c r="A359">
        <v>1027</v>
      </c>
      <c r="B359">
        <v>24</v>
      </c>
      <c r="C359" t="s">
        <v>23</v>
      </c>
      <c r="D359" t="s">
        <v>24</v>
      </c>
      <c r="E359" t="s">
        <v>25</v>
      </c>
      <c r="F359" t="s">
        <v>29</v>
      </c>
      <c r="G359" t="s">
        <v>20</v>
      </c>
      <c r="H359" t="s">
        <v>21</v>
      </c>
      <c r="I359">
        <v>9</v>
      </c>
      <c r="J359">
        <v>9406</v>
      </c>
      <c r="K359" t="s">
        <v>42</v>
      </c>
      <c r="L359">
        <v>1</v>
      </c>
      <c r="M359">
        <v>3</v>
      </c>
      <c r="N359">
        <v>3</v>
      </c>
      <c r="O359">
        <v>2</v>
      </c>
      <c r="P359">
        <v>3</v>
      </c>
      <c r="Q359" t="s">
        <v>42</v>
      </c>
    </row>
    <row r="360" spans="1:17" x14ac:dyDescent="0.25">
      <c r="A360">
        <v>1670</v>
      </c>
      <c r="B360">
        <v>38</v>
      </c>
      <c r="C360" t="s">
        <v>23</v>
      </c>
      <c r="D360" t="s">
        <v>24</v>
      </c>
      <c r="E360" t="s">
        <v>46</v>
      </c>
      <c r="F360" t="s">
        <v>41</v>
      </c>
      <c r="G360" t="s">
        <v>37</v>
      </c>
      <c r="H360" t="s">
        <v>30</v>
      </c>
      <c r="I360">
        <v>22</v>
      </c>
      <c r="J360">
        <v>8616</v>
      </c>
      <c r="K360" t="s">
        <v>22</v>
      </c>
      <c r="L360">
        <v>1</v>
      </c>
      <c r="M360">
        <v>4</v>
      </c>
      <c r="N360">
        <v>1</v>
      </c>
      <c r="O360">
        <v>0</v>
      </c>
      <c r="P360">
        <v>15</v>
      </c>
      <c r="Q360" t="s">
        <v>88</v>
      </c>
    </row>
    <row r="361" spans="1:17" x14ac:dyDescent="0.25">
      <c r="A361">
        <v>1568</v>
      </c>
      <c r="B361">
        <v>52</v>
      </c>
      <c r="C361" t="s">
        <v>23</v>
      </c>
      <c r="D361" t="s">
        <v>17</v>
      </c>
      <c r="E361" t="s">
        <v>18</v>
      </c>
      <c r="F361" t="s">
        <v>26</v>
      </c>
      <c r="G361" t="s">
        <v>20</v>
      </c>
      <c r="H361" t="s">
        <v>30</v>
      </c>
      <c r="I361">
        <v>19</v>
      </c>
      <c r="J361">
        <v>14228</v>
      </c>
      <c r="K361" t="s">
        <v>42</v>
      </c>
      <c r="L361">
        <v>2</v>
      </c>
      <c r="M361">
        <v>4</v>
      </c>
      <c r="N361">
        <v>12</v>
      </c>
      <c r="O361">
        <v>3</v>
      </c>
      <c r="P361">
        <v>32</v>
      </c>
      <c r="Q361" t="s">
        <v>22</v>
      </c>
    </row>
    <row r="362" spans="1:17" x14ac:dyDescent="0.25">
      <c r="A362">
        <v>1518</v>
      </c>
      <c r="B362">
        <v>48</v>
      </c>
      <c r="C362" t="s">
        <v>23</v>
      </c>
      <c r="D362" t="s">
        <v>51</v>
      </c>
      <c r="E362" t="s">
        <v>46</v>
      </c>
      <c r="F362" t="s">
        <v>36</v>
      </c>
      <c r="G362" t="s">
        <v>20</v>
      </c>
      <c r="H362" t="s">
        <v>34</v>
      </c>
      <c r="I362">
        <v>25</v>
      </c>
      <c r="J362">
        <v>10076</v>
      </c>
      <c r="K362" t="s">
        <v>22</v>
      </c>
      <c r="L362">
        <v>3</v>
      </c>
      <c r="M362">
        <v>3</v>
      </c>
      <c r="N362">
        <v>16</v>
      </c>
      <c r="O362">
        <v>2</v>
      </c>
      <c r="P362">
        <v>24</v>
      </c>
      <c r="Q362" t="s">
        <v>22</v>
      </c>
    </row>
    <row r="363" spans="1:17" x14ac:dyDescent="0.25">
      <c r="A363">
        <v>1105</v>
      </c>
      <c r="B363">
        <v>23</v>
      </c>
      <c r="C363" t="s">
        <v>16</v>
      </c>
      <c r="D363" t="s">
        <v>17</v>
      </c>
      <c r="E363" t="s">
        <v>40</v>
      </c>
      <c r="F363" t="s">
        <v>36</v>
      </c>
      <c r="G363" t="s">
        <v>37</v>
      </c>
      <c r="H363" t="s">
        <v>30</v>
      </c>
      <c r="I363">
        <v>16</v>
      </c>
      <c r="J363">
        <v>7193</v>
      </c>
      <c r="K363" t="s">
        <v>22</v>
      </c>
      <c r="L363">
        <v>1</v>
      </c>
      <c r="M363">
        <v>1</v>
      </c>
      <c r="N363">
        <v>0</v>
      </c>
      <c r="O363">
        <v>0</v>
      </c>
      <c r="P363">
        <v>0</v>
      </c>
      <c r="Q363" t="s">
        <v>22</v>
      </c>
    </row>
    <row r="364" spans="1:17" x14ac:dyDescent="0.25">
      <c r="A364">
        <v>1753</v>
      </c>
      <c r="B364">
        <v>54</v>
      </c>
      <c r="C364" t="s">
        <v>16</v>
      </c>
      <c r="D364" t="s">
        <v>27</v>
      </c>
      <c r="E364" t="s">
        <v>43</v>
      </c>
      <c r="F364" t="s">
        <v>38</v>
      </c>
      <c r="G364" t="s">
        <v>20</v>
      </c>
      <c r="H364" t="s">
        <v>30</v>
      </c>
      <c r="I364">
        <v>23</v>
      </c>
      <c r="J364">
        <v>9920</v>
      </c>
      <c r="K364" t="s">
        <v>22</v>
      </c>
      <c r="L364">
        <v>1</v>
      </c>
      <c r="M364">
        <v>4</v>
      </c>
      <c r="N364">
        <v>21</v>
      </c>
      <c r="O364">
        <v>0</v>
      </c>
      <c r="P364">
        <v>26</v>
      </c>
      <c r="Q364" t="s">
        <v>42</v>
      </c>
    </row>
    <row r="365" spans="1:17" x14ac:dyDescent="0.25">
      <c r="A365">
        <v>1957</v>
      </c>
      <c r="B365">
        <v>32</v>
      </c>
      <c r="C365" t="s">
        <v>23</v>
      </c>
      <c r="D365" t="s">
        <v>47</v>
      </c>
      <c r="E365" t="s">
        <v>53</v>
      </c>
      <c r="F365" t="s">
        <v>38</v>
      </c>
      <c r="G365" t="s">
        <v>37</v>
      </c>
      <c r="H365" t="s">
        <v>21</v>
      </c>
      <c r="I365">
        <v>8</v>
      </c>
      <c r="J365">
        <v>8225</v>
      </c>
      <c r="K365" t="s">
        <v>22</v>
      </c>
      <c r="L365">
        <v>2</v>
      </c>
      <c r="M365">
        <v>3</v>
      </c>
      <c r="N365">
        <v>0</v>
      </c>
      <c r="O365">
        <v>0</v>
      </c>
      <c r="P365">
        <v>5</v>
      </c>
      <c r="Q365" t="s">
        <v>42</v>
      </c>
    </row>
    <row r="366" spans="1:17" x14ac:dyDescent="0.25">
      <c r="A366">
        <v>1850</v>
      </c>
      <c r="B366">
        <v>47</v>
      </c>
      <c r="C366" t="s">
        <v>23</v>
      </c>
      <c r="D366" t="s">
        <v>24</v>
      </c>
      <c r="E366" t="s">
        <v>45</v>
      </c>
      <c r="F366" t="s">
        <v>26</v>
      </c>
      <c r="G366" t="s">
        <v>20</v>
      </c>
      <c r="H366" t="s">
        <v>34</v>
      </c>
      <c r="I366">
        <v>5</v>
      </c>
      <c r="J366">
        <v>9103</v>
      </c>
      <c r="K366" t="s">
        <v>22</v>
      </c>
      <c r="L366">
        <v>3</v>
      </c>
      <c r="M366">
        <v>4</v>
      </c>
      <c r="N366">
        <v>8</v>
      </c>
      <c r="O366">
        <v>1</v>
      </c>
      <c r="P366">
        <v>23</v>
      </c>
      <c r="Q366" t="s">
        <v>22</v>
      </c>
    </row>
    <row r="367" spans="1:17" x14ac:dyDescent="0.25">
      <c r="A367">
        <v>1205</v>
      </c>
      <c r="B367">
        <v>32</v>
      </c>
      <c r="C367" t="s">
        <v>107</v>
      </c>
      <c r="D367" t="s">
        <v>24</v>
      </c>
      <c r="E367" t="s">
        <v>25</v>
      </c>
      <c r="F367" t="s">
        <v>26</v>
      </c>
      <c r="G367" t="s">
        <v>33</v>
      </c>
      <c r="H367" t="s">
        <v>30</v>
      </c>
      <c r="I367">
        <v>16</v>
      </c>
      <c r="J367">
        <v>12369</v>
      </c>
      <c r="K367" t="s">
        <v>22</v>
      </c>
      <c r="L367">
        <v>4</v>
      </c>
      <c r="M367">
        <v>3</v>
      </c>
      <c r="N367">
        <v>5</v>
      </c>
      <c r="O367">
        <v>4</v>
      </c>
      <c r="P367">
        <v>5</v>
      </c>
      <c r="Q367" t="s">
        <v>22</v>
      </c>
    </row>
    <row r="368" spans="1:17" x14ac:dyDescent="0.25">
      <c r="A368">
        <v>1427</v>
      </c>
      <c r="B368">
        <v>22</v>
      </c>
      <c r="C368" t="s">
        <v>16</v>
      </c>
      <c r="D368" t="s">
        <v>47</v>
      </c>
      <c r="E368" t="s">
        <v>50</v>
      </c>
      <c r="G368" t="s">
        <v>20</v>
      </c>
      <c r="H368" t="s">
        <v>34</v>
      </c>
      <c r="I368">
        <v>23</v>
      </c>
      <c r="J368">
        <v>6653</v>
      </c>
      <c r="K368" t="s">
        <v>22</v>
      </c>
      <c r="L368">
        <v>4</v>
      </c>
      <c r="M368">
        <v>4</v>
      </c>
      <c r="N368">
        <v>2</v>
      </c>
      <c r="O368">
        <v>0</v>
      </c>
      <c r="P368">
        <v>2</v>
      </c>
      <c r="Q368" t="s">
        <v>22</v>
      </c>
    </row>
    <row r="369" spans="1:17" x14ac:dyDescent="0.25">
      <c r="A369">
        <v>1130</v>
      </c>
      <c r="B369">
        <v>58</v>
      </c>
      <c r="C369" t="s">
        <v>23</v>
      </c>
      <c r="D369" t="s">
        <v>27</v>
      </c>
      <c r="E369" t="s">
        <v>31</v>
      </c>
      <c r="F369" t="s">
        <v>26</v>
      </c>
      <c r="G369" t="s">
        <v>20</v>
      </c>
      <c r="H369" t="s">
        <v>34</v>
      </c>
      <c r="I369">
        <v>21</v>
      </c>
      <c r="J369">
        <v>10461</v>
      </c>
      <c r="K369" t="s">
        <v>42</v>
      </c>
      <c r="L369">
        <v>1</v>
      </c>
      <c r="M369">
        <v>4</v>
      </c>
      <c r="N369">
        <v>18</v>
      </c>
      <c r="O369">
        <v>18</v>
      </c>
      <c r="P369">
        <v>21</v>
      </c>
      <c r="Q369" t="s">
        <v>22</v>
      </c>
    </row>
    <row r="370" spans="1:17" x14ac:dyDescent="0.25">
      <c r="A370">
        <v>1545</v>
      </c>
      <c r="B370">
        <v>45</v>
      </c>
      <c r="C370" t="s">
        <v>23</v>
      </c>
      <c r="D370" t="s">
        <v>47</v>
      </c>
      <c r="E370" t="s">
        <v>53</v>
      </c>
      <c r="F370" t="s">
        <v>32</v>
      </c>
      <c r="G370" t="s">
        <v>20</v>
      </c>
      <c r="H370" t="s">
        <v>30</v>
      </c>
      <c r="I370">
        <v>5</v>
      </c>
      <c r="J370">
        <v>14444</v>
      </c>
      <c r="K370" t="s">
        <v>42</v>
      </c>
      <c r="L370">
        <v>2</v>
      </c>
      <c r="M370">
        <v>2</v>
      </c>
      <c r="N370">
        <v>16</v>
      </c>
      <c r="O370">
        <v>15</v>
      </c>
      <c r="P370">
        <v>24</v>
      </c>
      <c r="Q370" t="s">
        <v>22</v>
      </c>
    </row>
    <row r="371" spans="1:17" x14ac:dyDescent="0.25">
      <c r="A371">
        <v>1117</v>
      </c>
      <c r="B371">
        <v>28</v>
      </c>
      <c r="C371" t="s">
        <v>16</v>
      </c>
      <c r="D371" t="s">
        <v>17</v>
      </c>
      <c r="E371" t="s">
        <v>40</v>
      </c>
      <c r="F371" t="s">
        <v>41</v>
      </c>
      <c r="G371" t="s">
        <v>37</v>
      </c>
      <c r="H371" t="s">
        <v>30</v>
      </c>
      <c r="I371">
        <v>3</v>
      </c>
      <c r="J371">
        <v>7548</v>
      </c>
      <c r="K371" t="s">
        <v>22</v>
      </c>
      <c r="L371">
        <v>4</v>
      </c>
      <c r="M371">
        <v>2</v>
      </c>
      <c r="N371">
        <v>2</v>
      </c>
      <c r="O371">
        <v>2</v>
      </c>
      <c r="P371">
        <v>4</v>
      </c>
      <c r="Q371" t="s">
        <v>42</v>
      </c>
    </row>
    <row r="372" spans="1:17" x14ac:dyDescent="0.25">
      <c r="A372">
        <v>1412</v>
      </c>
      <c r="B372">
        <v>51</v>
      </c>
      <c r="C372" t="s">
        <v>23</v>
      </c>
      <c r="D372" t="s">
        <v>38</v>
      </c>
      <c r="E372" t="s">
        <v>49</v>
      </c>
      <c r="F372" t="s">
        <v>41</v>
      </c>
      <c r="G372" t="s">
        <v>33</v>
      </c>
      <c r="H372" t="s">
        <v>30</v>
      </c>
      <c r="I372">
        <v>19</v>
      </c>
      <c r="J372">
        <v>14887</v>
      </c>
      <c r="K372" t="s">
        <v>42</v>
      </c>
      <c r="L372">
        <v>1</v>
      </c>
      <c r="M372">
        <v>2</v>
      </c>
      <c r="N372">
        <v>23</v>
      </c>
      <c r="O372">
        <v>6</v>
      </c>
      <c r="P372">
        <v>31</v>
      </c>
      <c r="Q372" t="s">
        <v>42</v>
      </c>
    </row>
    <row r="373" spans="1:17" x14ac:dyDescent="0.25">
      <c r="A373">
        <v>1969</v>
      </c>
      <c r="B373">
        <v>50</v>
      </c>
      <c r="C373" t="s">
        <v>16</v>
      </c>
      <c r="D373" t="s">
        <v>24</v>
      </c>
      <c r="E373" t="s">
        <v>46</v>
      </c>
      <c r="F373" t="s">
        <v>29</v>
      </c>
      <c r="G373" t="s">
        <v>37</v>
      </c>
      <c r="H373" t="s">
        <v>34</v>
      </c>
      <c r="I373">
        <v>16</v>
      </c>
      <c r="J373" t="s">
        <v>123</v>
      </c>
      <c r="K373" t="s">
        <v>22</v>
      </c>
      <c r="L373">
        <v>2</v>
      </c>
      <c r="M373">
        <v>3</v>
      </c>
      <c r="N373">
        <v>10</v>
      </c>
      <c r="O373">
        <v>5</v>
      </c>
      <c r="P373">
        <v>26</v>
      </c>
      <c r="Q373" t="s">
        <v>22</v>
      </c>
    </row>
    <row r="374" spans="1:17" x14ac:dyDescent="0.25">
      <c r="A374">
        <v>1119</v>
      </c>
      <c r="B374">
        <v>47</v>
      </c>
      <c r="C374" t="s">
        <v>16</v>
      </c>
      <c r="D374" t="s">
        <v>38</v>
      </c>
      <c r="E374" t="s">
        <v>39</v>
      </c>
      <c r="F374" t="s">
        <v>29</v>
      </c>
      <c r="G374" t="s">
        <v>20</v>
      </c>
      <c r="H374" t="s">
        <v>34</v>
      </c>
      <c r="I374">
        <v>23</v>
      </c>
      <c r="J374">
        <v>6909</v>
      </c>
      <c r="K374" t="s">
        <v>22</v>
      </c>
      <c r="L374">
        <v>2</v>
      </c>
      <c r="M374">
        <v>2</v>
      </c>
      <c r="N374">
        <v>1</v>
      </c>
      <c r="O374">
        <v>0</v>
      </c>
      <c r="P374">
        <v>12</v>
      </c>
      <c r="Q374" t="s">
        <v>42</v>
      </c>
    </row>
    <row r="375" spans="1:17" x14ac:dyDescent="0.25">
      <c r="A375">
        <v>1426</v>
      </c>
      <c r="B375">
        <v>20</v>
      </c>
      <c r="C375" t="s">
        <v>23</v>
      </c>
      <c r="D375" t="s">
        <v>27</v>
      </c>
      <c r="E375" t="s">
        <v>44</v>
      </c>
      <c r="F375" t="s">
        <v>29</v>
      </c>
      <c r="G375" t="s">
        <v>33</v>
      </c>
      <c r="H375" t="s">
        <v>30</v>
      </c>
      <c r="I375">
        <v>8</v>
      </c>
      <c r="J375">
        <v>3832</v>
      </c>
      <c r="K375" t="s">
        <v>22</v>
      </c>
      <c r="L375">
        <v>2</v>
      </c>
      <c r="M375">
        <v>3</v>
      </c>
      <c r="N375">
        <v>0</v>
      </c>
      <c r="O375">
        <v>0</v>
      </c>
      <c r="P375">
        <v>0</v>
      </c>
      <c r="Q375" t="s">
        <v>22</v>
      </c>
    </row>
    <row r="376" spans="1:17" x14ac:dyDescent="0.25">
      <c r="A376">
        <v>1155</v>
      </c>
      <c r="B376">
        <v>26</v>
      </c>
      <c r="C376" t="s">
        <v>16</v>
      </c>
      <c r="D376" t="s">
        <v>47</v>
      </c>
      <c r="E376" t="s">
        <v>50</v>
      </c>
      <c r="F376" t="s">
        <v>32</v>
      </c>
      <c r="G376" t="s">
        <v>33</v>
      </c>
      <c r="H376" t="s">
        <v>21</v>
      </c>
      <c r="I376">
        <v>28</v>
      </c>
      <c r="J376">
        <v>4500</v>
      </c>
      <c r="K376" t="s">
        <v>42</v>
      </c>
      <c r="L376">
        <v>3</v>
      </c>
      <c r="M376">
        <v>4</v>
      </c>
      <c r="N376">
        <v>2</v>
      </c>
      <c r="O376">
        <v>0</v>
      </c>
      <c r="P376">
        <v>4</v>
      </c>
      <c r="Q376" t="s">
        <v>42</v>
      </c>
    </row>
    <row r="377" spans="1:17" x14ac:dyDescent="0.25">
      <c r="A377">
        <v>1333</v>
      </c>
      <c r="B377">
        <v>57</v>
      </c>
      <c r="C377" t="s">
        <v>16</v>
      </c>
      <c r="D377" t="s">
        <v>94</v>
      </c>
      <c r="E377" t="s">
        <v>40</v>
      </c>
      <c r="F377" t="s">
        <v>19</v>
      </c>
      <c r="G377" t="s">
        <v>37</v>
      </c>
      <c r="H377" t="s">
        <v>34</v>
      </c>
      <c r="I377">
        <v>3</v>
      </c>
      <c r="J377">
        <v>9765</v>
      </c>
      <c r="K377" t="s">
        <v>42</v>
      </c>
      <c r="L377">
        <v>1</v>
      </c>
      <c r="M377">
        <v>2</v>
      </c>
      <c r="N377">
        <v>19</v>
      </c>
      <c r="O377">
        <v>4</v>
      </c>
      <c r="P377">
        <v>34</v>
      </c>
      <c r="Q377" t="s">
        <v>22</v>
      </c>
    </row>
    <row r="378" spans="1:17" x14ac:dyDescent="0.25">
      <c r="A378">
        <v>1961</v>
      </c>
      <c r="B378">
        <v>49</v>
      </c>
      <c r="C378" t="s">
        <v>16</v>
      </c>
      <c r="D378" t="s">
        <v>27</v>
      </c>
      <c r="E378" t="s">
        <v>28</v>
      </c>
      <c r="F378" t="s">
        <v>41</v>
      </c>
      <c r="G378" t="s">
        <v>33</v>
      </c>
      <c r="H378" t="s">
        <v>34</v>
      </c>
      <c r="I378">
        <v>24</v>
      </c>
      <c r="J378">
        <v>13791</v>
      </c>
      <c r="K378" t="s">
        <v>42</v>
      </c>
      <c r="L378">
        <v>4</v>
      </c>
      <c r="M378">
        <v>4</v>
      </c>
      <c r="N378">
        <v>25</v>
      </c>
      <c r="O378">
        <v>12</v>
      </c>
      <c r="P378">
        <v>28</v>
      </c>
      <c r="Q378" t="s">
        <v>22</v>
      </c>
    </row>
    <row r="379" spans="1:17" x14ac:dyDescent="0.25">
      <c r="A379">
        <v>1756</v>
      </c>
      <c r="B379">
        <v>38</v>
      </c>
      <c r="C379" t="s">
        <v>23</v>
      </c>
      <c r="D379" t="s">
        <v>38</v>
      </c>
      <c r="E379" t="s">
        <v>39</v>
      </c>
      <c r="F379" t="s">
        <v>26</v>
      </c>
      <c r="G379" t="s">
        <v>33</v>
      </c>
      <c r="H379" t="s">
        <v>21</v>
      </c>
      <c r="I379">
        <v>24</v>
      </c>
      <c r="J379">
        <v>8886</v>
      </c>
      <c r="K379" t="s">
        <v>22</v>
      </c>
      <c r="L379">
        <v>3</v>
      </c>
      <c r="M379">
        <v>2</v>
      </c>
      <c r="N379">
        <v>3</v>
      </c>
      <c r="O379">
        <v>0</v>
      </c>
      <c r="P379">
        <v>17</v>
      </c>
      <c r="Q379" t="s">
        <v>22</v>
      </c>
    </row>
    <row r="380" spans="1:17" x14ac:dyDescent="0.25">
      <c r="A380">
        <v>1856</v>
      </c>
      <c r="B380">
        <v>51</v>
      </c>
      <c r="C380" t="s">
        <v>23</v>
      </c>
      <c r="D380" t="s">
        <v>38</v>
      </c>
      <c r="E380" t="s">
        <v>49</v>
      </c>
      <c r="F380" t="s">
        <v>19</v>
      </c>
      <c r="G380" t="s">
        <v>37</v>
      </c>
      <c r="H380" t="s">
        <v>34</v>
      </c>
      <c r="I380">
        <v>13</v>
      </c>
      <c r="J380">
        <v>11961</v>
      </c>
      <c r="K380" t="s">
        <v>22</v>
      </c>
      <c r="L380">
        <v>2</v>
      </c>
      <c r="M380">
        <v>3</v>
      </c>
      <c r="N380">
        <v>0</v>
      </c>
      <c r="O380">
        <v>0</v>
      </c>
      <c r="P380">
        <v>16</v>
      </c>
      <c r="Q380" t="s">
        <v>22</v>
      </c>
    </row>
    <row r="381" spans="1:17" x14ac:dyDescent="0.25">
      <c r="A381">
        <v>1076</v>
      </c>
      <c r="B381">
        <v>56</v>
      </c>
      <c r="C381" t="s">
        <v>23</v>
      </c>
      <c r="D381" t="s">
        <v>17</v>
      </c>
      <c r="E381" t="s">
        <v>40</v>
      </c>
      <c r="F381" t="s">
        <v>36</v>
      </c>
      <c r="G381" t="s">
        <v>20</v>
      </c>
      <c r="H381" t="s">
        <v>34</v>
      </c>
      <c r="I381">
        <v>26</v>
      </c>
      <c r="J381" t="s">
        <v>124</v>
      </c>
      <c r="K381" t="s">
        <v>22</v>
      </c>
      <c r="L381">
        <v>2</v>
      </c>
      <c r="M381">
        <v>3</v>
      </c>
      <c r="N381">
        <v>17</v>
      </c>
      <c r="O381">
        <v>6</v>
      </c>
      <c r="P381">
        <v>34</v>
      </c>
      <c r="Q381" t="s">
        <v>22</v>
      </c>
    </row>
    <row r="382" spans="1:17" x14ac:dyDescent="0.25">
      <c r="A382">
        <v>1327</v>
      </c>
      <c r="B382">
        <v>54</v>
      </c>
      <c r="C382" t="s">
        <v>23</v>
      </c>
      <c r="D382" t="s">
        <v>27</v>
      </c>
      <c r="E382" t="s">
        <v>44</v>
      </c>
      <c r="F382" t="s">
        <v>38</v>
      </c>
      <c r="G382" t="s">
        <v>37</v>
      </c>
      <c r="H382" t="s">
        <v>21</v>
      </c>
      <c r="I382">
        <v>20</v>
      </c>
      <c r="J382">
        <v>10332</v>
      </c>
      <c r="K382" t="s">
        <v>22</v>
      </c>
      <c r="L382">
        <v>3</v>
      </c>
      <c r="M382">
        <v>1</v>
      </c>
      <c r="N382">
        <v>2</v>
      </c>
      <c r="O382">
        <v>0</v>
      </c>
      <c r="P382">
        <v>31</v>
      </c>
      <c r="Q382" t="s">
        <v>22</v>
      </c>
    </row>
    <row r="383" spans="1:17" x14ac:dyDescent="0.25">
      <c r="A383">
        <v>1223</v>
      </c>
      <c r="B383">
        <v>40</v>
      </c>
      <c r="C383" t="s">
        <v>16</v>
      </c>
      <c r="D383" t="s">
        <v>17</v>
      </c>
      <c r="E383" t="s">
        <v>35</v>
      </c>
      <c r="F383" t="s">
        <v>19</v>
      </c>
      <c r="G383" t="s">
        <v>20</v>
      </c>
      <c r="H383" t="s">
        <v>34</v>
      </c>
      <c r="I383">
        <v>8</v>
      </c>
      <c r="J383">
        <v>11334</v>
      </c>
      <c r="K383" t="s">
        <v>42</v>
      </c>
      <c r="L383">
        <v>4</v>
      </c>
      <c r="M383">
        <v>1</v>
      </c>
      <c r="N383">
        <v>2</v>
      </c>
      <c r="O383">
        <v>2</v>
      </c>
      <c r="P383">
        <v>20</v>
      </c>
      <c r="Q383" t="s">
        <v>22</v>
      </c>
    </row>
    <row r="384" spans="1:17" x14ac:dyDescent="0.25">
      <c r="A384">
        <v>1679</v>
      </c>
      <c r="B384">
        <v>25</v>
      </c>
      <c r="C384" t="s">
        <v>16</v>
      </c>
      <c r="D384" t="s">
        <v>24</v>
      </c>
      <c r="E384" t="s">
        <v>25</v>
      </c>
      <c r="F384" t="s">
        <v>29</v>
      </c>
      <c r="G384" t="s">
        <v>20</v>
      </c>
      <c r="H384" t="s">
        <v>34</v>
      </c>
      <c r="I384">
        <v>5</v>
      </c>
      <c r="J384">
        <v>10952</v>
      </c>
      <c r="K384" t="s">
        <v>22</v>
      </c>
      <c r="M384">
        <v>4</v>
      </c>
      <c r="N384">
        <v>3</v>
      </c>
      <c r="O384">
        <v>2</v>
      </c>
      <c r="P384">
        <v>5</v>
      </c>
      <c r="Q384" t="s">
        <v>22</v>
      </c>
    </row>
    <row r="385" spans="1:17" x14ac:dyDescent="0.25">
      <c r="A385">
        <v>1508</v>
      </c>
      <c r="B385">
        <v>57</v>
      </c>
      <c r="C385" t="s">
        <v>16</v>
      </c>
      <c r="D385" t="s">
        <v>24</v>
      </c>
      <c r="E385" t="s">
        <v>45</v>
      </c>
      <c r="F385" t="s">
        <v>41</v>
      </c>
      <c r="G385" t="s">
        <v>20</v>
      </c>
      <c r="H385" t="s">
        <v>30</v>
      </c>
      <c r="I385">
        <v>23</v>
      </c>
      <c r="J385">
        <v>12708</v>
      </c>
      <c r="K385" t="s">
        <v>22</v>
      </c>
      <c r="L385">
        <v>1</v>
      </c>
      <c r="M385">
        <v>1</v>
      </c>
      <c r="N385">
        <v>12</v>
      </c>
      <c r="O385">
        <v>0</v>
      </c>
      <c r="P385">
        <v>33</v>
      </c>
      <c r="Q385" t="s">
        <v>22</v>
      </c>
    </row>
    <row r="386" spans="1:17" x14ac:dyDescent="0.25">
      <c r="A386">
        <v>1430</v>
      </c>
      <c r="B386">
        <v>37</v>
      </c>
      <c r="C386" t="s">
        <v>23</v>
      </c>
      <c r="D386" t="s">
        <v>17</v>
      </c>
      <c r="E386" t="s">
        <v>35</v>
      </c>
      <c r="F386" t="s">
        <v>36</v>
      </c>
      <c r="G386" t="s">
        <v>33</v>
      </c>
      <c r="H386" t="s">
        <v>21</v>
      </c>
      <c r="I386">
        <v>22</v>
      </c>
      <c r="J386">
        <v>5173</v>
      </c>
      <c r="K386" t="s">
        <v>22</v>
      </c>
      <c r="L386">
        <v>3</v>
      </c>
      <c r="M386">
        <v>1</v>
      </c>
      <c r="N386">
        <v>9</v>
      </c>
      <c r="O386">
        <v>3</v>
      </c>
      <c r="P386">
        <v>10</v>
      </c>
      <c r="Q386" t="s">
        <v>95</v>
      </c>
    </row>
    <row r="387" spans="1:17" x14ac:dyDescent="0.25">
      <c r="A387">
        <v>1906</v>
      </c>
      <c r="B387">
        <v>25</v>
      </c>
      <c r="C387" t="s">
        <v>16</v>
      </c>
      <c r="D387" t="s">
        <v>17</v>
      </c>
      <c r="E387" t="s">
        <v>18</v>
      </c>
      <c r="F387" t="s">
        <v>19</v>
      </c>
      <c r="G387" t="s">
        <v>20</v>
      </c>
      <c r="H387" t="s">
        <v>21</v>
      </c>
      <c r="I387">
        <v>28</v>
      </c>
      <c r="J387">
        <v>7768</v>
      </c>
      <c r="K387" t="s">
        <v>42</v>
      </c>
      <c r="L387">
        <v>2</v>
      </c>
      <c r="M387">
        <v>4</v>
      </c>
      <c r="N387">
        <v>0</v>
      </c>
      <c r="O387">
        <v>0</v>
      </c>
      <c r="P387">
        <v>0</v>
      </c>
      <c r="Q387" t="s">
        <v>22</v>
      </c>
    </row>
    <row r="388" spans="1:17" x14ac:dyDescent="0.25">
      <c r="A388">
        <v>1569</v>
      </c>
      <c r="B388">
        <v>25</v>
      </c>
      <c r="C388" t="s">
        <v>16</v>
      </c>
      <c r="D388" t="s">
        <v>27</v>
      </c>
      <c r="E388" t="s">
        <v>44</v>
      </c>
      <c r="F388" t="s">
        <v>32</v>
      </c>
      <c r="G388" t="s">
        <v>37</v>
      </c>
      <c r="H388" t="s">
        <v>34</v>
      </c>
      <c r="I388">
        <v>18</v>
      </c>
      <c r="J388">
        <v>6933</v>
      </c>
      <c r="K388" t="s">
        <v>22</v>
      </c>
      <c r="L388">
        <v>2</v>
      </c>
      <c r="M388">
        <v>4</v>
      </c>
      <c r="N388">
        <v>0</v>
      </c>
      <c r="O388">
        <v>0</v>
      </c>
      <c r="P388">
        <v>0</v>
      </c>
      <c r="Q388" t="s">
        <v>42</v>
      </c>
    </row>
    <row r="389" spans="1:17" x14ac:dyDescent="0.25">
      <c r="A389">
        <v>1547</v>
      </c>
      <c r="B389">
        <v>53</v>
      </c>
      <c r="C389" t="s">
        <v>23</v>
      </c>
      <c r="D389" t="s">
        <v>17</v>
      </c>
      <c r="E389" t="s">
        <v>18</v>
      </c>
      <c r="F389" t="s">
        <v>36</v>
      </c>
      <c r="G389" t="s">
        <v>20</v>
      </c>
      <c r="H389" t="s">
        <v>34</v>
      </c>
      <c r="I389">
        <v>18</v>
      </c>
      <c r="J389">
        <v>13296</v>
      </c>
      <c r="K389" t="s">
        <v>22</v>
      </c>
      <c r="L389">
        <v>1</v>
      </c>
      <c r="M389">
        <v>3</v>
      </c>
      <c r="N389">
        <v>24</v>
      </c>
      <c r="O389">
        <v>1</v>
      </c>
      <c r="P389">
        <v>24</v>
      </c>
      <c r="Q389" t="s">
        <v>22</v>
      </c>
    </row>
    <row r="390" spans="1:17" x14ac:dyDescent="0.25">
      <c r="A390">
        <v>1930</v>
      </c>
      <c r="B390">
        <v>37</v>
      </c>
      <c r="C390" t="s">
        <v>16</v>
      </c>
      <c r="D390" t="s">
        <v>47</v>
      </c>
      <c r="E390" t="s">
        <v>53</v>
      </c>
      <c r="F390" t="s">
        <v>41</v>
      </c>
      <c r="G390" t="s">
        <v>33</v>
      </c>
      <c r="H390" t="s">
        <v>30</v>
      </c>
      <c r="I390">
        <v>1</v>
      </c>
      <c r="J390">
        <v>11668</v>
      </c>
      <c r="K390" t="s">
        <v>42</v>
      </c>
      <c r="L390">
        <v>2</v>
      </c>
      <c r="M390">
        <v>4</v>
      </c>
      <c r="N390">
        <v>6</v>
      </c>
      <c r="O390">
        <v>3</v>
      </c>
      <c r="P390">
        <v>12</v>
      </c>
      <c r="Q390" t="s">
        <v>22</v>
      </c>
    </row>
    <row r="391" spans="1:17" x14ac:dyDescent="0.25">
      <c r="A391">
        <v>1962</v>
      </c>
      <c r="B391">
        <v>60</v>
      </c>
      <c r="C391" t="s">
        <v>23</v>
      </c>
      <c r="D391" t="s">
        <v>100</v>
      </c>
      <c r="E391" t="s">
        <v>28</v>
      </c>
      <c r="F391" t="s">
        <v>32</v>
      </c>
      <c r="G391" t="s">
        <v>20</v>
      </c>
      <c r="H391" t="s">
        <v>21</v>
      </c>
      <c r="I391">
        <v>1</v>
      </c>
      <c r="J391">
        <v>17517</v>
      </c>
      <c r="K391" t="s">
        <v>42</v>
      </c>
      <c r="L391">
        <v>2</v>
      </c>
      <c r="M391">
        <v>2</v>
      </c>
      <c r="N391">
        <v>13</v>
      </c>
      <c r="O391">
        <v>12</v>
      </c>
      <c r="P391">
        <v>38</v>
      </c>
      <c r="Q391" t="s">
        <v>22</v>
      </c>
    </row>
    <row r="392" spans="1:17" x14ac:dyDescent="0.25">
      <c r="A392">
        <v>1605</v>
      </c>
      <c r="B392">
        <v>21</v>
      </c>
      <c r="C392" t="s">
        <v>16</v>
      </c>
      <c r="D392" t="s">
        <v>27</v>
      </c>
      <c r="E392" t="s">
        <v>43</v>
      </c>
      <c r="F392" t="s">
        <v>41</v>
      </c>
      <c r="G392" t="s">
        <v>37</v>
      </c>
      <c r="H392" t="s">
        <v>21</v>
      </c>
      <c r="I392">
        <v>22</v>
      </c>
      <c r="J392">
        <v>4413</v>
      </c>
      <c r="K392" t="s">
        <v>22</v>
      </c>
      <c r="L392">
        <v>2</v>
      </c>
      <c r="M392">
        <v>3</v>
      </c>
      <c r="N392">
        <v>0</v>
      </c>
      <c r="O392">
        <v>0</v>
      </c>
      <c r="P392">
        <v>0</v>
      </c>
      <c r="Q392" t="s">
        <v>22</v>
      </c>
    </row>
    <row r="393" spans="1:17" x14ac:dyDescent="0.25">
      <c r="A393">
        <v>1760</v>
      </c>
      <c r="B393">
        <v>54</v>
      </c>
      <c r="C393" t="s">
        <v>23</v>
      </c>
      <c r="D393" t="s">
        <v>24</v>
      </c>
      <c r="E393" t="s">
        <v>45</v>
      </c>
      <c r="F393" t="s">
        <v>36</v>
      </c>
      <c r="G393" t="s">
        <v>20</v>
      </c>
      <c r="H393" t="s">
        <v>30</v>
      </c>
      <c r="I393">
        <v>19</v>
      </c>
      <c r="J393" t="s">
        <v>125</v>
      </c>
      <c r="K393" t="s">
        <v>22</v>
      </c>
      <c r="L393">
        <v>3</v>
      </c>
      <c r="M393">
        <v>3</v>
      </c>
      <c r="N393">
        <v>17</v>
      </c>
      <c r="O393">
        <v>11</v>
      </c>
      <c r="P393">
        <v>34</v>
      </c>
      <c r="Q393" t="s">
        <v>22</v>
      </c>
    </row>
    <row r="394" spans="1:17" x14ac:dyDescent="0.25">
      <c r="A394">
        <v>1847</v>
      </c>
      <c r="B394">
        <v>28</v>
      </c>
      <c r="C394" t="s">
        <v>16</v>
      </c>
      <c r="D394" t="s">
        <v>47</v>
      </c>
      <c r="E394" t="s">
        <v>50</v>
      </c>
      <c r="F394" t="s">
        <v>26</v>
      </c>
      <c r="G394" t="s">
        <v>33</v>
      </c>
      <c r="H394" t="s">
        <v>21</v>
      </c>
      <c r="I394">
        <v>15</v>
      </c>
      <c r="J394">
        <v>8941</v>
      </c>
      <c r="K394" t="s">
        <v>22</v>
      </c>
      <c r="L394">
        <v>4</v>
      </c>
      <c r="M394">
        <v>2</v>
      </c>
      <c r="N394">
        <v>0</v>
      </c>
      <c r="O394">
        <v>0</v>
      </c>
      <c r="P394">
        <v>1</v>
      </c>
      <c r="Q394" t="s">
        <v>22</v>
      </c>
    </row>
    <row r="395" spans="1:17" x14ac:dyDescent="0.25">
      <c r="A395">
        <v>1212</v>
      </c>
      <c r="B395">
        <v>28</v>
      </c>
      <c r="C395" t="s">
        <v>23</v>
      </c>
      <c r="D395" t="s">
        <v>109</v>
      </c>
      <c r="E395" t="s">
        <v>40</v>
      </c>
      <c r="F395" t="s">
        <v>38</v>
      </c>
      <c r="G395" t="s">
        <v>20</v>
      </c>
      <c r="H395" t="s">
        <v>34</v>
      </c>
      <c r="I395">
        <v>3</v>
      </c>
      <c r="J395">
        <v>7441</v>
      </c>
      <c r="K395" t="s">
        <v>42</v>
      </c>
      <c r="L395">
        <v>3</v>
      </c>
      <c r="M395">
        <v>1</v>
      </c>
      <c r="N395">
        <v>5</v>
      </c>
      <c r="O395">
        <v>5</v>
      </c>
      <c r="P395">
        <v>5</v>
      </c>
      <c r="Q395" t="s">
        <v>42</v>
      </c>
    </row>
    <row r="396" spans="1:17" x14ac:dyDescent="0.25">
      <c r="A396">
        <v>1310</v>
      </c>
      <c r="B396">
        <v>46</v>
      </c>
      <c r="C396" t="s">
        <v>16</v>
      </c>
      <c r="D396" t="s">
        <v>27</v>
      </c>
      <c r="E396" t="s">
        <v>44</v>
      </c>
      <c r="F396" t="s">
        <v>19</v>
      </c>
      <c r="G396" t="s">
        <v>33</v>
      </c>
      <c r="H396" t="s">
        <v>30</v>
      </c>
      <c r="I396">
        <v>22</v>
      </c>
      <c r="J396">
        <v>10313</v>
      </c>
      <c r="K396" t="s">
        <v>42</v>
      </c>
      <c r="L396">
        <v>2</v>
      </c>
      <c r="M396">
        <v>3</v>
      </c>
      <c r="N396">
        <v>0</v>
      </c>
      <c r="O396">
        <v>0</v>
      </c>
      <c r="P396">
        <v>26</v>
      </c>
      <c r="Q396" t="s">
        <v>22</v>
      </c>
    </row>
    <row r="397" spans="1:17" x14ac:dyDescent="0.25">
      <c r="A397">
        <v>1060</v>
      </c>
      <c r="B397">
        <v>29</v>
      </c>
      <c r="C397" t="s">
        <v>16</v>
      </c>
      <c r="D397" t="s">
        <v>27</v>
      </c>
      <c r="E397" t="s">
        <v>28</v>
      </c>
      <c r="F397" t="s">
        <v>38</v>
      </c>
      <c r="G397" t="s">
        <v>33</v>
      </c>
      <c r="H397" t="s">
        <v>30</v>
      </c>
      <c r="I397">
        <v>28</v>
      </c>
      <c r="J397">
        <v>10131</v>
      </c>
      <c r="K397" t="s">
        <v>22</v>
      </c>
      <c r="L397">
        <v>4</v>
      </c>
      <c r="M397">
        <v>4</v>
      </c>
      <c r="N397">
        <v>0</v>
      </c>
      <c r="O397">
        <v>0</v>
      </c>
      <c r="P397">
        <v>0</v>
      </c>
      <c r="Q397" t="s">
        <v>42</v>
      </c>
    </row>
    <row r="398" spans="1:17" x14ac:dyDescent="0.25">
      <c r="A398">
        <v>1529</v>
      </c>
      <c r="B398">
        <v>24</v>
      </c>
      <c r="C398" t="s">
        <v>105</v>
      </c>
      <c r="D398" t="s">
        <v>17</v>
      </c>
      <c r="E398" t="s">
        <v>35</v>
      </c>
      <c r="F398" t="s">
        <v>32</v>
      </c>
      <c r="G398" t="s">
        <v>33</v>
      </c>
      <c r="H398" t="s">
        <v>30</v>
      </c>
      <c r="I398">
        <v>24</v>
      </c>
      <c r="J398">
        <v>4681</v>
      </c>
      <c r="K398" t="s">
        <v>22</v>
      </c>
      <c r="L398">
        <v>3</v>
      </c>
      <c r="M398">
        <v>4</v>
      </c>
      <c r="N398">
        <v>2</v>
      </c>
      <c r="O398">
        <v>2</v>
      </c>
      <c r="P398">
        <v>3</v>
      </c>
      <c r="Q398" t="s">
        <v>22</v>
      </c>
    </row>
    <row r="399" spans="1:17" x14ac:dyDescent="0.25">
      <c r="A399">
        <v>1606</v>
      </c>
      <c r="B399">
        <v>60</v>
      </c>
      <c r="C399" t="s">
        <v>16</v>
      </c>
      <c r="D399" t="s">
        <v>27</v>
      </c>
      <c r="E399" t="s">
        <v>31</v>
      </c>
      <c r="F399" t="s">
        <v>41</v>
      </c>
      <c r="G399" t="s">
        <v>37</v>
      </c>
      <c r="H399" t="s">
        <v>30</v>
      </c>
      <c r="I399">
        <v>8</v>
      </c>
      <c r="J399">
        <v>12624</v>
      </c>
      <c r="K399" t="s">
        <v>22</v>
      </c>
      <c r="L399">
        <v>1</v>
      </c>
      <c r="M399">
        <v>3</v>
      </c>
      <c r="N399">
        <v>0</v>
      </c>
      <c r="O399">
        <v>0</v>
      </c>
      <c r="P399">
        <v>40</v>
      </c>
      <c r="Q399" t="s">
        <v>22</v>
      </c>
    </row>
    <row r="400" spans="1:17" x14ac:dyDescent="0.25">
      <c r="A400">
        <v>1940</v>
      </c>
      <c r="B400">
        <v>42</v>
      </c>
      <c r="C400" t="s">
        <v>16</v>
      </c>
      <c r="D400" t="s">
        <v>17</v>
      </c>
      <c r="E400" t="s">
        <v>18</v>
      </c>
      <c r="F400" t="s">
        <v>41</v>
      </c>
      <c r="G400" t="s">
        <v>33</v>
      </c>
      <c r="H400" t="s">
        <v>30</v>
      </c>
      <c r="I400">
        <v>11</v>
      </c>
      <c r="J400">
        <v>13499</v>
      </c>
      <c r="K400" t="s">
        <v>22</v>
      </c>
      <c r="L400">
        <v>4</v>
      </c>
      <c r="M400">
        <v>4</v>
      </c>
      <c r="N400">
        <v>13</v>
      </c>
      <c r="O400">
        <v>7</v>
      </c>
      <c r="P400">
        <v>19</v>
      </c>
      <c r="Q400" t="s">
        <v>22</v>
      </c>
    </row>
    <row r="401" spans="1:17" x14ac:dyDescent="0.25">
      <c r="A401">
        <v>1542</v>
      </c>
      <c r="B401">
        <v>24</v>
      </c>
      <c r="C401" t="s">
        <v>16</v>
      </c>
      <c r="D401" t="s">
        <v>27</v>
      </c>
      <c r="E401" t="s">
        <v>31</v>
      </c>
      <c r="F401" t="s">
        <v>19</v>
      </c>
      <c r="G401" t="s">
        <v>20</v>
      </c>
      <c r="H401" t="s">
        <v>34</v>
      </c>
      <c r="I401">
        <v>13</v>
      </c>
      <c r="J401">
        <v>5388</v>
      </c>
      <c r="K401" t="s">
        <v>22</v>
      </c>
      <c r="L401">
        <v>1</v>
      </c>
      <c r="M401">
        <v>3</v>
      </c>
      <c r="N401">
        <v>0</v>
      </c>
      <c r="O401">
        <v>0</v>
      </c>
      <c r="P401">
        <v>0</v>
      </c>
      <c r="Q401" t="s">
        <v>22</v>
      </c>
    </row>
    <row r="402" spans="1:17" x14ac:dyDescent="0.25">
      <c r="A402">
        <v>1106</v>
      </c>
      <c r="B402">
        <v>38</v>
      </c>
      <c r="C402" t="s">
        <v>23</v>
      </c>
      <c r="D402" t="s">
        <v>104</v>
      </c>
      <c r="E402" t="s">
        <v>52</v>
      </c>
      <c r="F402" t="s">
        <v>26</v>
      </c>
      <c r="G402" t="s">
        <v>37</v>
      </c>
      <c r="H402" t="s">
        <v>30</v>
      </c>
      <c r="I402">
        <v>17</v>
      </c>
      <c r="J402">
        <v>7691</v>
      </c>
      <c r="K402" t="s">
        <v>42</v>
      </c>
      <c r="L402">
        <v>1</v>
      </c>
      <c r="M402">
        <v>3</v>
      </c>
      <c r="N402">
        <v>3</v>
      </c>
      <c r="O402">
        <v>3</v>
      </c>
      <c r="P402">
        <v>7</v>
      </c>
      <c r="Q402" t="s">
        <v>22</v>
      </c>
    </row>
    <row r="403" spans="1:17" x14ac:dyDescent="0.25">
      <c r="A403">
        <v>1019</v>
      </c>
      <c r="B403">
        <v>22</v>
      </c>
      <c r="C403" t="s">
        <v>16</v>
      </c>
      <c r="D403" t="s">
        <v>17</v>
      </c>
      <c r="E403" t="s">
        <v>18</v>
      </c>
      <c r="F403" t="s">
        <v>41</v>
      </c>
      <c r="G403" t="s">
        <v>33</v>
      </c>
      <c r="H403" t="s">
        <v>30</v>
      </c>
      <c r="I403">
        <v>11</v>
      </c>
      <c r="J403" t="s">
        <v>126</v>
      </c>
      <c r="K403" t="s">
        <v>22</v>
      </c>
      <c r="L403">
        <v>3</v>
      </c>
      <c r="M403">
        <v>2</v>
      </c>
      <c r="N403">
        <v>0</v>
      </c>
      <c r="O403">
        <v>0</v>
      </c>
      <c r="P403">
        <v>0</v>
      </c>
      <c r="Q403" t="s">
        <v>42</v>
      </c>
    </row>
    <row r="404" spans="1:17" x14ac:dyDescent="0.25">
      <c r="A404">
        <v>1787</v>
      </c>
      <c r="B404">
        <v>35</v>
      </c>
      <c r="C404" t="s">
        <v>23</v>
      </c>
      <c r="D404" t="s">
        <v>47</v>
      </c>
      <c r="E404" t="s">
        <v>50</v>
      </c>
      <c r="F404" t="s">
        <v>26</v>
      </c>
      <c r="G404" t="s">
        <v>20</v>
      </c>
      <c r="H404" t="s">
        <v>30</v>
      </c>
      <c r="I404">
        <v>25</v>
      </c>
      <c r="J404">
        <v>6927</v>
      </c>
      <c r="K404" t="s">
        <v>22</v>
      </c>
      <c r="L404">
        <v>3</v>
      </c>
      <c r="M404">
        <v>4</v>
      </c>
      <c r="N404">
        <v>7</v>
      </c>
      <c r="O404">
        <v>5</v>
      </c>
      <c r="P404">
        <v>9</v>
      </c>
      <c r="Q404" t="s">
        <v>22</v>
      </c>
    </row>
    <row r="405" spans="1:17" x14ac:dyDescent="0.25">
      <c r="A405">
        <v>1256</v>
      </c>
      <c r="B405">
        <v>36</v>
      </c>
      <c r="C405" t="s">
        <v>16</v>
      </c>
      <c r="D405" t="s">
        <v>47</v>
      </c>
      <c r="E405" t="s">
        <v>50</v>
      </c>
      <c r="F405" t="s">
        <v>26</v>
      </c>
      <c r="G405" t="s">
        <v>33</v>
      </c>
      <c r="H405" t="s">
        <v>34</v>
      </c>
      <c r="I405">
        <v>4</v>
      </c>
      <c r="J405">
        <v>7662</v>
      </c>
      <c r="K405" t="s">
        <v>22</v>
      </c>
      <c r="L405">
        <v>3</v>
      </c>
      <c r="M405">
        <v>3</v>
      </c>
      <c r="N405">
        <v>2</v>
      </c>
      <c r="O405">
        <v>0</v>
      </c>
      <c r="P405">
        <v>9</v>
      </c>
      <c r="Q405" t="s">
        <v>42</v>
      </c>
    </row>
    <row r="406" spans="1:17" x14ac:dyDescent="0.25">
      <c r="A406">
        <v>1786</v>
      </c>
      <c r="B406">
        <v>39</v>
      </c>
      <c r="C406" t="s">
        <v>16</v>
      </c>
      <c r="D406" t="s">
        <v>24</v>
      </c>
      <c r="E406" t="s">
        <v>52</v>
      </c>
      <c r="F406" t="s">
        <v>26</v>
      </c>
      <c r="G406" t="s">
        <v>20</v>
      </c>
      <c r="H406" t="s">
        <v>21</v>
      </c>
      <c r="I406">
        <v>8</v>
      </c>
      <c r="J406">
        <v>6615</v>
      </c>
      <c r="K406" t="s">
        <v>22</v>
      </c>
      <c r="L406">
        <v>3</v>
      </c>
      <c r="M406">
        <v>4</v>
      </c>
      <c r="N406">
        <v>15</v>
      </c>
      <c r="O406">
        <v>15</v>
      </c>
      <c r="P406">
        <v>19</v>
      </c>
      <c r="Q406" t="s">
        <v>22</v>
      </c>
    </row>
    <row r="407" spans="1:17" x14ac:dyDescent="0.25">
      <c r="A407">
        <v>1924</v>
      </c>
      <c r="B407">
        <v>54</v>
      </c>
      <c r="C407" t="s">
        <v>23</v>
      </c>
      <c r="D407" t="s">
        <v>24</v>
      </c>
      <c r="E407" t="s">
        <v>45</v>
      </c>
      <c r="F407" t="s">
        <v>36</v>
      </c>
      <c r="G407" t="s">
        <v>20</v>
      </c>
      <c r="H407" t="s">
        <v>34</v>
      </c>
      <c r="I407">
        <v>13</v>
      </c>
      <c r="J407">
        <v>9566</v>
      </c>
      <c r="K407" t="s">
        <v>22</v>
      </c>
      <c r="L407">
        <v>3</v>
      </c>
      <c r="M407">
        <v>4</v>
      </c>
      <c r="N407">
        <v>4</v>
      </c>
      <c r="O407">
        <v>3</v>
      </c>
      <c r="P407">
        <v>27</v>
      </c>
      <c r="Q407" t="s">
        <v>42</v>
      </c>
    </row>
    <row r="408" spans="1:17" x14ac:dyDescent="0.25">
      <c r="A408">
        <v>1901</v>
      </c>
      <c r="B408">
        <v>26</v>
      </c>
      <c r="C408" t="s">
        <v>16</v>
      </c>
      <c r="D408" t="s">
        <v>104</v>
      </c>
      <c r="E408" t="s">
        <v>25</v>
      </c>
      <c r="F408" t="s">
        <v>36</v>
      </c>
      <c r="G408" t="s">
        <v>37</v>
      </c>
      <c r="H408" t="s">
        <v>34</v>
      </c>
      <c r="I408">
        <v>26</v>
      </c>
      <c r="J408">
        <v>10135</v>
      </c>
      <c r="K408" t="s">
        <v>22</v>
      </c>
      <c r="L408">
        <v>1</v>
      </c>
      <c r="M408">
        <v>1</v>
      </c>
      <c r="N408">
        <v>3</v>
      </c>
      <c r="O408">
        <v>3</v>
      </c>
      <c r="P408">
        <v>6</v>
      </c>
      <c r="Q408" t="s">
        <v>22</v>
      </c>
    </row>
    <row r="409" spans="1:17" x14ac:dyDescent="0.25">
      <c r="A409">
        <v>1421</v>
      </c>
      <c r="B409">
        <v>22</v>
      </c>
      <c r="C409" t="s">
        <v>16</v>
      </c>
      <c r="D409" t="s">
        <v>24</v>
      </c>
      <c r="E409" t="s">
        <v>52</v>
      </c>
      <c r="F409" t="s">
        <v>36</v>
      </c>
      <c r="G409" t="s">
        <v>33</v>
      </c>
      <c r="H409" t="s">
        <v>30</v>
      </c>
      <c r="I409">
        <v>29</v>
      </c>
      <c r="J409">
        <v>6403</v>
      </c>
      <c r="K409" t="s">
        <v>22</v>
      </c>
      <c r="L409">
        <v>3</v>
      </c>
      <c r="M409">
        <v>3</v>
      </c>
      <c r="N409">
        <v>0</v>
      </c>
      <c r="O409">
        <v>0</v>
      </c>
      <c r="P409">
        <v>2</v>
      </c>
      <c r="Q409" t="s">
        <v>22</v>
      </c>
    </row>
    <row r="410" spans="1:17" x14ac:dyDescent="0.25">
      <c r="A410">
        <v>1129</v>
      </c>
      <c r="B410">
        <v>57</v>
      </c>
      <c r="C410" t="s">
        <v>16</v>
      </c>
      <c r="D410" t="s">
        <v>24</v>
      </c>
      <c r="E410" t="s">
        <v>25</v>
      </c>
      <c r="F410" t="s">
        <v>41</v>
      </c>
      <c r="G410" t="s">
        <v>37</v>
      </c>
      <c r="H410" t="s">
        <v>21</v>
      </c>
      <c r="I410">
        <v>22</v>
      </c>
      <c r="J410">
        <v>16390</v>
      </c>
      <c r="K410" t="s">
        <v>22</v>
      </c>
      <c r="L410">
        <v>4</v>
      </c>
      <c r="M410">
        <v>1</v>
      </c>
      <c r="N410">
        <v>17</v>
      </c>
      <c r="O410">
        <v>15</v>
      </c>
      <c r="P410">
        <v>28</v>
      </c>
      <c r="Q410" t="s">
        <v>106</v>
      </c>
    </row>
    <row r="411" spans="1:17" x14ac:dyDescent="0.25">
      <c r="A411">
        <v>1385</v>
      </c>
      <c r="B411">
        <v>50</v>
      </c>
      <c r="C411" t="s">
        <v>16</v>
      </c>
      <c r="D411" t="s">
        <v>24</v>
      </c>
      <c r="E411" t="s">
        <v>45</v>
      </c>
      <c r="F411" t="s">
        <v>26</v>
      </c>
      <c r="G411" t="s">
        <v>20</v>
      </c>
      <c r="H411" t="s">
        <v>21</v>
      </c>
      <c r="I411">
        <v>22</v>
      </c>
      <c r="J411">
        <v>11269</v>
      </c>
      <c r="K411" t="s">
        <v>22</v>
      </c>
      <c r="L411">
        <v>4</v>
      </c>
      <c r="M411">
        <v>2</v>
      </c>
      <c r="N411">
        <v>19</v>
      </c>
      <c r="O411">
        <v>8</v>
      </c>
      <c r="P411">
        <v>26</v>
      </c>
      <c r="Q411" t="s">
        <v>22</v>
      </c>
    </row>
    <row r="412" spans="1:17" x14ac:dyDescent="0.25">
      <c r="A412">
        <v>1973</v>
      </c>
      <c r="B412">
        <v>40</v>
      </c>
      <c r="C412" t="s">
        <v>16</v>
      </c>
      <c r="D412" t="s">
        <v>24</v>
      </c>
      <c r="E412" t="s">
        <v>52</v>
      </c>
      <c r="F412" t="s">
        <v>36</v>
      </c>
      <c r="G412" t="s">
        <v>37</v>
      </c>
      <c r="H412" t="s">
        <v>21</v>
      </c>
      <c r="I412">
        <v>20</v>
      </c>
      <c r="J412">
        <v>7657</v>
      </c>
      <c r="K412" t="s">
        <v>42</v>
      </c>
      <c r="L412">
        <v>3</v>
      </c>
      <c r="M412">
        <v>4</v>
      </c>
      <c r="N412">
        <v>0</v>
      </c>
      <c r="O412">
        <v>0</v>
      </c>
      <c r="P412">
        <v>18</v>
      </c>
      <c r="Q412" t="s">
        <v>22</v>
      </c>
    </row>
    <row r="413" spans="1:17" x14ac:dyDescent="0.25">
      <c r="A413">
        <v>1751</v>
      </c>
      <c r="B413">
        <v>56</v>
      </c>
      <c r="C413" t="s">
        <v>16</v>
      </c>
      <c r="D413" t="s">
        <v>17</v>
      </c>
      <c r="E413" t="s">
        <v>40</v>
      </c>
      <c r="F413" t="s">
        <v>29</v>
      </c>
      <c r="G413" t="s">
        <v>20</v>
      </c>
      <c r="H413" t="s">
        <v>34</v>
      </c>
      <c r="I413">
        <v>20</v>
      </c>
      <c r="J413">
        <v>10446</v>
      </c>
      <c r="K413" t="s">
        <v>22</v>
      </c>
      <c r="L413">
        <v>1</v>
      </c>
      <c r="M413">
        <v>4</v>
      </c>
      <c r="N413">
        <v>24</v>
      </c>
      <c r="O413">
        <v>1</v>
      </c>
      <c r="P413">
        <v>36</v>
      </c>
      <c r="Q413" t="s">
        <v>22</v>
      </c>
    </row>
    <row r="414" spans="1:17" x14ac:dyDescent="0.25">
      <c r="A414">
        <v>1368</v>
      </c>
      <c r="B414">
        <v>49</v>
      </c>
      <c r="C414" t="s">
        <v>105</v>
      </c>
      <c r="D414" t="s">
        <v>27</v>
      </c>
      <c r="E414" t="s">
        <v>31</v>
      </c>
      <c r="F414" t="s">
        <v>41</v>
      </c>
      <c r="G414" t="s">
        <v>33</v>
      </c>
      <c r="H414" t="s">
        <v>30</v>
      </c>
      <c r="I414">
        <v>16</v>
      </c>
      <c r="J414">
        <v>9544</v>
      </c>
      <c r="K414" t="s">
        <v>22</v>
      </c>
      <c r="L414">
        <v>2</v>
      </c>
      <c r="M414">
        <v>2</v>
      </c>
      <c r="N414">
        <v>0</v>
      </c>
      <c r="O414">
        <v>0</v>
      </c>
      <c r="P414">
        <v>19</v>
      </c>
      <c r="Q414" t="s">
        <v>22</v>
      </c>
    </row>
    <row r="415" spans="1:17" x14ac:dyDescent="0.25">
      <c r="A415">
        <v>1514</v>
      </c>
      <c r="B415">
        <v>36</v>
      </c>
      <c r="C415" t="s">
        <v>23</v>
      </c>
      <c r="D415" t="s">
        <v>24</v>
      </c>
      <c r="E415" t="s">
        <v>45</v>
      </c>
      <c r="F415" t="s">
        <v>26</v>
      </c>
      <c r="G415" t="s">
        <v>33</v>
      </c>
      <c r="H415" t="s">
        <v>34</v>
      </c>
      <c r="I415">
        <v>15</v>
      </c>
      <c r="J415">
        <v>8382</v>
      </c>
      <c r="K415" t="s">
        <v>22</v>
      </c>
      <c r="L415">
        <v>1</v>
      </c>
      <c r="M415">
        <v>1</v>
      </c>
      <c r="N415">
        <v>1</v>
      </c>
      <c r="O415">
        <v>1</v>
      </c>
      <c r="P415">
        <v>16</v>
      </c>
      <c r="Q415" t="s">
        <v>22</v>
      </c>
    </row>
    <row r="416" spans="1:17" x14ac:dyDescent="0.25">
      <c r="A416">
        <v>1440</v>
      </c>
      <c r="B416">
        <v>41</v>
      </c>
      <c r="C416" t="s">
        <v>23</v>
      </c>
      <c r="D416" t="s">
        <v>27</v>
      </c>
      <c r="E416" t="s">
        <v>28</v>
      </c>
      <c r="F416" t="s">
        <v>41</v>
      </c>
      <c r="G416" t="s">
        <v>20</v>
      </c>
      <c r="H416" t="s">
        <v>34</v>
      </c>
      <c r="I416">
        <v>20</v>
      </c>
      <c r="J416">
        <v>9833</v>
      </c>
      <c r="K416" t="s">
        <v>42</v>
      </c>
      <c r="L416">
        <v>1</v>
      </c>
      <c r="M416">
        <v>3</v>
      </c>
      <c r="N416">
        <v>0</v>
      </c>
      <c r="O416">
        <v>0</v>
      </c>
      <c r="P416">
        <v>13</v>
      </c>
      <c r="Q416" t="s">
        <v>22</v>
      </c>
    </row>
    <row r="417" spans="1:17" x14ac:dyDescent="0.25">
      <c r="A417">
        <v>1480</v>
      </c>
      <c r="B417">
        <v>35</v>
      </c>
      <c r="C417" t="s">
        <v>23</v>
      </c>
      <c r="D417" t="s">
        <v>27</v>
      </c>
      <c r="E417" t="s">
        <v>31</v>
      </c>
      <c r="F417" t="s">
        <v>19</v>
      </c>
      <c r="G417" t="s">
        <v>20</v>
      </c>
      <c r="H417" t="s">
        <v>34</v>
      </c>
      <c r="I417">
        <v>13</v>
      </c>
      <c r="J417">
        <v>9279</v>
      </c>
      <c r="K417" t="s">
        <v>22</v>
      </c>
      <c r="L417">
        <v>2</v>
      </c>
      <c r="M417">
        <v>4</v>
      </c>
      <c r="N417">
        <v>10</v>
      </c>
      <c r="O417">
        <v>5</v>
      </c>
      <c r="P417">
        <v>10</v>
      </c>
      <c r="Q417" t="s">
        <v>22</v>
      </c>
    </row>
    <row r="418" spans="1:17" x14ac:dyDescent="0.25">
      <c r="A418">
        <v>1182</v>
      </c>
      <c r="B418">
        <v>51</v>
      </c>
      <c r="C418" t="s">
        <v>16</v>
      </c>
      <c r="D418" t="s">
        <v>47</v>
      </c>
      <c r="E418" t="s">
        <v>48</v>
      </c>
      <c r="F418" t="s">
        <v>32</v>
      </c>
      <c r="G418" t="s">
        <v>33</v>
      </c>
      <c r="H418" t="s">
        <v>30</v>
      </c>
      <c r="I418">
        <v>27</v>
      </c>
      <c r="J418">
        <v>13426</v>
      </c>
      <c r="K418" t="s">
        <v>22</v>
      </c>
      <c r="L418">
        <v>4</v>
      </c>
      <c r="M418">
        <v>4</v>
      </c>
      <c r="N418">
        <v>17</v>
      </c>
      <c r="O418">
        <v>16</v>
      </c>
      <c r="P418">
        <v>31</v>
      </c>
      <c r="Q418" t="s">
        <v>22</v>
      </c>
    </row>
    <row r="419" spans="1:17" x14ac:dyDescent="0.25">
      <c r="A419">
        <v>1866</v>
      </c>
      <c r="B419">
        <v>37</v>
      </c>
      <c r="C419" t="s">
        <v>16</v>
      </c>
      <c r="D419" t="s">
        <v>27</v>
      </c>
      <c r="E419" t="s">
        <v>28</v>
      </c>
      <c r="F419" t="s">
        <v>19</v>
      </c>
      <c r="G419" t="s">
        <v>37</v>
      </c>
      <c r="H419" t="s">
        <v>30</v>
      </c>
      <c r="I419">
        <v>14</v>
      </c>
      <c r="J419">
        <v>12926</v>
      </c>
      <c r="K419" t="s">
        <v>42</v>
      </c>
      <c r="L419">
        <v>3</v>
      </c>
      <c r="M419">
        <v>3</v>
      </c>
      <c r="N419">
        <v>6</v>
      </c>
      <c r="O419">
        <v>5</v>
      </c>
      <c r="P419">
        <v>17</v>
      </c>
      <c r="Q419" t="s">
        <v>22</v>
      </c>
    </row>
    <row r="420" spans="1:17" x14ac:dyDescent="0.25">
      <c r="A420">
        <v>1777</v>
      </c>
      <c r="B420">
        <v>26</v>
      </c>
      <c r="C420" t="s">
        <v>16</v>
      </c>
      <c r="D420" t="s">
        <v>100</v>
      </c>
      <c r="E420" t="s">
        <v>44</v>
      </c>
      <c r="F420" t="s">
        <v>32</v>
      </c>
      <c r="G420" t="s">
        <v>33</v>
      </c>
      <c r="H420" t="s">
        <v>30</v>
      </c>
      <c r="I420">
        <v>25</v>
      </c>
      <c r="J420">
        <v>8082</v>
      </c>
      <c r="K420" t="s">
        <v>22</v>
      </c>
      <c r="L420">
        <v>3</v>
      </c>
      <c r="M420">
        <v>3</v>
      </c>
      <c r="N420">
        <v>0</v>
      </c>
      <c r="O420">
        <v>0</v>
      </c>
      <c r="P420">
        <v>2</v>
      </c>
      <c r="Q420" t="s">
        <v>42</v>
      </c>
    </row>
    <row r="421" spans="1:17" x14ac:dyDescent="0.25">
      <c r="A421">
        <v>1239</v>
      </c>
      <c r="B421">
        <v>30</v>
      </c>
      <c r="C421" t="s">
        <v>23</v>
      </c>
      <c r="D421" t="s">
        <v>24</v>
      </c>
      <c r="E421" t="s">
        <v>25</v>
      </c>
      <c r="F421" t="s">
        <v>32</v>
      </c>
      <c r="G421" t="s">
        <v>33</v>
      </c>
      <c r="H421" t="s">
        <v>30</v>
      </c>
      <c r="I421">
        <v>19</v>
      </c>
      <c r="J421">
        <v>9616</v>
      </c>
      <c r="K421" t="s">
        <v>42</v>
      </c>
      <c r="L421">
        <v>4</v>
      </c>
      <c r="M421">
        <v>1</v>
      </c>
      <c r="N421">
        <v>1</v>
      </c>
      <c r="O421">
        <v>1</v>
      </c>
      <c r="P421">
        <v>8</v>
      </c>
      <c r="Q421" t="s">
        <v>22</v>
      </c>
    </row>
    <row r="422" spans="1:17" x14ac:dyDescent="0.25">
      <c r="A422">
        <v>1873</v>
      </c>
      <c r="B422">
        <v>56</v>
      </c>
      <c r="C422" t="s">
        <v>23</v>
      </c>
      <c r="D422" t="s">
        <v>24</v>
      </c>
      <c r="E422" t="s">
        <v>46</v>
      </c>
      <c r="F422" t="s">
        <v>38</v>
      </c>
      <c r="G422" t="s">
        <v>33</v>
      </c>
      <c r="H422" t="s">
        <v>30</v>
      </c>
      <c r="I422">
        <v>29</v>
      </c>
      <c r="J422">
        <v>11180</v>
      </c>
      <c r="K422" t="s">
        <v>22</v>
      </c>
      <c r="M422">
        <v>3</v>
      </c>
      <c r="N422">
        <v>6</v>
      </c>
      <c r="O422">
        <v>6</v>
      </c>
      <c r="P422">
        <v>36</v>
      </c>
      <c r="Q422" t="s">
        <v>22</v>
      </c>
    </row>
    <row r="423" spans="1:17" x14ac:dyDescent="0.25">
      <c r="A423">
        <v>1207</v>
      </c>
      <c r="B423">
        <v>46</v>
      </c>
      <c r="C423" t="s">
        <v>87</v>
      </c>
      <c r="D423" t="s">
        <v>17</v>
      </c>
      <c r="E423" t="s">
        <v>40</v>
      </c>
      <c r="F423" t="s">
        <v>19</v>
      </c>
      <c r="G423" t="s">
        <v>20</v>
      </c>
      <c r="H423" t="s">
        <v>30</v>
      </c>
      <c r="I423">
        <v>17</v>
      </c>
      <c r="J423">
        <v>8824</v>
      </c>
      <c r="K423" t="s">
        <v>22</v>
      </c>
      <c r="L423">
        <v>1</v>
      </c>
      <c r="M423">
        <v>2</v>
      </c>
      <c r="N423">
        <v>4</v>
      </c>
      <c r="O423">
        <v>2</v>
      </c>
      <c r="P423">
        <v>20</v>
      </c>
      <c r="Q423" t="s">
        <v>22</v>
      </c>
    </row>
    <row r="424" spans="1:17" x14ac:dyDescent="0.25">
      <c r="A424">
        <v>1372</v>
      </c>
      <c r="B424">
        <v>59</v>
      </c>
      <c r="C424" t="s">
        <v>23</v>
      </c>
      <c r="D424" t="s">
        <v>24</v>
      </c>
      <c r="E424" t="s">
        <v>52</v>
      </c>
      <c r="F424" t="s">
        <v>29</v>
      </c>
      <c r="G424" t="s">
        <v>37</v>
      </c>
      <c r="H424" t="s">
        <v>30</v>
      </c>
      <c r="I424">
        <v>28</v>
      </c>
      <c r="J424">
        <v>13271</v>
      </c>
      <c r="K424" t="s">
        <v>22</v>
      </c>
      <c r="L424">
        <v>4</v>
      </c>
      <c r="M424">
        <v>3</v>
      </c>
      <c r="N424">
        <v>20</v>
      </c>
      <c r="O424">
        <v>16</v>
      </c>
      <c r="P424">
        <v>39</v>
      </c>
      <c r="Q424" t="s">
        <v>22</v>
      </c>
    </row>
    <row r="425" spans="1:17" x14ac:dyDescent="0.25">
      <c r="A425">
        <v>2000</v>
      </c>
      <c r="B425">
        <v>32</v>
      </c>
      <c r="C425" t="s">
        <v>16</v>
      </c>
      <c r="D425" t="s">
        <v>47</v>
      </c>
      <c r="E425" t="s">
        <v>48</v>
      </c>
      <c r="F425" t="s">
        <v>29</v>
      </c>
      <c r="G425" t="s">
        <v>20</v>
      </c>
      <c r="H425" t="s">
        <v>34</v>
      </c>
      <c r="I425">
        <v>11</v>
      </c>
      <c r="J425">
        <v>6738</v>
      </c>
      <c r="K425" t="s">
        <v>42</v>
      </c>
      <c r="L425">
        <v>1</v>
      </c>
      <c r="M425">
        <v>3</v>
      </c>
      <c r="N425">
        <v>3</v>
      </c>
      <c r="O425">
        <v>1</v>
      </c>
      <c r="P425">
        <v>4</v>
      </c>
      <c r="Q425" t="s">
        <v>22</v>
      </c>
    </row>
    <row r="426" spans="1:17" x14ac:dyDescent="0.25">
      <c r="A426">
        <v>1282</v>
      </c>
      <c r="B426">
        <v>50</v>
      </c>
      <c r="C426" t="s">
        <v>16</v>
      </c>
      <c r="D426" t="s">
        <v>27</v>
      </c>
      <c r="E426" t="s">
        <v>31</v>
      </c>
      <c r="F426" t="s">
        <v>38</v>
      </c>
      <c r="G426" t="s">
        <v>20</v>
      </c>
      <c r="H426" t="s">
        <v>34</v>
      </c>
      <c r="I426">
        <v>26</v>
      </c>
      <c r="J426">
        <v>11780</v>
      </c>
      <c r="K426" t="s">
        <v>22</v>
      </c>
      <c r="L426">
        <v>2</v>
      </c>
      <c r="M426">
        <v>3</v>
      </c>
      <c r="N426">
        <v>23</v>
      </c>
      <c r="O426">
        <v>12</v>
      </c>
      <c r="P426">
        <v>27</v>
      </c>
      <c r="Q426" t="s">
        <v>22</v>
      </c>
    </row>
    <row r="427" spans="1:17" x14ac:dyDescent="0.25">
      <c r="A427">
        <v>1203</v>
      </c>
      <c r="B427">
        <v>22</v>
      </c>
      <c r="C427" t="s">
        <v>16</v>
      </c>
      <c r="D427" t="s">
        <v>47</v>
      </c>
      <c r="E427" t="s">
        <v>48</v>
      </c>
      <c r="F427" t="s">
        <v>26</v>
      </c>
      <c r="G427" t="s">
        <v>33</v>
      </c>
      <c r="H427" t="s">
        <v>30</v>
      </c>
      <c r="I427">
        <v>24</v>
      </c>
      <c r="J427">
        <v>4888</v>
      </c>
      <c r="K427" t="s">
        <v>42</v>
      </c>
      <c r="L427">
        <v>2</v>
      </c>
      <c r="M427">
        <v>3</v>
      </c>
      <c r="N427">
        <v>0</v>
      </c>
      <c r="O427">
        <v>0</v>
      </c>
      <c r="P427">
        <v>0</v>
      </c>
      <c r="Q427" t="s">
        <v>42</v>
      </c>
    </row>
    <row r="428" spans="1:17" x14ac:dyDescent="0.25">
      <c r="A428">
        <v>1439</v>
      </c>
      <c r="B428">
        <v>49</v>
      </c>
      <c r="C428" t="s">
        <v>16</v>
      </c>
      <c r="D428" t="s">
        <v>47</v>
      </c>
      <c r="E428" t="s">
        <v>48</v>
      </c>
      <c r="F428" t="s">
        <v>29</v>
      </c>
      <c r="G428" t="s">
        <v>37</v>
      </c>
      <c r="H428" t="s">
        <v>34</v>
      </c>
      <c r="I428">
        <v>25</v>
      </c>
      <c r="J428">
        <v>10402</v>
      </c>
      <c r="K428" t="s">
        <v>22</v>
      </c>
      <c r="L428">
        <v>3</v>
      </c>
      <c r="M428">
        <v>4</v>
      </c>
      <c r="N428">
        <v>23</v>
      </c>
      <c r="O428">
        <v>17</v>
      </c>
      <c r="P428">
        <v>27</v>
      </c>
      <c r="Q428" t="s">
        <v>22</v>
      </c>
    </row>
    <row r="429" spans="1:17" x14ac:dyDescent="0.25">
      <c r="A429">
        <v>1347</v>
      </c>
      <c r="B429">
        <v>46</v>
      </c>
      <c r="C429" t="s">
        <v>23</v>
      </c>
      <c r="D429" t="s">
        <v>24</v>
      </c>
      <c r="E429" t="s">
        <v>45</v>
      </c>
      <c r="F429" t="s">
        <v>29</v>
      </c>
      <c r="G429" t="s">
        <v>33</v>
      </c>
      <c r="H429" t="s">
        <v>21</v>
      </c>
      <c r="I429">
        <v>2</v>
      </c>
      <c r="J429">
        <v>9618</v>
      </c>
      <c r="K429" t="s">
        <v>22</v>
      </c>
      <c r="L429">
        <v>4</v>
      </c>
      <c r="M429">
        <v>1</v>
      </c>
      <c r="N429">
        <v>24</v>
      </c>
      <c r="O429">
        <v>7</v>
      </c>
      <c r="P429">
        <v>24</v>
      </c>
      <c r="Q429" t="s">
        <v>22</v>
      </c>
    </row>
    <row r="430" spans="1:17" x14ac:dyDescent="0.25">
      <c r="A430">
        <v>1251</v>
      </c>
      <c r="B430">
        <v>21</v>
      </c>
      <c r="C430" t="s">
        <v>23</v>
      </c>
      <c r="D430" t="s">
        <v>47</v>
      </c>
      <c r="E430" t="s">
        <v>50</v>
      </c>
      <c r="F430" t="s">
        <v>38</v>
      </c>
      <c r="G430" t="s">
        <v>37</v>
      </c>
      <c r="H430" t="s">
        <v>34</v>
      </c>
      <c r="I430">
        <v>6</v>
      </c>
      <c r="J430">
        <v>8135</v>
      </c>
      <c r="K430" t="s">
        <v>22</v>
      </c>
      <c r="L430">
        <v>2</v>
      </c>
      <c r="M430">
        <v>1</v>
      </c>
      <c r="N430">
        <v>0</v>
      </c>
      <c r="O430">
        <v>0</v>
      </c>
      <c r="P430">
        <v>0</v>
      </c>
      <c r="Q430" t="s">
        <v>42</v>
      </c>
    </row>
    <row r="431" spans="1:17" x14ac:dyDescent="0.25">
      <c r="A431">
        <v>1410</v>
      </c>
      <c r="B431">
        <v>54</v>
      </c>
      <c r="C431" t="s">
        <v>107</v>
      </c>
      <c r="D431" t="s">
        <v>24</v>
      </c>
      <c r="E431" t="s">
        <v>46</v>
      </c>
      <c r="F431" t="s">
        <v>38</v>
      </c>
      <c r="G431" t="s">
        <v>33</v>
      </c>
      <c r="H431" t="s">
        <v>21</v>
      </c>
      <c r="I431">
        <v>13</v>
      </c>
      <c r="J431">
        <v>12363</v>
      </c>
      <c r="K431" t="s">
        <v>22</v>
      </c>
      <c r="L431">
        <v>3</v>
      </c>
      <c r="M431">
        <v>3</v>
      </c>
      <c r="N431">
        <v>22</v>
      </c>
      <c r="O431">
        <v>15</v>
      </c>
      <c r="P431">
        <v>30</v>
      </c>
      <c r="Q431" t="s">
        <v>42</v>
      </c>
    </row>
    <row r="432" spans="1:17" x14ac:dyDescent="0.25">
      <c r="A432">
        <v>1938</v>
      </c>
      <c r="B432">
        <v>51</v>
      </c>
      <c r="C432" t="s">
        <v>16</v>
      </c>
      <c r="D432" t="s">
        <v>24</v>
      </c>
      <c r="E432" t="s">
        <v>52</v>
      </c>
      <c r="F432" t="s">
        <v>19</v>
      </c>
      <c r="G432" t="s">
        <v>37</v>
      </c>
      <c r="H432" t="s">
        <v>30</v>
      </c>
      <c r="I432">
        <v>12</v>
      </c>
      <c r="J432">
        <v>8902</v>
      </c>
      <c r="K432" t="s">
        <v>22</v>
      </c>
      <c r="L432">
        <v>2</v>
      </c>
      <c r="M432">
        <v>4</v>
      </c>
      <c r="N432">
        <v>20</v>
      </c>
      <c r="O432">
        <v>14</v>
      </c>
      <c r="P432">
        <v>23</v>
      </c>
      <c r="Q432" t="s">
        <v>88</v>
      </c>
    </row>
    <row r="433" spans="1:17" x14ac:dyDescent="0.25">
      <c r="A433">
        <v>1236</v>
      </c>
      <c r="B433">
        <v>28</v>
      </c>
      <c r="C433" t="s">
        <v>16</v>
      </c>
      <c r="D433" t="s">
        <v>47</v>
      </c>
      <c r="E433" t="s">
        <v>48</v>
      </c>
      <c r="F433" t="s">
        <v>41</v>
      </c>
      <c r="G433" t="s">
        <v>37</v>
      </c>
      <c r="H433" t="s">
        <v>21</v>
      </c>
      <c r="I433">
        <v>27</v>
      </c>
      <c r="J433">
        <v>8274</v>
      </c>
      <c r="K433" t="s">
        <v>22</v>
      </c>
      <c r="L433">
        <v>1</v>
      </c>
      <c r="M433">
        <v>2</v>
      </c>
      <c r="N433">
        <v>1</v>
      </c>
      <c r="O433">
        <v>1</v>
      </c>
      <c r="P433">
        <v>1</v>
      </c>
      <c r="Q433" t="s">
        <v>22</v>
      </c>
    </row>
    <row r="434" spans="1:17" x14ac:dyDescent="0.25">
      <c r="A434">
        <v>1586</v>
      </c>
      <c r="B434">
        <v>58</v>
      </c>
      <c r="C434" t="s">
        <v>23</v>
      </c>
      <c r="D434" t="s">
        <v>17</v>
      </c>
      <c r="E434" t="s">
        <v>40</v>
      </c>
      <c r="F434" t="s">
        <v>26</v>
      </c>
      <c r="G434" t="s">
        <v>37</v>
      </c>
      <c r="H434" t="s">
        <v>21</v>
      </c>
      <c r="I434">
        <v>29</v>
      </c>
      <c r="J434">
        <v>12364</v>
      </c>
      <c r="K434" t="s">
        <v>22</v>
      </c>
      <c r="L434">
        <v>3</v>
      </c>
      <c r="M434">
        <v>2</v>
      </c>
      <c r="N434">
        <v>12</v>
      </c>
      <c r="O434">
        <v>10</v>
      </c>
      <c r="P434">
        <v>30</v>
      </c>
      <c r="Q434" t="s">
        <v>22</v>
      </c>
    </row>
    <row r="435" spans="1:17" x14ac:dyDescent="0.25">
      <c r="A435">
        <v>1001</v>
      </c>
      <c r="B435">
        <v>37</v>
      </c>
      <c r="C435" t="s">
        <v>16</v>
      </c>
      <c r="D435" t="s">
        <v>38</v>
      </c>
      <c r="E435" t="s">
        <v>39</v>
      </c>
      <c r="F435" t="s">
        <v>36</v>
      </c>
      <c r="G435" t="s">
        <v>37</v>
      </c>
      <c r="H435" t="s">
        <v>34</v>
      </c>
      <c r="I435">
        <v>8</v>
      </c>
      <c r="J435">
        <v>7907</v>
      </c>
      <c r="K435" t="s">
        <v>42</v>
      </c>
      <c r="L435">
        <v>1</v>
      </c>
      <c r="M435">
        <v>1</v>
      </c>
      <c r="N435">
        <v>1</v>
      </c>
      <c r="O435">
        <v>0</v>
      </c>
      <c r="P435">
        <v>13</v>
      </c>
      <c r="Q435" t="s">
        <v>42</v>
      </c>
    </row>
    <row r="436" spans="1:17" x14ac:dyDescent="0.25">
      <c r="A436">
        <v>1465</v>
      </c>
      <c r="B436">
        <v>50</v>
      </c>
      <c r="C436" t="s">
        <v>16</v>
      </c>
      <c r="D436" t="s">
        <v>27</v>
      </c>
      <c r="E436" t="s">
        <v>28</v>
      </c>
      <c r="F436" t="s">
        <v>19</v>
      </c>
      <c r="G436" t="s">
        <v>20</v>
      </c>
      <c r="H436" t="s">
        <v>34</v>
      </c>
      <c r="I436">
        <v>12</v>
      </c>
      <c r="J436">
        <v>13428</v>
      </c>
      <c r="K436" t="s">
        <v>22</v>
      </c>
      <c r="L436">
        <v>4</v>
      </c>
      <c r="M436">
        <v>4</v>
      </c>
      <c r="N436">
        <v>1</v>
      </c>
      <c r="O436">
        <v>1</v>
      </c>
      <c r="P436">
        <v>23</v>
      </c>
      <c r="Q436" t="s">
        <v>22</v>
      </c>
    </row>
    <row r="437" spans="1:17" x14ac:dyDescent="0.25">
      <c r="A437">
        <v>1710</v>
      </c>
      <c r="B437">
        <v>45</v>
      </c>
      <c r="C437" t="s">
        <v>16</v>
      </c>
      <c r="D437" t="s">
        <v>24</v>
      </c>
      <c r="E437" t="s">
        <v>25</v>
      </c>
      <c r="F437" t="s">
        <v>36</v>
      </c>
      <c r="G437" t="s">
        <v>20</v>
      </c>
      <c r="H437" t="s">
        <v>30</v>
      </c>
      <c r="I437">
        <v>21</v>
      </c>
      <c r="J437">
        <v>14761</v>
      </c>
      <c r="K437" t="s">
        <v>22</v>
      </c>
      <c r="L437">
        <v>3</v>
      </c>
      <c r="M437">
        <v>4</v>
      </c>
      <c r="N437">
        <v>15</v>
      </c>
      <c r="O437">
        <v>1</v>
      </c>
      <c r="P437">
        <v>25</v>
      </c>
      <c r="Q437" t="s">
        <v>22</v>
      </c>
    </row>
    <row r="438" spans="1:17" x14ac:dyDescent="0.25">
      <c r="A438">
        <v>1501</v>
      </c>
      <c r="B438">
        <v>29</v>
      </c>
      <c r="C438" t="s">
        <v>16</v>
      </c>
      <c r="D438" t="s">
        <v>17</v>
      </c>
      <c r="E438" t="s">
        <v>18</v>
      </c>
      <c r="F438" t="s">
        <v>32</v>
      </c>
      <c r="G438" t="s">
        <v>33</v>
      </c>
      <c r="H438" t="s">
        <v>30</v>
      </c>
      <c r="I438">
        <v>26</v>
      </c>
      <c r="J438">
        <v>9596</v>
      </c>
      <c r="K438" t="s">
        <v>42</v>
      </c>
      <c r="L438">
        <v>4</v>
      </c>
      <c r="M438">
        <v>4</v>
      </c>
      <c r="N438">
        <v>8</v>
      </c>
      <c r="O438">
        <v>1</v>
      </c>
      <c r="P438">
        <v>9</v>
      </c>
      <c r="Q438" t="s">
        <v>22</v>
      </c>
    </row>
    <row r="439" spans="1:17" x14ac:dyDescent="0.25">
      <c r="A439">
        <v>1593</v>
      </c>
      <c r="B439">
        <v>29</v>
      </c>
      <c r="C439" t="s">
        <v>16</v>
      </c>
      <c r="D439" t="s">
        <v>24</v>
      </c>
      <c r="E439" t="s">
        <v>45</v>
      </c>
      <c r="F439" t="s">
        <v>32</v>
      </c>
      <c r="G439" t="s">
        <v>37</v>
      </c>
      <c r="H439" t="s">
        <v>30</v>
      </c>
      <c r="I439">
        <v>10</v>
      </c>
      <c r="J439">
        <v>4787</v>
      </c>
      <c r="K439" t="s">
        <v>22</v>
      </c>
      <c r="L439">
        <v>4</v>
      </c>
      <c r="M439">
        <v>1</v>
      </c>
      <c r="N439">
        <v>0</v>
      </c>
      <c r="O439">
        <v>0</v>
      </c>
      <c r="P439">
        <v>8</v>
      </c>
      <c r="Q439" t="s">
        <v>22</v>
      </c>
    </row>
    <row r="440" spans="1:17" x14ac:dyDescent="0.25">
      <c r="A440">
        <v>1584</v>
      </c>
      <c r="B440">
        <v>47</v>
      </c>
      <c r="C440" t="s">
        <v>23</v>
      </c>
      <c r="D440" t="s">
        <v>38</v>
      </c>
      <c r="E440" t="s">
        <v>49</v>
      </c>
      <c r="F440" t="s">
        <v>41</v>
      </c>
      <c r="G440" t="s">
        <v>33</v>
      </c>
      <c r="H440" t="s">
        <v>34</v>
      </c>
      <c r="I440">
        <v>1</v>
      </c>
      <c r="J440">
        <v>13468</v>
      </c>
      <c r="K440" t="s">
        <v>22</v>
      </c>
      <c r="L440">
        <v>1</v>
      </c>
      <c r="M440">
        <v>4</v>
      </c>
      <c r="N440">
        <v>11</v>
      </c>
      <c r="O440">
        <v>5</v>
      </c>
      <c r="P440">
        <v>25</v>
      </c>
      <c r="Q440" t="s">
        <v>22</v>
      </c>
    </row>
    <row r="441" spans="1:17" x14ac:dyDescent="0.25">
      <c r="A441">
        <v>1817</v>
      </c>
      <c r="B441">
        <v>34</v>
      </c>
      <c r="C441" t="s">
        <v>16</v>
      </c>
      <c r="D441" t="s">
        <v>24</v>
      </c>
      <c r="E441" t="s">
        <v>45</v>
      </c>
      <c r="F441" t="s">
        <v>19</v>
      </c>
      <c r="G441" t="s">
        <v>20</v>
      </c>
      <c r="H441" t="s">
        <v>30</v>
      </c>
      <c r="I441">
        <v>16</v>
      </c>
      <c r="J441" t="s">
        <v>127</v>
      </c>
      <c r="K441" t="s">
        <v>42</v>
      </c>
      <c r="L441">
        <v>3</v>
      </c>
      <c r="M441">
        <v>4</v>
      </c>
      <c r="N441">
        <v>3</v>
      </c>
      <c r="O441">
        <v>1</v>
      </c>
      <c r="P441">
        <v>12</v>
      </c>
      <c r="Q441" t="s">
        <v>95</v>
      </c>
    </row>
    <row r="442" spans="1:17" x14ac:dyDescent="0.25">
      <c r="A442">
        <v>1918</v>
      </c>
      <c r="B442">
        <v>51</v>
      </c>
      <c r="C442" t="s">
        <v>16</v>
      </c>
      <c r="D442" t="s">
        <v>27</v>
      </c>
      <c r="E442" t="s">
        <v>44</v>
      </c>
      <c r="F442" t="s">
        <v>36</v>
      </c>
      <c r="G442" t="s">
        <v>37</v>
      </c>
      <c r="H442" t="s">
        <v>34</v>
      </c>
      <c r="I442">
        <v>4</v>
      </c>
      <c r="J442">
        <v>12087</v>
      </c>
      <c r="K442" t="s">
        <v>22</v>
      </c>
      <c r="L442">
        <v>1</v>
      </c>
      <c r="M442">
        <v>3</v>
      </c>
      <c r="N442">
        <v>6</v>
      </c>
      <c r="O442">
        <v>1</v>
      </c>
      <c r="P442">
        <v>30</v>
      </c>
      <c r="Q442" t="s">
        <v>22</v>
      </c>
    </row>
    <row r="443" spans="1:17" x14ac:dyDescent="0.25">
      <c r="A443">
        <v>1083</v>
      </c>
      <c r="B443">
        <v>23</v>
      </c>
      <c r="C443" t="s">
        <v>23</v>
      </c>
      <c r="D443" t="s">
        <v>24</v>
      </c>
      <c r="E443" t="s">
        <v>45</v>
      </c>
      <c r="F443" t="s">
        <v>29</v>
      </c>
      <c r="G443" t="s">
        <v>20</v>
      </c>
      <c r="H443" t="s">
        <v>34</v>
      </c>
      <c r="I443">
        <v>4</v>
      </c>
      <c r="J443">
        <v>5765</v>
      </c>
      <c r="K443" t="s">
        <v>42</v>
      </c>
      <c r="L443">
        <v>2</v>
      </c>
      <c r="M443">
        <v>4</v>
      </c>
      <c r="N443">
        <v>2</v>
      </c>
      <c r="O443">
        <v>0</v>
      </c>
      <c r="P443">
        <v>3</v>
      </c>
      <c r="Q443" t="s">
        <v>22</v>
      </c>
    </row>
    <row r="444" spans="1:17" x14ac:dyDescent="0.25">
      <c r="A444">
        <v>1633</v>
      </c>
      <c r="B444">
        <v>39</v>
      </c>
      <c r="C444" t="s">
        <v>23</v>
      </c>
      <c r="D444" t="s">
        <v>38</v>
      </c>
      <c r="E444" t="s">
        <v>39</v>
      </c>
      <c r="F444" t="s">
        <v>19</v>
      </c>
      <c r="G444" t="s">
        <v>37</v>
      </c>
      <c r="H444" t="s">
        <v>21</v>
      </c>
      <c r="I444">
        <v>2</v>
      </c>
      <c r="J444">
        <v>7451</v>
      </c>
      <c r="K444" t="s">
        <v>42</v>
      </c>
      <c r="L444">
        <v>2</v>
      </c>
      <c r="M444">
        <v>1</v>
      </c>
      <c r="N444">
        <v>1</v>
      </c>
      <c r="O444">
        <v>0</v>
      </c>
      <c r="P444">
        <v>11</v>
      </c>
      <c r="Q444" t="s">
        <v>42</v>
      </c>
    </row>
    <row r="445" spans="1:17" x14ac:dyDescent="0.25">
      <c r="A445">
        <v>1366</v>
      </c>
      <c r="B445">
        <v>27</v>
      </c>
      <c r="C445" t="s">
        <v>16</v>
      </c>
      <c r="D445" t="s">
        <v>27</v>
      </c>
      <c r="E445" t="s">
        <v>31</v>
      </c>
      <c r="G445" t="s">
        <v>37</v>
      </c>
      <c r="H445" t="s">
        <v>30</v>
      </c>
      <c r="I445">
        <v>2</v>
      </c>
      <c r="J445">
        <v>4369</v>
      </c>
      <c r="K445" t="s">
        <v>22</v>
      </c>
      <c r="L445">
        <v>2</v>
      </c>
      <c r="M445">
        <v>4</v>
      </c>
      <c r="N445">
        <v>0</v>
      </c>
      <c r="O445">
        <v>0</v>
      </c>
      <c r="P445">
        <v>1</v>
      </c>
      <c r="Q445" t="s">
        <v>22</v>
      </c>
    </row>
    <row r="446" spans="1:17" x14ac:dyDescent="0.25">
      <c r="A446">
        <v>1057</v>
      </c>
      <c r="B446">
        <v>33</v>
      </c>
      <c r="C446" t="s">
        <v>16</v>
      </c>
      <c r="D446" t="s">
        <v>24</v>
      </c>
      <c r="E446" t="s">
        <v>46</v>
      </c>
      <c r="F446" t="s">
        <v>38</v>
      </c>
      <c r="G446" t="s">
        <v>33</v>
      </c>
      <c r="H446" t="s">
        <v>21</v>
      </c>
      <c r="I446">
        <v>20</v>
      </c>
      <c r="J446" t="s">
        <v>128</v>
      </c>
      <c r="K446" t="s">
        <v>22</v>
      </c>
      <c r="L446">
        <v>1</v>
      </c>
      <c r="M446">
        <v>1</v>
      </c>
      <c r="N446">
        <v>4</v>
      </c>
      <c r="O446">
        <v>3</v>
      </c>
      <c r="P446">
        <v>8</v>
      </c>
      <c r="Q446" t="s">
        <v>22</v>
      </c>
    </row>
    <row r="447" spans="1:17" x14ac:dyDescent="0.25">
      <c r="A447">
        <v>1364</v>
      </c>
      <c r="B447">
        <v>38</v>
      </c>
      <c r="C447" t="s">
        <v>23</v>
      </c>
      <c r="D447" t="s">
        <v>24</v>
      </c>
      <c r="E447" t="s">
        <v>25</v>
      </c>
      <c r="F447" t="s">
        <v>26</v>
      </c>
      <c r="G447" t="s">
        <v>37</v>
      </c>
      <c r="H447" t="s">
        <v>30</v>
      </c>
      <c r="I447">
        <v>17</v>
      </c>
      <c r="J447">
        <v>10892</v>
      </c>
      <c r="K447" t="s">
        <v>42</v>
      </c>
      <c r="L447">
        <v>4</v>
      </c>
      <c r="M447">
        <v>4</v>
      </c>
      <c r="N447">
        <v>0</v>
      </c>
      <c r="O447">
        <v>0</v>
      </c>
      <c r="P447">
        <v>8</v>
      </c>
      <c r="Q447" t="s">
        <v>42</v>
      </c>
    </row>
    <row r="448" spans="1:17" x14ac:dyDescent="0.25">
      <c r="A448">
        <v>1982</v>
      </c>
      <c r="B448">
        <v>50</v>
      </c>
      <c r="C448" t="s">
        <v>23</v>
      </c>
      <c r="D448" t="s">
        <v>27</v>
      </c>
      <c r="E448" t="s">
        <v>28</v>
      </c>
      <c r="F448" t="s">
        <v>36</v>
      </c>
      <c r="G448" t="s">
        <v>20</v>
      </c>
      <c r="H448" t="s">
        <v>34</v>
      </c>
      <c r="I448">
        <v>20</v>
      </c>
      <c r="J448">
        <v>13131</v>
      </c>
      <c r="K448" t="s">
        <v>22</v>
      </c>
      <c r="L448">
        <v>1</v>
      </c>
      <c r="M448">
        <v>1</v>
      </c>
      <c r="N448">
        <v>21</v>
      </c>
      <c r="O448">
        <v>7</v>
      </c>
      <c r="P448">
        <v>22</v>
      </c>
      <c r="Q448" t="s">
        <v>42</v>
      </c>
    </row>
    <row r="449" spans="1:17" x14ac:dyDescent="0.25">
      <c r="A449">
        <v>1233</v>
      </c>
      <c r="B449">
        <v>59</v>
      </c>
      <c r="C449" t="s">
        <v>23</v>
      </c>
      <c r="D449" t="s">
        <v>24</v>
      </c>
      <c r="E449" t="s">
        <v>46</v>
      </c>
      <c r="F449" t="s">
        <v>26</v>
      </c>
      <c r="G449" t="s">
        <v>20</v>
      </c>
      <c r="H449" t="s">
        <v>30</v>
      </c>
      <c r="I449">
        <v>19</v>
      </c>
      <c r="J449">
        <v>9182</v>
      </c>
      <c r="K449" t="s">
        <v>22</v>
      </c>
      <c r="L449">
        <v>2</v>
      </c>
      <c r="M449">
        <v>1</v>
      </c>
      <c r="N449">
        <v>3</v>
      </c>
      <c r="O449">
        <v>3</v>
      </c>
      <c r="P449">
        <v>27</v>
      </c>
      <c r="Q449" t="s">
        <v>22</v>
      </c>
    </row>
    <row r="450" spans="1:17" x14ac:dyDescent="0.25">
      <c r="A450">
        <v>1955</v>
      </c>
      <c r="B450">
        <v>20</v>
      </c>
      <c r="C450" t="s">
        <v>23</v>
      </c>
      <c r="D450" t="s">
        <v>27</v>
      </c>
      <c r="E450" t="s">
        <v>31</v>
      </c>
      <c r="F450" t="s">
        <v>41</v>
      </c>
      <c r="G450" t="s">
        <v>33</v>
      </c>
      <c r="H450" t="s">
        <v>30</v>
      </c>
      <c r="I450">
        <v>21</v>
      </c>
      <c r="J450">
        <v>6970</v>
      </c>
      <c r="K450" t="s">
        <v>22</v>
      </c>
      <c r="L450">
        <v>1</v>
      </c>
      <c r="M450">
        <v>1</v>
      </c>
      <c r="N450">
        <v>0</v>
      </c>
      <c r="O450">
        <v>0</v>
      </c>
      <c r="P450">
        <v>0</v>
      </c>
      <c r="Q450" t="s">
        <v>42</v>
      </c>
    </row>
    <row r="451" spans="1:17" x14ac:dyDescent="0.25">
      <c r="A451">
        <v>1548</v>
      </c>
      <c r="B451">
        <v>34</v>
      </c>
      <c r="C451" t="s">
        <v>23</v>
      </c>
      <c r="D451" t="s">
        <v>24</v>
      </c>
      <c r="E451" t="s">
        <v>46</v>
      </c>
      <c r="F451" t="s">
        <v>36</v>
      </c>
      <c r="G451" t="s">
        <v>20</v>
      </c>
      <c r="H451" t="s">
        <v>21</v>
      </c>
      <c r="I451">
        <v>21</v>
      </c>
      <c r="J451">
        <v>7918</v>
      </c>
      <c r="K451" t="s">
        <v>22</v>
      </c>
      <c r="L451">
        <v>2</v>
      </c>
      <c r="M451">
        <v>3</v>
      </c>
      <c r="N451">
        <v>1</v>
      </c>
      <c r="O451">
        <v>0</v>
      </c>
      <c r="P451">
        <v>14</v>
      </c>
      <c r="Q451" t="s">
        <v>22</v>
      </c>
    </row>
    <row r="452" spans="1:17" x14ac:dyDescent="0.25">
      <c r="A452">
        <v>1758</v>
      </c>
      <c r="B452">
        <v>53</v>
      </c>
      <c r="C452" t="s">
        <v>16</v>
      </c>
      <c r="D452" t="s">
        <v>17</v>
      </c>
      <c r="E452" t="s">
        <v>40</v>
      </c>
      <c r="F452" t="s">
        <v>26</v>
      </c>
      <c r="G452" t="s">
        <v>20</v>
      </c>
      <c r="H452" t="s">
        <v>34</v>
      </c>
      <c r="I452">
        <v>23</v>
      </c>
      <c r="J452">
        <v>12887</v>
      </c>
      <c r="K452" t="s">
        <v>22</v>
      </c>
      <c r="L452">
        <v>2</v>
      </c>
      <c r="M452">
        <v>1</v>
      </c>
      <c r="N452">
        <v>6</v>
      </c>
      <c r="O452">
        <v>0</v>
      </c>
      <c r="P452">
        <v>30</v>
      </c>
      <c r="Q452" t="s">
        <v>22</v>
      </c>
    </row>
    <row r="453" spans="1:17" x14ac:dyDescent="0.25">
      <c r="A453">
        <v>1727</v>
      </c>
      <c r="B453">
        <v>57</v>
      </c>
      <c r="C453" t="s">
        <v>23</v>
      </c>
      <c r="D453" t="s">
        <v>47</v>
      </c>
      <c r="E453" t="s">
        <v>50</v>
      </c>
      <c r="F453" t="s">
        <v>26</v>
      </c>
      <c r="G453" t="s">
        <v>20</v>
      </c>
      <c r="H453" t="s">
        <v>21</v>
      </c>
      <c r="I453">
        <v>15</v>
      </c>
      <c r="J453">
        <v>11541</v>
      </c>
      <c r="K453" t="s">
        <v>22</v>
      </c>
      <c r="L453">
        <v>3</v>
      </c>
      <c r="M453">
        <v>1</v>
      </c>
      <c r="N453">
        <v>9</v>
      </c>
      <c r="O453">
        <v>3</v>
      </c>
      <c r="P453">
        <v>19</v>
      </c>
      <c r="Q453" t="s">
        <v>22</v>
      </c>
    </row>
    <row r="454" spans="1:17" x14ac:dyDescent="0.25">
      <c r="A454">
        <v>1294</v>
      </c>
      <c r="B454">
        <v>43</v>
      </c>
      <c r="C454" t="s">
        <v>16</v>
      </c>
      <c r="D454" t="s">
        <v>17</v>
      </c>
      <c r="E454" t="s">
        <v>40</v>
      </c>
      <c r="F454" t="s">
        <v>29</v>
      </c>
      <c r="G454" t="s">
        <v>33</v>
      </c>
      <c r="H454" t="s">
        <v>30</v>
      </c>
      <c r="I454">
        <v>16</v>
      </c>
      <c r="J454">
        <v>5637</v>
      </c>
      <c r="K454" t="s">
        <v>22</v>
      </c>
      <c r="L454">
        <v>3</v>
      </c>
      <c r="M454">
        <v>1</v>
      </c>
      <c r="N454">
        <v>10</v>
      </c>
      <c r="O454">
        <v>3</v>
      </c>
      <c r="P454">
        <v>11</v>
      </c>
      <c r="Q454" t="s">
        <v>22</v>
      </c>
    </row>
    <row r="455" spans="1:17" x14ac:dyDescent="0.25">
      <c r="A455">
        <v>1692</v>
      </c>
      <c r="B455">
        <v>52</v>
      </c>
      <c r="C455" t="s">
        <v>23</v>
      </c>
      <c r="D455" t="s">
        <v>17</v>
      </c>
      <c r="E455" t="s">
        <v>35</v>
      </c>
      <c r="F455" t="s">
        <v>41</v>
      </c>
      <c r="G455" t="s">
        <v>33</v>
      </c>
      <c r="H455" t="s">
        <v>21</v>
      </c>
      <c r="I455">
        <v>4</v>
      </c>
      <c r="J455">
        <v>9703</v>
      </c>
      <c r="K455" t="s">
        <v>22</v>
      </c>
      <c r="L455">
        <v>2</v>
      </c>
      <c r="M455">
        <v>4</v>
      </c>
      <c r="N455">
        <v>9</v>
      </c>
      <c r="O455">
        <v>6</v>
      </c>
      <c r="P455">
        <v>26</v>
      </c>
      <c r="Q455" t="s">
        <v>22</v>
      </c>
    </row>
    <row r="456" spans="1:17" x14ac:dyDescent="0.25">
      <c r="A456">
        <v>1834</v>
      </c>
      <c r="B456">
        <v>31</v>
      </c>
      <c r="C456" t="s">
        <v>16</v>
      </c>
      <c r="D456" t="s">
        <v>27</v>
      </c>
      <c r="E456" t="s">
        <v>43</v>
      </c>
      <c r="F456" t="s">
        <v>32</v>
      </c>
      <c r="G456" t="s">
        <v>37</v>
      </c>
      <c r="H456" t="s">
        <v>30</v>
      </c>
      <c r="I456">
        <v>15</v>
      </c>
      <c r="J456">
        <v>7854</v>
      </c>
      <c r="K456" t="s">
        <v>22</v>
      </c>
      <c r="L456">
        <v>4</v>
      </c>
      <c r="M456">
        <v>3</v>
      </c>
      <c r="N456">
        <v>2</v>
      </c>
      <c r="O456">
        <v>2</v>
      </c>
      <c r="P456">
        <v>8</v>
      </c>
      <c r="Q456" t="s">
        <v>22</v>
      </c>
    </row>
    <row r="457" spans="1:17" x14ac:dyDescent="0.25">
      <c r="A457">
        <v>1312</v>
      </c>
      <c r="B457">
        <v>29</v>
      </c>
      <c r="C457" t="s">
        <v>16</v>
      </c>
      <c r="D457" t="s">
        <v>27</v>
      </c>
      <c r="E457" t="s">
        <v>44</v>
      </c>
      <c r="F457" t="s">
        <v>41</v>
      </c>
      <c r="G457" t="s">
        <v>37</v>
      </c>
      <c r="H457" t="s">
        <v>21</v>
      </c>
      <c r="I457">
        <v>12</v>
      </c>
      <c r="J457">
        <v>6304</v>
      </c>
      <c r="K457" t="s">
        <v>22</v>
      </c>
      <c r="L457">
        <v>1</v>
      </c>
      <c r="M457">
        <v>1</v>
      </c>
      <c r="N457">
        <v>0</v>
      </c>
      <c r="O457">
        <v>0</v>
      </c>
      <c r="P457">
        <v>5</v>
      </c>
      <c r="Q457" t="s">
        <v>22</v>
      </c>
    </row>
    <row r="458" spans="1:17" x14ac:dyDescent="0.25">
      <c r="A458">
        <v>1442</v>
      </c>
      <c r="B458">
        <v>58</v>
      </c>
      <c r="C458" t="s">
        <v>16</v>
      </c>
      <c r="D458" t="s">
        <v>17</v>
      </c>
      <c r="E458" t="s">
        <v>35</v>
      </c>
      <c r="F458" t="s">
        <v>19</v>
      </c>
      <c r="G458" t="s">
        <v>20</v>
      </c>
      <c r="H458" t="s">
        <v>21</v>
      </c>
      <c r="I458">
        <v>12</v>
      </c>
      <c r="J458">
        <v>7462</v>
      </c>
      <c r="K458" t="s">
        <v>22</v>
      </c>
      <c r="L458">
        <v>2</v>
      </c>
      <c r="M458">
        <v>4</v>
      </c>
      <c r="N458">
        <v>21</v>
      </c>
      <c r="O458">
        <v>11</v>
      </c>
      <c r="P458">
        <v>24</v>
      </c>
      <c r="Q458" t="s">
        <v>42</v>
      </c>
    </row>
    <row r="459" spans="1:17" x14ac:dyDescent="0.25">
      <c r="A459">
        <v>1967</v>
      </c>
      <c r="B459">
        <v>32</v>
      </c>
      <c r="C459" t="s">
        <v>23</v>
      </c>
      <c r="D459" t="s">
        <v>24</v>
      </c>
      <c r="E459" t="s">
        <v>25</v>
      </c>
      <c r="F459" t="s">
        <v>19</v>
      </c>
      <c r="G459" t="s">
        <v>37</v>
      </c>
      <c r="H459" t="s">
        <v>34</v>
      </c>
      <c r="I459">
        <v>16</v>
      </c>
      <c r="J459">
        <v>9159</v>
      </c>
      <c r="K459" t="s">
        <v>22</v>
      </c>
      <c r="L459">
        <v>2</v>
      </c>
      <c r="M459">
        <v>2</v>
      </c>
      <c r="N459">
        <v>12</v>
      </c>
      <c r="O459">
        <v>10</v>
      </c>
      <c r="P459">
        <v>12</v>
      </c>
      <c r="Q459" t="s">
        <v>22</v>
      </c>
    </row>
    <row r="460" spans="1:17" x14ac:dyDescent="0.25">
      <c r="A460">
        <v>1833</v>
      </c>
      <c r="B460">
        <v>54</v>
      </c>
      <c r="C460" t="s">
        <v>16</v>
      </c>
      <c r="D460" t="s">
        <v>27</v>
      </c>
      <c r="E460" t="s">
        <v>31</v>
      </c>
      <c r="F460" t="s">
        <v>38</v>
      </c>
      <c r="G460" t="s">
        <v>33</v>
      </c>
      <c r="H460" t="s">
        <v>30</v>
      </c>
      <c r="I460">
        <v>20</v>
      </c>
      <c r="J460">
        <v>12479</v>
      </c>
      <c r="K460" t="s">
        <v>22</v>
      </c>
      <c r="L460">
        <v>3</v>
      </c>
      <c r="M460">
        <v>3</v>
      </c>
      <c r="N460">
        <v>13</v>
      </c>
      <c r="O460">
        <v>0</v>
      </c>
      <c r="P460">
        <v>29</v>
      </c>
      <c r="Q460" t="s">
        <v>22</v>
      </c>
    </row>
    <row r="461" spans="1:17" x14ac:dyDescent="0.25">
      <c r="A461">
        <v>1592</v>
      </c>
      <c r="B461">
        <v>39</v>
      </c>
      <c r="C461" t="s">
        <v>16</v>
      </c>
      <c r="D461" t="s">
        <v>94</v>
      </c>
      <c r="E461" t="s">
        <v>40</v>
      </c>
      <c r="F461" t="s">
        <v>32</v>
      </c>
      <c r="G461" t="s">
        <v>20</v>
      </c>
      <c r="H461" t="s">
        <v>21</v>
      </c>
      <c r="I461">
        <v>12</v>
      </c>
      <c r="J461">
        <v>9029</v>
      </c>
      <c r="K461" t="s">
        <v>22</v>
      </c>
      <c r="L461">
        <v>4</v>
      </c>
      <c r="M461">
        <v>1</v>
      </c>
      <c r="N461">
        <v>10</v>
      </c>
      <c r="O461">
        <v>3</v>
      </c>
      <c r="P461">
        <v>13</v>
      </c>
      <c r="Q461" t="s">
        <v>22</v>
      </c>
    </row>
    <row r="462" spans="1:17" x14ac:dyDescent="0.25">
      <c r="A462">
        <v>1637</v>
      </c>
      <c r="B462">
        <v>52</v>
      </c>
      <c r="C462" t="s">
        <v>16</v>
      </c>
      <c r="D462" t="s">
        <v>24</v>
      </c>
      <c r="E462" t="s">
        <v>25</v>
      </c>
      <c r="F462" t="s">
        <v>19</v>
      </c>
      <c r="G462" t="s">
        <v>33</v>
      </c>
      <c r="H462" t="s">
        <v>34</v>
      </c>
      <c r="I462">
        <v>15</v>
      </c>
      <c r="J462">
        <v>13805</v>
      </c>
      <c r="K462" t="s">
        <v>42</v>
      </c>
      <c r="L462">
        <v>1</v>
      </c>
      <c r="M462">
        <v>3</v>
      </c>
      <c r="N462">
        <v>14</v>
      </c>
      <c r="O462">
        <v>14</v>
      </c>
      <c r="P462">
        <v>28</v>
      </c>
      <c r="Q462" t="s">
        <v>42</v>
      </c>
    </row>
    <row r="463" spans="1:17" x14ac:dyDescent="0.25">
      <c r="A463">
        <v>1241</v>
      </c>
      <c r="B463">
        <v>37</v>
      </c>
      <c r="C463" t="s">
        <v>16</v>
      </c>
      <c r="D463" t="s">
        <v>47</v>
      </c>
      <c r="E463" t="s">
        <v>53</v>
      </c>
      <c r="F463" t="s">
        <v>41</v>
      </c>
      <c r="G463" t="s">
        <v>37</v>
      </c>
      <c r="H463" t="s">
        <v>34</v>
      </c>
      <c r="I463">
        <v>17</v>
      </c>
      <c r="J463">
        <v>11466</v>
      </c>
      <c r="K463" t="s">
        <v>22</v>
      </c>
      <c r="L463">
        <v>2</v>
      </c>
      <c r="M463">
        <v>4</v>
      </c>
      <c r="N463">
        <v>5</v>
      </c>
      <c r="O463">
        <v>3</v>
      </c>
      <c r="P463">
        <v>8</v>
      </c>
      <c r="Q463" t="s">
        <v>22</v>
      </c>
    </row>
    <row r="464" spans="1:17" x14ac:dyDescent="0.25">
      <c r="A464">
        <v>1570</v>
      </c>
      <c r="B464">
        <v>51</v>
      </c>
      <c r="C464" t="s">
        <v>16</v>
      </c>
      <c r="D464" t="s">
        <v>24</v>
      </c>
      <c r="E464" t="s">
        <v>46</v>
      </c>
      <c r="F464" t="s">
        <v>19</v>
      </c>
      <c r="G464" t="s">
        <v>37</v>
      </c>
      <c r="H464" t="s">
        <v>34</v>
      </c>
      <c r="I464">
        <v>23</v>
      </c>
      <c r="J464" t="s">
        <v>129</v>
      </c>
      <c r="K464" t="s">
        <v>22</v>
      </c>
      <c r="L464">
        <v>4</v>
      </c>
      <c r="M464">
        <v>4</v>
      </c>
      <c r="N464">
        <v>10</v>
      </c>
      <c r="O464">
        <v>3</v>
      </c>
      <c r="P464">
        <v>30</v>
      </c>
      <c r="Q464" t="s">
        <v>22</v>
      </c>
    </row>
    <row r="465" spans="1:17" x14ac:dyDescent="0.25">
      <c r="A465">
        <v>1840</v>
      </c>
      <c r="B465">
        <v>44</v>
      </c>
      <c r="C465" t="s">
        <v>16</v>
      </c>
      <c r="D465" t="s">
        <v>24</v>
      </c>
      <c r="E465" t="s">
        <v>52</v>
      </c>
      <c r="F465" t="s">
        <v>19</v>
      </c>
      <c r="G465" t="s">
        <v>20</v>
      </c>
      <c r="H465" t="s">
        <v>21</v>
      </c>
      <c r="I465">
        <v>17</v>
      </c>
      <c r="J465">
        <v>9378</v>
      </c>
      <c r="K465" t="s">
        <v>42</v>
      </c>
      <c r="L465">
        <v>3</v>
      </c>
      <c r="M465">
        <v>1</v>
      </c>
      <c r="N465">
        <v>18</v>
      </c>
      <c r="O465">
        <v>2</v>
      </c>
      <c r="P465">
        <v>19</v>
      </c>
      <c r="Q465" t="s">
        <v>22</v>
      </c>
    </row>
    <row r="466" spans="1:17" x14ac:dyDescent="0.25">
      <c r="A466">
        <v>1888</v>
      </c>
      <c r="B466">
        <v>28</v>
      </c>
      <c r="C466" t="s">
        <v>23</v>
      </c>
      <c r="D466" t="s">
        <v>54</v>
      </c>
      <c r="E466" t="s">
        <v>50</v>
      </c>
      <c r="F466" t="s">
        <v>38</v>
      </c>
      <c r="G466" t="s">
        <v>33</v>
      </c>
      <c r="H466" t="s">
        <v>34</v>
      </c>
      <c r="I466">
        <v>6</v>
      </c>
      <c r="J466">
        <v>7277</v>
      </c>
      <c r="K466" t="s">
        <v>22</v>
      </c>
      <c r="L466">
        <v>4</v>
      </c>
      <c r="M466">
        <v>1</v>
      </c>
      <c r="N466">
        <v>0</v>
      </c>
      <c r="O466">
        <v>0</v>
      </c>
      <c r="P466">
        <v>1</v>
      </c>
      <c r="Q466" t="s">
        <v>42</v>
      </c>
    </row>
    <row r="467" spans="1:17" x14ac:dyDescent="0.25">
      <c r="A467">
        <v>1960</v>
      </c>
      <c r="B467">
        <v>48</v>
      </c>
      <c r="C467" t="s">
        <v>16</v>
      </c>
      <c r="D467" t="s">
        <v>24</v>
      </c>
      <c r="E467" t="s">
        <v>25</v>
      </c>
      <c r="F467" t="s">
        <v>29</v>
      </c>
      <c r="G467" t="s">
        <v>33</v>
      </c>
      <c r="H467" t="s">
        <v>34</v>
      </c>
      <c r="I467">
        <v>24</v>
      </c>
      <c r="J467">
        <v>14328</v>
      </c>
      <c r="K467" t="s">
        <v>22</v>
      </c>
      <c r="L467">
        <v>4</v>
      </c>
      <c r="M467">
        <v>3</v>
      </c>
      <c r="N467">
        <v>11</v>
      </c>
      <c r="O467">
        <v>7</v>
      </c>
      <c r="P467">
        <v>18</v>
      </c>
      <c r="Q467" t="s">
        <v>22</v>
      </c>
    </row>
    <row r="468" spans="1:17" x14ac:dyDescent="0.25">
      <c r="A468">
        <v>1030</v>
      </c>
      <c r="B468">
        <v>46</v>
      </c>
      <c r="C468" t="s">
        <v>16</v>
      </c>
      <c r="D468" t="s">
        <v>24</v>
      </c>
      <c r="E468" t="s">
        <v>52</v>
      </c>
      <c r="F468" t="s">
        <v>29</v>
      </c>
      <c r="G468" t="s">
        <v>37</v>
      </c>
      <c r="H468" t="s">
        <v>30</v>
      </c>
      <c r="I468">
        <v>7</v>
      </c>
      <c r="J468">
        <v>7843</v>
      </c>
      <c r="K468" t="s">
        <v>22</v>
      </c>
      <c r="L468">
        <v>4</v>
      </c>
      <c r="M468">
        <v>1</v>
      </c>
      <c r="N468">
        <v>5</v>
      </c>
      <c r="O468">
        <v>4</v>
      </c>
      <c r="P468">
        <v>19</v>
      </c>
      <c r="Q468" t="s">
        <v>22</v>
      </c>
    </row>
    <row r="469" spans="1:17" x14ac:dyDescent="0.25">
      <c r="A469">
        <v>1511</v>
      </c>
      <c r="B469">
        <v>58</v>
      </c>
      <c r="C469" t="s">
        <v>16</v>
      </c>
      <c r="D469" t="s">
        <v>24</v>
      </c>
      <c r="E469" t="s">
        <v>25</v>
      </c>
      <c r="F469" t="s">
        <v>19</v>
      </c>
      <c r="G469" t="s">
        <v>20</v>
      </c>
      <c r="H469" t="s">
        <v>34</v>
      </c>
      <c r="I469">
        <v>22</v>
      </c>
      <c r="J469">
        <v>14173</v>
      </c>
      <c r="K469" t="s">
        <v>22</v>
      </c>
      <c r="L469">
        <v>4</v>
      </c>
      <c r="M469">
        <v>4</v>
      </c>
      <c r="N469">
        <v>14</v>
      </c>
      <c r="O469">
        <v>2</v>
      </c>
      <c r="P469">
        <v>38</v>
      </c>
      <c r="Q469" t="s">
        <v>22</v>
      </c>
    </row>
    <row r="470" spans="1:17" x14ac:dyDescent="0.25">
      <c r="A470">
        <v>1717</v>
      </c>
      <c r="B470">
        <v>27</v>
      </c>
      <c r="C470" t="s">
        <v>23</v>
      </c>
      <c r="D470" t="s">
        <v>47</v>
      </c>
      <c r="E470" t="s">
        <v>53</v>
      </c>
      <c r="F470" t="s">
        <v>36</v>
      </c>
      <c r="G470" t="s">
        <v>20</v>
      </c>
      <c r="H470" t="s">
        <v>21</v>
      </c>
      <c r="I470">
        <v>4</v>
      </c>
      <c r="J470">
        <v>12901</v>
      </c>
      <c r="K470" t="s">
        <v>22</v>
      </c>
      <c r="L470">
        <v>4</v>
      </c>
      <c r="M470">
        <v>4</v>
      </c>
      <c r="N470">
        <v>1</v>
      </c>
      <c r="O470">
        <v>1</v>
      </c>
      <c r="P470">
        <v>3</v>
      </c>
      <c r="Q470" t="s">
        <v>22</v>
      </c>
    </row>
    <row r="471" spans="1:17" x14ac:dyDescent="0.25">
      <c r="A471">
        <v>1861</v>
      </c>
      <c r="B471">
        <v>52</v>
      </c>
      <c r="C471" t="s">
        <v>107</v>
      </c>
      <c r="D471" t="s">
        <v>24</v>
      </c>
      <c r="E471" t="s">
        <v>45</v>
      </c>
      <c r="F471" t="s">
        <v>41</v>
      </c>
      <c r="G471" t="s">
        <v>33</v>
      </c>
      <c r="H471" t="s">
        <v>34</v>
      </c>
      <c r="I471">
        <v>17</v>
      </c>
      <c r="J471">
        <v>12250</v>
      </c>
      <c r="K471" t="s">
        <v>22</v>
      </c>
      <c r="L471">
        <v>3</v>
      </c>
      <c r="M471">
        <v>3</v>
      </c>
      <c r="N471">
        <v>8</v>
      </c>
      <c r="O471">
        <v>8</v>
      </c>
      <c r="P471">
        <v>26</v>
      </c>
      <c r="Q471" t="s">
        <v>22</v>
      </c>
    </row>
    <row r="472" spans="1:17" x14ac:dyDescent="0.25">
      <c r="A472">
        <v>1668</v>
      </c>
      <c r="B472">
        <v>29</v>
      </c>
      <c r="C472" t="s">
        <v>23</v>
      </c>
      <c r="D472" t="s">
        <v>47</v>
      </c>
      <c r="E472" t="s">
        <v>53</v>
      </c>
      <c r="F472" t="s">
        <v>36</v>
      </c>
      <c r="G472" t="s">
        <v>33</v>
      </c>
      <c r="H472" t="s">
        <v>21</v>
      </c>
      <c r="I472">
        <v>20</v>
      </c>
      <c r="J472">
        <v>10345</v>
      </c>
      <c r="K472" t="s">
        <v>22</v>
      </c>
      <c r="L472">
        <v>1</v>
      </c>
      <c r="M472">
        <v>1</v>
      </c>
      <c r="N472">
        <v>3</v>
      </c>
      <c r="O472">
        <v>2</v>
      </c>
      <c r="P472">
        <v>4</v>
      </c>
      <c r="Q472" t="s">
        <v>22</v>
      </c>
    </row>
    <row r="473" spans="1:17" x14ac:dyDescent="0.25">
      <c r="A473">
        <v>1852</v>
      </c>
      <c r="B473">
        <v>28</v>
      </c>
      <c r="C473" t="s">
        <v>16</v>
      </c>
      <c r="D473" t="s">
        <v>24</v>
      </c>
      <c r="E473" t="s">
        <v>46</v>
      </c>
      <c r="F473" t="s">
        <v>19</v>
      </c>
      <c r="G473" t="s">
        <v>20</v>
      </c>
      <c r="H473" t="s">
        <v>30</v>
      </c>
      <c r="I473">
        <v>6</v>
      </c>
      <c r="J473">
        <v>7605</v>
      </c>
      <c r="K473" t="s">
        <v>22</v>
      </c>
      <c r="L473">
        <v>3</v>
      </c>
      <c r="M473">
        <v>3</v>
      </c>
      <c r="N473">
        <v>1</v>
      </c>
      <c r="O473">
        <v>1</v>
      </c>
      <c r="P473">
        <v>6</v>
      </c>
      <c r="Q473" t="s">
        <v>22</v>
      </c>
    </row>
    <row r="474" spans="1:17" x14ac:dyDescent="0.25">
      <c r="A474">
        <v>1263</v>
      </c>
      <c r="B474">
        <v>22</v>
      </c>
      <c r="C474" t="s">
        <v>23</v>
      </c>
      <c r="D474" t="s">
        <v>17</v>
      </c>
      <c r="E474" t="s">
        <v>35</v>
      </c>
      <c r="F474" t="s">
        <v>19</v>
      </c>
      <c r="G474" t="s">
        <v>33</v>
      </c>
      <c r="H474" t="s">
        <v>34</v>
      </c>
      <c r="I474">
        <v>15</v>
      </c>
      <c r="J474">
        <v>5190</v>
      </c>
      <c r="K474" t="s">
        <v>22</v>
      </c>
      <c r="L474">
        <v>3</v>
      </c>
      <c r="M474">
        <v>2</v>
      </c>
      <c r="N474">
        <v>0</v>
      </c>
      <c r="O474">
        <v>0</v>
      </c>
      <c r="P474">
        <v>0</v>
      </c>
      <c r="Q474" t="s">
        <v>22</v>
      </c>
    </row>
    <row r="475" spans="1:17" x14ac:dyDescent="0.25">
      <c r="A475">
        <v>1140</v>
      </c>
      <c r="B475">
        <v>50</v>
      </c>
      <c r="C475" t="s">
        <v>23</v>
      </c>
      <c r="D475" t="s">
        <v>17</v>
      </c>
      <c r="E475" t="s">
        <v>40</v>
      </c>
      <c r="F475" t="s">
        <v>29</v>
      </c>
      <c r="G475" t="s">
        <v>33</v>
      </c>
      <c r="H475" t="s">
        <v>21</v>
      </c>
      <c r="I475">
        <v>10</v>
      </c>
      <c r="J475">
        <v>10466</v>
      </c>
      <c r="K475" t="s">
        <v>22</v>
      </c>
      <c r="L475">
        <v>4</v>
      </c>
      <c r="M475">
        <v>3</v>
      </c>
      <c r="N475">
        <v>8</v>
      </c>
      <c r="O475">
        <v>6</v>
      </c>
      <c r="P475">
        <v>24</v>
      </c>
      <c r="Q475" t="s">
        <v>22</v>
      </c>
    </row>
    <row r="476" spans="1:17" x14ac:dyDescent="0.25">
      <c r="A476">
        <v>1696</v>
      </c>
      <c r="B476">
        <v>30</v>
      </c>
      <c r="C476" t="s">
        <v>16</v>
      </c>
      <c r="D476" t="s">
        <v>47</v>
      </c>
      <c r="E476" t="s">
        <v>53</v>
      </c>
      <c r="F476" t="s">
        <v>36</v>
      </c>
      <c r="G476" t="s">
        <v>20</v>
      </c>
      <c r="H476" t="s">
        <v>34</v>
      </c>
      <c r="I476">
        <v>7</v>
      </c>
      <c r="J476">
        <v>10185</v>
      </c>
      <c r="K476" t="s">
        <v>22</v>
      </c>
      <c r="L476">
        <v>3</v>
      </c>
      <c r="M476">
        <v>2</v>
      </c>
      <c r="N476">
        <v>1</v>
      </c>
      <c r="O476">
        <v>0</v>
      </c>
      <c r="P476">
        <v>3</v>
      </c>
      <c r="Q476" t="s">
        <v>42</v>
      </c>
    </row>
    <row r="477" spans="1:17" x14ac:dyDescent="0.25">
      <c r="A477">
        <v>1088</v>
      </c>
      <c r="B477">
        <v>38</v>
      </c>
      <c r="C477" t="s">
        <v>23</v>
      </c>
      <c r="D477" t="s">
        <v>27</v>
      </c>
      <c r="E477" t="s">
        <v>44</v>
      </c>
      <c r="F477" t="s">
        <v>26</v>
      </c>
      <c r="G477" t="s">
        <v>37</v>
      </c>
      <c r="H477" t="s">
        <v>21</v>
      </c>
      <c r="I477">
        <v>8</v>
      </c>
      <c r="J477">
        <v>8593</v>
      </c>
      <c r="K477" t="s">
        <v>22</v>
      </c>
      <c r="L477">
        <v>2</v>
      </c>
      <c r="M477">
        <v>4</v>
      </c>
      <c r="N477">
        <v>11</v>
      </c>
      <c r="O477">
        <v>6</v>
      </c>
      <c r="P477">
        <v>13</v>
      </c>
      <c r="Q477" t="s">
        <v>22</v>
      </c>
    </row>
    <row r="478" spans="1:17" x14ac:dyDescent="0.25">
      <c r="A478">
        <v>1697</v>
      </c>
      <c r="B478">
        <v>21</v>
      </c>
      <c r="C478" t="s">
        <v>107</v>
      </c>
      <c r="D478" t="s">
        <v>38</v>
      </c>
      <c r="E478" t="s">
        <v>39</v>
      </c>
      <c r="F478" t="s">
        <v>38</v>
      </c>
      <c r="G478" t="s">
        <v>37</v>
      </c>
      <c r="H478" t="s">
        <v>21</v>
      </c>
      <c r="I478">
        <v>5</v>
      </c>
      <c r="J478">
        <v>3614</v>
      </c>
      <c r="K478" t="s">
        <v>22</v>
      </c>
      <c r="L478">
        <v>4</v>
      </c>
      <c r="M478">
        <v>1</v>
      </c>
      <c r="N478">
        <v>0</v>
      </c>
      <c r="O478">
        <v>0</v>
      </c>
      <c r="P478">
        <v>0</v>
      </c>
      <c r="Q478" t="s">
        <v>22</v>
      </c>
    </row>
    <row r="479" spans="1:17" x14ac:dyDescent="0.25">
      <c r="A479">
        <v>1167</v>
      </c>
      <c r="B479">
        <v>28</v>
      </c>
      <c r="C479" t="s">
        <v>16</v>
      </c>
      <c r="D479" t="s">
        <v>27</v>
      </c>
      <c r="E479" t="s">
        <v>31</v>
      </c>
      <c r="F479" t="s">
        <v>29</v>
      </c>
      <c r="G479" t="s">
        <v>20</v>
      </c>
      <c r="H479" t="s">
        <v>21</v>
      </c>
      <c r="I479">
        <v>18</v>
      </c>
      <c r="J479">
        <v>8315</v>
      </c>
      <c r="K479" t="s">
        <v>42</v>
      </c>
      <c r="L479">
        <v>1</v>
      </c>
      <c r="M479">
        <v>1</v>
      </c>
      <c r="N479">
        <v>8</v>
      </c>
      <c r="O479">
        <v>8</v>
      </c>
      <c r="P479">
        <v>8</v>
      </c>
      <c r="Q479" t="s">
        <v>42</v>
      </c>
    </row>
    <row r="480" spans="1:17" x14ac:dyDescent="0.25">
      <c r="A480">
        <v>1005</v>
      </c>
      <c r="B480">
        <v>24</v>
      </c>
      <c r="C480" t="s">
        <v>23</v>
      </c>
      <c r="D480" t="s">
        <v>17</v>
      </c>
      <c r="E480" t="s">
        <v>18</v>
      </c>
      <c r="F480" t="s">
        <v>32</v>
      </c>
      <c r="G480" t="s">
        <v>37</v>
      </c>
      <c r="H480" t="s">
        <v>21</v>
      </c>
      <c r="I480">
        <v>21</v>
      </c>
      <c r="J480">
        <v>8156</v>
      </c>
      <c r="K480" t="s">
        <v>22</v>
      </c>
      <c r="L480">
        <v>2</v>
      </c>
      <c r="M480">
        <v>4</v>
      </c>
      <c r="N480">
        <v>0</v>
      </c>
      <c r="O480">
        <v>0</v>
      </c>
      <c r="P480">
        <v>0</v>
      </c>
      <c r="Q480" t="s">
        <v>22</v>
      </c>
    </row>
    <row r="481" spans="1:17" x14ac:dyDescent="0.25">
      <c r="A481">
        <v>1713</v>
      </c>
      <c r="B481">
        <v>57</v>
      </c>
      <c r="C481" t="s">
        <v>105</v>
      </c>
      <c r="D481" t="s">
        <v>27</v>
      </c>
      <c r="E481" t="s">
        <v>43</v>
      </c>
      <c r="F481" t="s">
        <v>38</v>
      </c>
      <c r="G481" t="s">
        <v>20</v>
      </c>
      <c r="H481" t="s">
        <v>21</v>
      </c>
      <c r="I481">
        <v>8</v>
      </c>
      <c r="J481">
        <v>11677</v>
      </c>
      <c r="K481" t="s">
        <v>22</v>
      </c>
      <c r="L481">
        <v>4</v>
      </c>
      <c r="M481">
        <v>1</v>
      </c>
      <c r="N481">
        <v>4</v>
      </c>
      <c r="O481">
        <v>4</v>
      </c>
      <c r="P481">
        <v>30</v>
      </c>
      <c r="Q481" t="s">
        <v>22</v>
      </c>
    </row>
    <row r="482" spans="1:17" x14ac:dyDescent="0.25">
      <c r="A482">
        <v>1685</v>
      </c>
      <c r="B482">
        <v>24</v>
      </c>
      <c r="C482" t="s">
        <v>16</v>
      </c>
      <c r="D482" t="s">
        <v>17</v>
      </c>
      <c r="E482" t="s">
        <v>40</v>
      </c>
      <c r="F482" t="s">
        <v>36</v>
      </c>
      <c r="G482" t="s">
        <v>33</v>
      </c>
      <c r="H482" t="s">
        <v>21</v>
      </c>
      <c r="I482">
        <v>9</v>
      </c>
      <c r="J482">
        <v>5771</v>
      </c>
      <c r="K482" t="s">
        <v>22</v>
      </c>
      <c r="L482">
        <v>4</v>
      </c>
      <c r="M482">
        <v>2</v>
      </c>
      <c r="N482">
        <v>0</v>
      </c>
      <c r="O482">
        <v>0</v>
      </c>
      <c r="P482">
        <v>0</v>
      </c>
      <c r="Q482" t="s">
        <v>42</v>
      </c>
    </row>
    <row r="483" spans="1:17" x14ac:dyDescent="0.25">
      <c r="A483">
        <v>1096</v>
      </c>
      <c r="B483">
        <v>43</v>
      </c>
      <c r="C483" t="s">
        <v>16</v>
      </c>
      <c r="D483" t="s">
        <v>24</v>
      </c>
      <c r="E483" t="s">
        <v>52</v>
      </c>
      <c r="F483" t="s">
        <v>41</v>
      </c>
      <c r="G483" t="s">
        <v>20</v>
      </c>
      <c r="H483" t="s">
        <v>21</v>
      </c>
      <c r="I483">
        <v>4</v>
      </c>
      <c r="J483">
        <v>9298</v>
      </c>
      <c r="K483" t="s">
        <v>42</v>
      </c>
      <c r="L483">
        <v>1</v>
      </c>
      <c r="M483">
        <v>3</v>
      </c>
      <c r="N483">
        <v>13</v>
      </c>
      <c r="O483">
        <v>12</v>
      </c>
      <c r="P483">
        <v>16</v>
      </c>
      <c r="Q483" t="s">
        <v>22</v>
      </c>
    </row>
    <row r="484" spans="1:17" x14ac:dyDescent="0.25">
      <c r="A484">
        <v>1478</v>
      </c>
      <c r="B484">
        <v>47</v>
      </c>
      <c r="C484" t="s">
        <v>16</v>
      </c>
      <c r="D484" t="s">
        <v>27</v>
      </c>
      <c r="E484" t="s">
        <v>43</v>
      </c>
      <c r="F484" t="s">
        <v>19</v>
      </c>
      <c r="G484" t="s">
        <v>37</v>
      </c>
      <c r="H484" t="s">
        <v>34</v>
      </c>
      <c r="I484">
        <v>2</v>
      </c>
      <c r="J484">
        <v>10892</v>
      </c>
      <c r="K484" t="s">
        <v>22</v>
      </c>
      <c r="L484">
        <v>4</v>
      </c>
      <c r="M484">
        <v>3</v>
      </c>
      <c r="N484">
        <v>6</v>
      </c>
      <c r="O484">
        <v>2</v>
      </c>
      <c r="P484">
        <v>23</v>
      </c>
      <c r="Q484" t="s">
        <v>22</v>
      </c>
    </row>
    <row r="485" spans="1:17" x14ac:dyDescent="0.25">
      <c r="A485">
        <v>1494</v>
      </c>
      <c r="B485">
        <v>49</v>
      </c>
      <c r="C485" t="s">
        <v>16</v>
      </c>
      <c r="D485" t="s">
        <v>24</v>
      </c>
      <c r="E485" t="s">
        <v>45</v>
      </c>
      <c r="F485" t="s">
        <v>38</v>
      </c>
      <c r="G485" t="s">
        <v>37</v>
      </c>
      <c r="H485" t="s">
        <v>21</v>
      </c>
      <c r="I485">
        <v>6</v>
      </c>
      <c r="J485" t="s">
        <v>130</v>
      </c>
      <c r="K485" t="s">
        <v>22</v>
      </c>
      <c r="L485">
        <v>1</v>
      </c>
      <c r="M485">
        <v>2</v>
      </c>
      <c r="N485">
        <v>4</v>
      </c>
      <c r="O485">
        <v>0</v>
      </c>
      <c r="P485">
        <v>15</v>
      </c>
      <c r="Q485" t="s">
        <v>22</v>
      </c>
    </row>
    <row r="486" spans="1:17" x14ac:dyDescent="0.25">
      <c r="A486">
        <v>1079</v>
      </c>
      <c r="B486">
        <v>23</v>
      </c>
      <c r="C486" t="s">
        <v>16</v>
      </c>
      <c r="D486" t="s">
        <v>24</v>
      </c>
      <c r="E486" t="s">
        <v>46</v>
      </c>
      <c r="F486" t="s">
        <v>36</v>
      </c>
      <c r="G486" t="s">
        <v>33</v>
      </c>
      <c r="H486" t="s">
        <v>21</v>
      </c>
      <c r="I486">
        <v>11</v>
      </c>
      <c r="J486">
        <v>6115</v>
      </c>
      <c r="K486" t="s">
        <v>22</v>
      </c>
      <c r="L486">
        <v>4</v>
      </c>
      <c r="M486">
        <v>1</v>
      </c>
      <c r="N486">
        <v>3</v>
      </c>
      <c r="O486">
        <v>0</v>
      </c>
      <c r="P486">
        <v>3</v>
      </c>
      <c r="Q486" t="s">
        <v>22</v>
      </c>
    </row>
    <row r="487" spans="1:17" x14ac:dyDescent="0.25">
      <c r="A487">
        <v>1495</v>
      </c>
      <c r="B487">
        <v>57</v>
      </c>
      <c r="C487" t="s">
        <v>23</v>
      </c>
      <c r="D487" t="s">
        <v>24</v>
      </c>
      <c r="E487" t="s">
        <v>52</v>
      </c>
      <c r="F487" t="s">
        <v>19</v>
      </c>
      <c r="G487" t="s">
        <v>33</v>
      </c>
      <c r="H487" t="s">
        <v>21</v>
      </c>
      <c r="I487">
        <v>16</v>
      </c>
      <c r="J487">
        <v>11538</v>
      </c>
      <c r="K487" t="s">
        <v>42</v>
      </c>
      <c r="L487">
        <v>4</v>
      </c>
      <c r="M487">
        <v>1</v>
      </c>
      <c r="N487">
        <v>24</v>
      </c>
      <c r="O487">
        <v>18</v>
      </c>
      <c r="P487">
        <v>33</v>
      </c>
      <c r="Q487" t="s">
        <v>22</v>
      </c>
    </row>
    <row r="488" spans="1:17" x14ac:dyDescent="0.25">
      <c r="A488">
        <v>1895</v>
      </c>
      <c r="B488">
        <v>39</v>
      </c>
      <c r="C488" t="s">
        <v>16</v>
      </c>
      <c r="D488" t="s">
        <v>17</v>
      </c>
      <c r="E488" t="s">
        <v>18</v>
      </c>
      <c r="F488" t="s">
        <v>26</v>
      </c>
      <c r="G488" t="s">
        <v>33</v>
      </c>
      <c r="H488" t="s">
        <v>21</v>
      </c>
      <c r="I488">
        <v>6</v>
      </c>
      <c r="J488">
        <v>13960</v>
      </c>
      <c r="K488" t="s">
        <v>22</v>
      </c>
      <c r="L488">
        <v>2</v>
      </c>
      <c r="M488">
        <v>2</v>
      </c>
      <c r="N488">
        <v>2</v>
      </c>
      <c r="O488">
        <v>0</v>
      </c>
      <c r="P488">
        <v>17</v>
      </c>
      <c r="Q488" t="s">
        <v>22</v>
      </c>
    </row>
    <row r="489" spans="1:17" x14ac:dyDescent="0.25">
      <c r="A489">
        <v>1189</v>
      </c>
      <c r="B489">
        <v>38</v>
      </c>
      <c r="C489" t="s">
        <v>16</v>
      </c>
      <c r="D489" t="s">
        <v>24</v>
      </c>
      <c r="E489" t="s">
        <v>25</v>
      </c>
      <c r="F489" t="s">
        <v>36</v>
      </c>
      <c r="G489" t="s">
        <v>33</v>
      </c>
      <c r="H489" t="s">
        <v>34</v>
      </c>
      <c r="I489">
        <v>26</v>
      </c>
      <c r="J489">
        <v>12466</v>
      </c>
      <c r="K489" t="s">
        <v>42</v>
      </c>
      <c r="L489">
        <v>1</v>
      </c>
      <c r="M489">
        <v>1</v>
      </c>
      <c r="N489">
        <v>9</v>
      </c>
      <c r="O489">
        <v>7</v>
      </c>
      <c r="P489">
        <v>10</v>
      </c>
      <c r="Q489" t="s">
        <v>22</v>
      </c>
    </row>
    <row r="490" spans="1:17" x14ac:dyDescent="0.25">
      <c r="A490">
        <v>1603</v>
      </c>
      <c r="B490">
        <v>57</v>
      </c>
      <c r="C490" t="s">
        <v>23</v>
      </c>
      <c r="D490" t="s">
        <v>17</v>
      </c>
      <c r="E490" t="s">
        <v>40</v>
      </c>
      <c r="F490" t="s">
        <v>29</v>
      </c>
      <c r="G490" t="s">
        <v>20</v>
      </c>
      <c r="H490" t="s">
        <v>21</v>
      </c>
      <c r="I490">
        <v>16</v>
      </c>
      <c r="J490">
        <v>10742</v>
      </c>
      <c r="K490" t="s">
        <v>22</v>
      </c>
      <c r="L490">
        <v>4</v>
      </c>
      <c r="M490">
        <v>3</v>
      </c>
      <c r="N490">
        <v>6</v>
      </c>
      <c r="O490">
        <v>4</v>
      </c>
      <c r="P490">
        <v>33</v>
      </c>
      <c r="Q490" t="s">
        <v>88</v>
      </c>
    </row>
    <row r="491" spans="1:17" x14ac:dyDescent="0.25">
      <c r="A491">
        <v>1732</v>
      </c>
      <c r="B491">
        <v>55</v>
      </c>
      <c r="C491" t="s">
        <v>16</v>
      </c>
      <c r="D491" t="s">
        <v>17</v>
      </c>
      <c r="E491" t="s">
        <v>35</v>
      </c>
      <c r="G491" t="s">
        <v>37</v>
      </c>
      <c r="H491" t="s">
        <v>21</v>
      </c>
      <c r="I491">
        <v>27</v>
      </c>
      <c r="J491">
        <v>12094</v>
      </c>
      <c r="K491" t="s">
        <v>22</v>
      </c>
      <c r="L491">
        <v>2</v>
      </c>
      <c r="M491">
        <v>4</v>
      </c>
      <c r="N491">
        <v>9</v>
      </c>
      <c r="O491">
        <v>9</v>
      </c>
      <c r="P491">
        <v>32</v>
      </c>
      <c r="Q491" t="s">
        <v>22</v>
      </c>
    </row>
    <row r="492" spans="1:17" x14ac:dyDescent="0.25">
      <c r="A492">
        <v>1573</v>
      </c>
      <c r="B492">
        <v>53</v>
      </c>
      <c r="C492" t="s">
        <v>23</v>
      </c>
      <c r="D492" t="s">
        <v>17</v>
      </c>
      <c r="E492" t="s">
        <v>18</v>
      </c>
      <c r="F492" t="s">
        <v>41</v>
      </c>
      <c r="G492" t="s">
        <v>20</v>
      </c>
      <c r="H492" t="s">
        <v>30</v>
      </c>
      <c r="I492">
        <v>4</v>
      </c>
      <c r="J492">
        <v>14305</v>
      </c>
      <c r="K492" t="s">
        <v>22</v>
      </c>
      <c r="L492">
        <v>3</v>
      </c>
      <c r="M492">
        <v>4</v>
      </c>
      <c r="N492">
        <v>16</v>
      </c>
      <c r="O492">
        <v>0</v>
      </c>
      <c r="P492">
        <v>30</v>
      </c>
      <c r="Q492" t="s">
        <v>22</v>
      </c>
    </row>
    <row r="493" spans="1:17" x14ac:dyDescent="0.25">
      <c r="A493">
        <v>1565</v>
      </c>
      <c r="B493">
        <v>43</v>
      </c>
      <c r="C493" t="s">
        <v>23</v>
      </c>
      <c r="D493" t="s">
        <v>24</v>
      </c>
      <c r="E493" t="s">
        <v>45</v>
      </c>
      <c r="F493" t="s">
        <v>36</v>
      </c>
      <c r="G493" t="s">
        <v>20</v>
      </c>
      <c r="H493" t="s">
        <v>30</v>
      </c>
      <c r="I493">
        <v>3</v>
      </c>
      <c r="J493">
        <v>8048</v>
      </c>
      <c r="K493" t="s">
        <v>42</v>
      </c>
      <c r="L493">
        <v>4</v>
      </c>
      <c r="M493">
        <v>2</v>
      </c>
      <c r="N493">
        <v>12</v>
      </c>
      <c r="O493">
        <v>0</v>
      </c>
      <c r="P493">
        <v>20</v>
      </c>
      <c r="Q493" t="s">
        <v>22</v>
      </c>
    </row>
    <row r="494" spans="1:17" x14ac:dyDescent="0.25">
      <c r="A494">
        <v>1064</v>
      </c>
      <c r="B494">
        <v>60</v>
      </c>
      <c r="C494" t="s">
        <v>16</v>
      </c>
      <c r="D494" t="s">
        <v>24</v>
      </c>
      <c r="E494" t="s">
        <v>46</v>
      </c>
      <c r="F494" t="s">
        <v>19</v>
      </c>
      <c r="G494" t="s">
        <v>20</v>
      </c>
      <c r="H494" t="s">
        <v>34</v>
      </c>
      <c r="I494">
        <v>2</v>
      </c>
      <c r="J494">
        <v>11282</v>
      </c>
      <c r="K494" t="s">
        <v>22</v>
      </c>
      <c r="L494">
        <v>1</v>
      </c>
      <c r="M494">
        <v>1</v>
      </c>
      <c r="N494">
        <v>5</v>
      </c>
      <c r="O494">
        <v>5</v>
      </c>
      <c r="P494">
        <v>35</v>
      </c>
      <c r="Q494" t="s">
        <v>22</v>
      </c>
    </row>
    <row r="495" spans="1:17" x14ac:dyDescent="0.25">
      <c r="A495">
        <v>1655</v>
      </c>
      <c r="B495">
        <v>57</v>
      </c>
      <c r="C495" t="s">
        <v>16</v>
      </c>
      <c r="D495" t="s">
        <v>47</v>
      </c>
      <c r="E495" t="s">
        <v>53</v>
      </c>
      <c r="F495" t="s">
        <v>38</v>
      </c>
      <c r="G495" t="s">
        <v>20</v>
      </c>
      <c r="H495" t="s">
        <v>34</v>
      </c>
      <c r="I495">
        <v>9</v>
      </c>
      <c r="J495">
        <v>17496</v>
      </c>
      <c r="K495" t="s">
        <v>42</v>
      </c>
      <c r="L495">
        <v>2</v>
      </c>
      <c r="M495">
        <v>4</v>
      </c>
      <c r="N495">
        <v>12</v>
      </c>
      <c r="O495">
        <v>10</v>
      </c>
      <c r="P495">
        <v>37</v>
      </c>
      <c r="Q495" t="s">
        <v>42</v>
      </c>
    </row>
    <row r="496" spans="1:17" x14ac:dyDescent="0.25">
      <c r="A496">
        <v>1750</v>
      </c>
      <c r="B496">
        <v>21</v>
      </c>
      <c r="C496" t="s">
        <v>16</v>
      </c>
      <c r="D496" t="s">
        <v>47</v>
      </c>
      <c r="E496" t="s">
        <v>50</v>
      </c>
      <c r="F496" t="s">
        <v>26</v>
      </c>
      <c r="G496" t="s">
        <v>37</v>
      </c>
      <c r="H496" t="s">
        <v>34</v>
      </c>
      <c r="I496">
        <v>27</v>
      </c>
      <c r="J496">
        <v>6374</v>
      </c>
      <c r="K496" t="s">
        <v>42</v>
      </c>
      <c r="L496">
        <v>1</v>
      </c>
      <c r="M496">
        <v>2</v>
      </c>
      <c r="N496">
        <v>0</v>
      </c>
      <c r="O496">
        <v>0</v>
      </c>
      <c r="P496">
        <v>1</v>
      </c>
      <c r="Q496" t="s">
        <v>22</v>
      </c>
    </row>
    <row r="497" spans="1:17" x14ac:dyDescent="0.25">
      <c r="A497">
        <v>1859</v>
      </c>
      <c r="B497">
        <v>50</v>
      </c>
      <c r="C497" t="s">
        <v>23</v>
      </c>
      <c r="D497" t="s">
        <v>17</v>
      </c>
      <c r="E497" t="s">
        <v>18</v>
      </c>
      <c r="F497" t="s">
        <v>36</v>
      </c>
      <c r="G497" t="s">
        <v>37</v>
      </c>
      <c r="H497" t="s">
        <v>30</v>
      </c>
      <c r="I497">
        <v>3</v>
      </c>
      <c r="J497">
        <v>12506</v>
      </c>
      <c r="K497" t="s">
        <v>42</v>
      </c>
      <c r="L497">
        <v>2</v>
      </c>
      <c r="M497">
        <v>4</v>
      </c>
      <c r="N497">
        <v>1</v>
      </c>
      <c r="O497">
        <v>1</v>
      </c>
      <c r="P497">
        <v>19</v>
      </c>
      <c r="Q497" t="s">
        <v>22</v>
      </c>
    </row>
    <row r="498" spans="1:17" x14ac:dyDescent="0.25">
      <c r="A498">
        <v>1608</v>
      </c>
      <c r="B498">
        <v>25</v>
      </c>
      <c r="C498" t="s">
        <v>16</v>
      </c>
      <c r="D498" t="s">
        <v>17</v>
      </c>
      <c r="E498" t="s">
        <v>35</v>
      </c>
      <c r="F498" t="s">
        <v>32</v>
      </c>
      <c r="G498" t="s">
        <v>33</v>
      </c>
      <c r="H498" t="s">
        <v>34</v>
      </c>
      <c r="I498">
        <v>16</v>
      </c>
      <c r="J498" t="s">
        <v>131</v>
      </c>
      <c r="K498" t="s">
        <v>22</v>
      </c>
      <c r="L498">
        <v>2</v>
      </c>
      <c r="M498">
        <v>4</v>
      </c>
      <c r="N498">
        <v>0</v>
      </c>
      <c r="O498">
        <v>0</v>
      </c>
      <c r="P498">
        <v>0</v>
      </c>
      <c r="Q498" t="s">
        <v>22</v>
      </c>
    </row>
    <row r="499" spans="1:17" x14ac:dyDescent="0.25">
      <c r="A499">
        <v>1138</v>
      </c>
      <c r="B499">
        <v>39</v>
      </c>
      <c r="C499" t="s">
        <v>105</v>
      </c>
      <c r="D499" t="s">
        <v>47</v>
      </c>
      <c r="E499" t="s">
        <v>48</v>
      </c>
      <c r="F499" t="s">
        <v>26</v>
      </c>
      <c r="G499" t="s">
        <v>33</v>
      </c>
      <c r="H499" t="s">
        <v>21</v>
      </c>
      <c r="I499">
        <v>15</v>
      </c>
      <c r="J499">
        <v>7783</v>
      </c>
      <c r="K499" t="s">
        <v>22</v>
      </c>
      <c r="L499">
        <v>4</v>
      </c>
      <c r="M499">
        <v>2</v>
      </c>
      <c r="N499">
        <v>5</v>
      </c>
      <c r="O499">
        <v>2</v>
      </c>
      <c r="P499">
        <v>12</v>
      </c>
      <c r="Q499" t="s">
        <v>22</v>
      </c>
    </row>
    <row r="500" spans="1:17" x14ac:dyDescent="0.25">
      <c r="A500">
        <v>1842</v>
      </c>
      <c r="B500">
        <v>26</v>
      </c>
      <c r="C500" t="s">
        <v>23</v>
      </c>
      <c r="D500" t="s">
        <v>24</v>
      </c>
      <c r="E500" t="s">
        <v>46</v>
      </c>
      <c r="F500" t="s">
        <v>38</v>
      </c>
      <c r="G500" t="s">
        <v>20</v>
      </c>
      <c r="H500" t="s">
        <v>30</v>
      </c>
      <c r="I500">
        <v>25</v>
      </c>
      <c r="J500">
        <v>6187</v>
      </c>
      <c r="K500" t="s">
        <v>22</v>
      </c>
      <c r="L500">
        <v>3</v>
      </c>
      <c r="M500">
        <v>2</v>
      </c>
      <c r="N500">
        <v>0</v>
      </c>
      <c r="O500">
        <v>0</v>
      </c>
      <c r="P500">
        <v>0</v>
      </c>
      <c r="Q500" t="s">
        <v>22</v>
      </c>
    </row>
    <row r="501" spans="1:17" x14ac:dyDescent="0.25">
      <c r="A501">
        <v>1801</v>
      </c>
      <c r="B501">
        <v>38</v>
      </c>
      <c r="C501" t="s">
        <v>16</v>
      </c>
      <c r="D501" t="s">
        <v>24</v>
      </c>
      <c r="E501" t="s">
        <v>46</v>
      </c>
      <c r="F501" t="s">
        <v>26</v>
      </c>
      <c r="G501" t="s">
        <v>37</v>
      </c>
      <c r="H501" t="s">
        <v>30</v>
      </c>
      <c r="I501">
        <v>17</v>
      </c>
      <c r="J501">
        <v>11955</v>
      </c>
      <c r="K501" t="s">
        <v>42</v>
      </c>
      <c r="L501">
        <v>3</v>
      </c>
      <c r="M501">
        <v>2</v>
      </c>
      <c r="N501">
        <v>8</v>
      </c>
      <c r="O501">
        <v>8</v>
      </c>
      <c r="P501">
        <v>18</v>
      </c>
      <c r="Q501" t="s">
        <v>22</v>
      </c>
    </row>
    <row r="502" spans="1:17" x14ac:dyDescent="0.25">
      <c r="A502">
        <v>1990</v>
      </c>
      <c r="B502">
        <v>41</v>
      </c>
      <c r="C502" t="s">
        <v>16</v>
      </c>
      <c r="D502" t="s">
        <v>17</v>
      </c>
      <c r="E502" t="s">
        <v>40</v>
      </c>
      <c r="F502" t="s">
        <v>38</v>
      </c>
      <c r="G502" t="s">
        <v>20</v>
      </c>
      <c r="H502" t="s">
        <v>34</v>
      </c>
      <c r="I502">
        <v>26</v>
      </c>
      <c r="J502">
        <v>6349</v>
      </c>
      <c r="K502" t="s">
        <v>22</v>
      </c>
      <c r="L502">
        <v>2</v>
      </c>
      <c r="M502">
        <v>2</v>
      </c>
      <c r="N502">
        <v>2</v>
      </c>
      <c r="O502">
        <v>2</v>
      </c>
      <c r="P502">
        <v>7</v>
      </c>
      <c r="Q502" t="s">
        <v>22</v>
      </c>
    </row>
    <row r="503" spans="1:17" x14ac:dyDescent="0.25">
      <c r="A503">
        <v>1040</v>
      </c>
      <c r="B503">
        <v>32</v>
      </c>
      <c r="C503" t="s">
        <v>16</v>
      </c>
      <c r="D503" t="s">
        <v>27</v>
      </c>
      <c r="E503" t="s">
        <v>43</v>
      </c>
      <c r="F503" t="s">
        <v>32</v>
      </c>
      <c r="G503" t="s">
        <v>37</v>
      </c>
      <c r="H503" t="s">
        <v>30</v>
      </c>
      <c r="I503">
        <v>9</v>
      </c>
      <c r="J503">
        <v>6427</v>
      </c>
      <c r="K503" t="s">
        <v>22</v>
      </c>
      <c r="L503">
        <v>1</v>
      </c>
      <c r="M503">
        <v>2</v>
      </c>
      <c r="N503">
        <v>3</v>
      </c>
      <c r="O503">
        <v>1</v>
      </c>
      <c r="P503">
        <v>11</v>
      </c>
      <c r="Q503" t="s">
        <v>22</v>
      </c>
    </row>
    <row r="504" spans="1:17" x14ac:dyDescent="0.25">
      <c r="A504">
        <v>1365</v>
      </c>
      <c r="B504">
        <v>46</v>
      </c>
      <c r="C504" t="s">
        <v>23</v>
      </c>
      <c r="D504" t="s">
        <v>24</v>
      </c>
      <c r="E504" t="s">
        <v>45</v>
      </c>
      <c r="F504" t="s">
        <v>38</v>
      </c>
      <c r="G504" t="s">
        <v>33</v>
      </c>
      <c r="H504" t="s">
        <v>30</v>
      </c>
      <c r="I504">
        <v>23</v>
      </c>
      <c r="J504">
        <v>9661</v>
      </c>
      <c r="K504" t="s">
        <v>42</v>
      </c>
      <c r="L504">
        <v>4</v>
      </c>
      <c r="M504">
        <v>1</v>
      </c>
      <c r="N504">
        <v>14</v>
      </c>
      <c r="O504">
        <v>9</v>
      </c>
      <c r="P504">
        <v>21</v>
      </c>
      <c r="Q504" t="s">
        <v>22</v>
      </c>
    </row>
    <row r="505" spans="1:17" x14ac:dyDescent="0.25">
      <c r="A505">
        <v>1309</v>
      </c>
      <c r="B505">
        <v>44</v>
      </c>
      <c r="C505" t="s">
        <v>16</v>
      </c>
      <c r="D505" t="s">
        <v>17</v>
      </c>
      <c r="E505" t="s">
        <v>35</v>
      </c>
      <c r="F505" t="s">
        <v>38</v>
      </c>
      <c r="G505" t="s">
        <v>33</v>
      </c>
      <c r="H505" t="s">
        <v>30</v>
      </c>
      <c r="I505">
        <v>9</v>
      </c>
      <c r="J505">
        <v>6432</v>
      </c>
      <c r="K505" t="s">
        <v>22</v>
      </c>
      <c r="L505">
        <v>4</v>
      </c>
      <c r="M505">
        <v>1</v>
      </c>
      <c r="N505">
        <v>12</v>
      </c>
      <c r="O505">
        <v>5</v>
      </c>
      <c r="P505">
        <v>12</v>
      </c>
      <c r="Q505" t="s">
        <v>42</v>
      </c>
    </row>
    <row r="506" spans="1:17" x14ac:dyDescent="0.25">
      <c r="A506">
        <v>1101</v>
      </c>
      <c r="B506">
        <v>52</v>
      </c>
      <c r="C506" t="s">
        <v>23</v>
      </c>
      <c r="D506" t="s">
        <v>27</v>
      </c>
      <c r="E506" t="s">
        <v>28</v>
      </c>
      <c r="F506" t="s">
        <v>36</v>
      </c>
      <c r="G506" t="s">
        <v>37</v>
      </c>
      <c r="H506" t="s">
        <v>30</v>
      </c>
      <c r="I506">
        <v>28</v>
      </c>
      <c r="J506">
        <v>11674</v>
      </c>
      <c r="K506" t="s">
        <v>22</v>
      </c>
      <c r="L506">
        <v>3</v>
      </c>
      <c r="M506">
        <v>1</v>
      </c>
      <c r="N506">
        <v>6</v>
      </c>
      <c r="O506">
        <v>6</v>
      </c>
      <c r="P506">
        <v>15</v>
      </c>
      <c r="Q506" t="s">
        <v>22</v>
      </c>
    </row>
    <row r="507" spans="1:17" x14ac:dyDescent="0.25">
      <c r="A507">
        <v>1493</v>
      </c>
      <c r="B507">
        <v>23</v>
      </c>
      <c r="C507" t="s">
        <v>23</v>
      </c>
      <c r="D507" t="s">
        <v>38</v>
      </c>
      <c r="E507" t="s">
        <v>49</v>
      </c>
      <c r="F507" t="s">
        <v>36</v>
      </c>
      <c r="G507" t="s">
        <v>20</v>
      </c>
      <c r="H507" t="s">
        <v>34</v>
      </c>
      <c r="I507">
        <v>23</v>
      </c>
      <c r="J507">
        <v>8734</v>
      </c>
      <c r="K507" t="s">
        <v>42</v>
      </c>
      <c r="L507">
        <v>1</v>
      </c>
      <c r="M507">
        <v>4</v>
      </c>
      <c r="N507">
        <v>0</v>
      </c>
      <c r="O507">
        <v>0</v>
      </c>
      <c r="P507">
        <v>0</v>
      </c>
      <c r="Q507" t="s">
        <v>42</v>
      </c>
    </row>
    <row r="508" spans="1:17" x14ac:dyDescent="0.25">
      <c r="A508">
        <v>1702</v>
      </c>
      <c r="B508">
        <v>27</v>
      </c>
      <c r="C508" t="s">
        <v>23</v>
      </c>
      <c r="D508" t="s">
        <v>17</v>
      </c>
      <c r="E508" t="s">
        <v>35</v>
      </c>
      <c r="F508" t="s">
        <v>19</v>
      </c>
      <c r="G508" t="s">
        <v>37</v>
      </c>
      <c r="H508" t="s">
        <v>30</v>
      </c>
      <c r="I508">
        <v>7</v>
      </c>
      <c r="J508">
        <v>5536</v>
      </c>
      <c r="K508" t="s">
        <v>42</v>
      </c>
      <c r="L508">
        <v>2</v>
      </c>
      <c r="M508">
        <v>3</v>
      </c>
      <c r="N508">
        <v>1</v>
      </c>
      <c r="O508">
        <v>0</v>
      </c>
      <c r="P508">
        <v>3</v>
      </c>
      <c r="Q508" t="s">
        <v>22</v>
      </c>
    </row>
    <row r="509" spans="1:17" x14ac:dyDescent="0.25">
      <c r="A509">
        <v>1009</v>
      </c>
      <c r="B509">
        <v>30</v>
      </c>
      <c r="C509" t="s">
        <v>16</v>
      </c>
      <c r="D509" t="s">
        <v>17</v>
      </c>
      <c r="E509" t="s">
        <v>35</v>
      </c>
      <c r="F509" t="s">
        <v>29</v>
      </c>
      <c r="G509" t="s">
        <v>37</v>
      </c>
      <c r="H509" t="s">
        <v>34</v>
      </c>
      <c r="I509">
        <v>10</v>
      </c>
      <c r="J509">
        <v>6195</v>
      </c>
      <c r="K509" t="s">
        <v>22</v>
      </c>
      <c r="L509">
        <v>2</v>
      </c>
      <c r="M509">
        <v>1</v>
      </c>
      <c r="N509">
        <v>0</v>
      </c>
      <c r="O509">
        <v>0</v>
      </c>
      <c r="P509">
        <v>0</v>
      </c>
      <c r="Q509" t="s">
        <v>22</v>
      </c>
    </row>
    <row r="510" spans="1:17" x14ac:dyDescent="0.25">
      <c r="A510">
        <v>1742</v>
      </c>
      <c r="B510">
        <v>37</v>
      </c>
      <c r="C510" t="s">
        <v>23</v>
      </c>
      <c r="D510" t="s">
        <v>132</v>
      </c>
      <c r="E510" t="s">
        <v>43</v>
      </c>
      <c r="F510" t="s">
        <v>29</v>
      </c>
      <c r="G510" t="s">
        <v>37</v>
      </c>
      <c r="H510" t="s">
        <v>30</v>
      </c>
      <c r="I510">
        <v>20</v>
      </c>
      <c r="J510">
        <v>6617</v>
      </c>
      <c r="K510" t="s">
        <v>22</v>
      </c>
      <c r="L510">
        <v>4</v>
      </c>
      <c r="M510">
        <v>4</v>
      </c>
      <c r="N510">
        <v>14</v>
      </c>
      <c r="O510">
        <v>6</v>
      </c>
      <c r="P510">
        <v>14</v>
      </c>
      <c r="Q510" t="s">
        <v>22</v>
      </c>
    </row>
    <row r="511" spans="1:17" x14ac:dyDescent="0.25">
      <c r="A511">
        <v>1086</v>
      </c>
      <c r="B511">
        <v>23</v>
      </c>
      <c r="C511" t="s">
        <v>23</v>
      </c>
      <c r="D511" t="s">
        <v>24</v>
      </c>
      <c r="E511" t="s">
        <v>46</v>
      </c>
      <c r="F511" t="s">
        <v>41</v>
      </c>
      <c r="G511" t="s">
        <v>20</v>
      </c>
      <c r="H511" t="s">
        <v>34</v>
      </c>
      <c r="I511">
        <v>16</v>
      </c>
      <c r="J511">
        <v>8085</v>
      </c>
      <c r="K511" t="s">
        <v>22</v>
      </c>
      <c r="L511">
        <v>3</v>
      </c>
      <c r="M511">
        <v>4</v>
      </c>
      <c r="N511">
        <v>0</v>
      </c>
      <c r="O511">
        <v>0</v>
      </c>
      <c r="P511">
        <v>3</v>
      </c>
      <c r="Q511" t="s">
        <v>95</v>
      </c>
    </row>
    <row r="512" spans="1:17" x14ac:dyDescent="0.25">
      <c r="A512">
        <v>1459</v>
      </c>
      <c r="B512">
        <v>51</v>
      </c>
      <c r="C512" t="s">
        <v>23</v>
      </c>
      <c r="D512" t="s">
        <v>24</v>
      </c>
      <c r="E512" t="s">
        <v>46</v>
      </c>
      <c r="F512" t="s">
        <v>38</v>
      </c>
      <c r="G512" t="s">
        <v>33</v>
      </c>
      <c r="H512" t="s">
        <v>34</v>
      </c>
      <c r="I512">
        <v>19</v>
      </c>
      <c r="J512">
        <v>8678</v>
      </c>
      <c r="K512" t="s">
        <v>22</v>
      </c>
      <c r="L512">
        <v>2</v>
      </c>
      <c r="M512">
        <v>4</v>
      </c>
      <c r="N512">
        <v>16</v>
      </c>
      <c r="O512">
        <v>2</v>
      </c>
      <c r="P512">
        <v>24</v>
      </c>
      <c r="Q512" t="s">
        <v>22</v>
      </c>
    </row>
    <row r="513" spans="1:17" x14ac:dyDescent="0.25">
      <c r="A513">
        <v>1950</v>
      </c>
      <c r="B513">
        <v>35</v>
      </c>
      <c r="C513" t="s">
        <v>23</v>
      </c>
      <c r="D513" t="s">
        <v>47</v>
      </c>
      <c r="E513" t="s">
        <v>48</v>
      </c>
      <c r="F513" t="s">
        <v>32</v>
      </c>
      <c r="G513" t="s">
        <v>37</v>
      </c>
      <c r="H513" t="s">
        <v>34</v>
      </c>
      <c r="I513">
        <v>11</v>
      </c>
      <c r="J513" t="s">
        <v>133</v>
      </c>
      <c r="K513" t="s">
        <v>22</v>
      </c>
      <c r="L513">
        <v>3</v>
      </c>
      <c r="M513">
        <v>4</v>
      </c>
      <c r="N513">
        <v>6</v>
      </c>
      <c r="O513">
        <v>2</v>
      </c>
      <c r="P513">
        <v>9</v>
      </c>
      <c r="Q513" t="s">
        <v>22</v>
      </c>
    </row>
    <row r="514" spans="1:17" x14ac:dyDescent="0.25">
      <c r="A514">
        <v>1812</v>
      </c>
      <c r="B514">
        <v>31</v>
      </c>
      <c r="C514" t="s">
        <v>23</v>
      </c>
      <c r="D514" t="s">
        <v>96</v>
      </c>
      <c r="E514" t="s">
        <v>52</v>
      </c>
      <c r="F514" t="s">
        <v>26</v>
      </c>
      <c r="G514" t="s">
        <v>37</v>
      </c>
      <c r="H514" t="s">
        <v>21</v>
      </c>
      <c r="I514">
        <v>2</v>
      </c>
      <c r="J514">
        <v>6500</v>
      </c>
      <c r="K514" t="s">
        <v>22</v>
      </c>
      <c r="L514">
        <v>1</v>
      </c>
      <c r="M514">
        <v>4</v>
      </c>
      <c r="N514">
        <v>6</v>
      </c>
      <c r="O514">
        <v>6</v>
      </c>
      <c r="P514">
        <v>8</v>
      </c>
      <c r="Q514" t="s">
        <v>22</v>
      </c>
    </row>
    <row r="515" spans="1:17" x14ac:dyDescent="0.25">
      <c r="A515">
        <v>1782</v>
      </c>
      <c r="B515">
        <v>25</v>
      </c>
      <c r="C515" t="s">
        <v>87</v>
      </c>
      <c r="D515" t="s">
        <v>17</v>
      </c>
      <c r="E515" t="s">
        <v>35</v>
      </c>
      <c r="F515" t="s">
        <v>38</v>
      </c>
      <c r="G515" t="s">
        <v>37</v>
      </c>
      <c r="H515" t="s">
        <v>30</v>
      </c>
      <c r="I515">
        <v>9</v>
      </c>
      <c r="J515">
        <v>4207</v>
      </c>
      <c r="K515" t="s">
        <v>22</v>
      </c>
      <c r="L515">
        <v>3</v>
      </c>
      <c r="M515">
        <v>2</v>
      </c>
      <c r="N515">
        <v>0</v>
      </c>
      <c r="O515">
        <v>0</v>
      </c>
      <c r="P515">
        <v>0</v>
      </c>
      <c r="Q515" t="s">
        <v>22</v>
      </c>
    </row>
    <row r="516" spans="1:17" x14ac:dyDescent="0.25">
      <c r="A516">
        <v>1181</v>
      </c>
      <c r="B516">
        <v>47</v>
      </c>
      <c r="C516" t="s">
        <v>23</v>
      </c>
      <c r="D516" t="s">
        <v>38</v>
      </c>
      <c r="E516" t="s">
        <v>49</v>
      </c>
      <c r="F516" t="s">
        <v>41</v>
      </c>
      <c r="G516" t="s">
        <v>37</v>
      </c>
      <c r="H516" t="s">
        <v>34</v>
      </c>
      <c r="I516">
        <v>6</v>
      </c>
      <c r="J516">
        <v>14629</v>
      </c>
      <c r="K516" t="s">
        <v>22</v>
      </c>
      <c r="L516">
        <v>2</v>
      </c>
      <c r="M516">
        <v>4</v>
      </c>
      <c r="N516">
        <v>22</v>
      </c>
      <c r="O516">
        <v>20</v>
      </c>
      <c r="P516">
        <v>25</v>
      </c>
      <c r="Q516" t="s">
        <v>22</v>
      </c>
    </row>
    <row r="517" spans="1:17" x14ac:dyDescent="0.25">
      <c r="A517">
        <v>1054</v>
      </c>
      <c r="B517">
        <v>40</v>
      </c>
      <c r="C517" t="s">
        <v>16</v>
      </c>
      <c r="D517" t="s">
        <v>38</v>
      </c>
      <c r="E517" t="s">
        <v>49</v>
      </c>
      <c r="F517" t="s">
        <v>19</v>
      </c>
      <c r="G517" t="s">
        <v>33</v>
      </c>
      <c r="H517" t="s">
        <v>30</v>
      </c>
      <c r="I517">
        <v>21</v>
      </c>
      <c r="J517">
        <v>10805</v>
      </c>
      <c r="K517" t="s">
        <v>22</v>
      </c>
      <c r="L517">
        <v>1</v>
      </c>
      <c r="M517">
        <v>2</v>
      </c>
      <c r="N517">
        <v>7</v>
      </c>
      <c r="O517">
        <v>0</v>
      </c>
      <c r="P517">
        <v>15</v>
      </c>
      <c r="Q517" t="s">
        <v>22</v>
      </c>
    </row>
    <row r="518" spans="1:17" x14ac:dyDescent="0.25">
      <c r="A518">
        <v>1535</v>
      </c>
      <c r="B518">
        <v>44</v>
      </c>
      <c r="C518" t="s">
        <v>16</v>
      </c>
      <c r="D518" t="s">
        <v>27</v>
      </c>
      <c r="E518" t="s">
        <v>44</v>
      </c>
      <c r="F518" t="s">
        <v>32</v>
      </c>
      <c r="G518" t="s">
        <v>20</v>
      </c>
      <c r="H518" t="s">
        <v>30</v>
      </c>
      <c r="I518">
        <v>25</v>
      </c>
      <c r="J518">
        <v>10511</v>
      </c>
      <c r="K518" t="s">
        <v>42</v>
      </c>
      <c r="L518">
        <v>1</v>
      </c>
      <c r="M518">
        <v>1</v>
      </c>
      <c r="N518">
        <v>10</v>
      </c>
      <c r="O518">
        <v>4</v>
      </c>
      <c r="P518">
        <v>22</v>
      </c>
      <c r="Q518" t="s">
        <v>22</v>
      </c>
    </row>
    <row r="519" spans="1:17" x14ac:dyDescent="0.25">
      <c r="A519">
        <v>1611</v>
      </c>
      <c r="B519">
        <v>34</v>
      </c>
      <c r="C519" t="s">
        <v>23</v>
      </c>
      <c r="D519" t="s">
        <v>24</v>
      </c>
      <c r="E519" t="s">
        <v>45</v>
      </c>
      <c r="F519" t="s">
        <v>32</v>
      </c>
      <c r="G519" t="s">
        <v>20</v>
      </c>
      <c r="H519" t="s">
        <v>21</v>
      </c>
      <c r="I519">
        <v>4</v>
      </c>
      <c r="J519">
        <v>8084</v>
      </c>
      <c r="K519" t="s">
        <v>22</v>
      </c>
      <c r="L519">
        <v>3</v>
      </c>
      <c r="M519">
        <v>2</v>
      </c>
      <c r="N519">
        <v>1</v>
      </c>
      <c r="O519">
        <v>0</v>
      </c>
      <c r="P519">
        <v>10</v>
      </c>
      <c r="Q519" t="s">
        <v>22</v>
      </c>
    </row>
    <row r="520" spans="1:17" x14ac:dyDescent="0.25">
      <c r="A520">
        <v>1997</v>
      </c>
      <c r="B520">
        <v>35</v>
      </c>
      <c r="C520" t="s">
        <v>16</v>
      </c>
      <c r="D520" t="s">
        <v>24</v>
      </c>
      <c r="E520" t="s">
        <v>46</v>
      </c>
      <c r="F520" t="s">
        <v>19</v>
      </c>
      <c r="G520" t="s">
        <v>37</v>
      </c>
      <c r="H520" t="s">
        <v>30</v>
      </c>
      <c r="I520">
        <v>16</v>
      </c>
      <c r="J520">
        <v>5028</v>
      </c>
      <c r="K520" t="s">
        <v>22</v>
      </c>
      <c r="L520">
        <v>3</v>
      </c>
      <c r="M520">
        <v>2</v>
      </c>
      <c r="N520">
        <v>1</v>
      </c>
      <c r="O520">
        <v>1</v>
      </c>
      <c r="P520">
        <v>9</v>
      </c>
      <c r="Q520" t="s">
        <v>42</v>
      </c>
    </row>
    <row r="521" spans="1:17" x14ac:dyDescent="0.25">
      <c r="A521">
        <v>1171</v>
      </c>
      <c r="B521">
        <v>56</v>
      </c>
      <c r="C521" t="s">
        <v>16</v>
      </c>
      <c r="D521" t="s">
        <v>27</v>
      </c>
      <c r="E521" t="s">
        <v>28</v>
      </c>
      <c r="F521" t="s">
        <v>26</v>
      </c>
      <c r="G521" t="s">
        <v>37</v>
      </c>
      <c r="H521" t="s">
        <v>34</v>
      </c>
      <c r="I521">
        <v>18</v>
      </c>
      <c r="J521" t="s">
        <v>134</v>
      </c>
      <c r="K521" t="s">
        <v>22</v>
      </c>
      <c r="L521">
        <v>1</v>
      </c>
      <c r="M521">
        <v>2</v>
      </c>
      <c r="N521">
        <v>8</v>
      </c>
      <c r="O521">
        <v>6</v>
      </c>
      <c r="P521">
        <v>32</v>
      </c>
      <c r="Q521" t="s">
        <v>42</v>
      </c>
    </row>
    <row r="522" spans="1:17" x14ac:dyDescent="0.25">
      <c r="A522">
        <v>1320</v>
      </c>
      <c r="B522">
        <v>24</v>
      </c>
      <c r="C522" t="s">
        <v>16</v>
      </c>
      <c r="D522" t="s">
        <v>38</v>
      </c>
      <c r="E522" t="s">
        <v>49</v>
      </c>
      <c r="F522" t="s">
        <v>19</v>
      </c>
      <c r="G522" t="s">
        <v>37</v>
      </c>
      <c r="H522" t="s">
        <v>30</v>
      </c>
      <c r="I522">
        <v>15</v>
      </c>
      <c r="J522">
        <v>9632</v>
      </c>
      <c r="K522" t="s">
        <v>42</v>
      </c>
      <c r="L522">
        <v>3</v>
      </c>
      <c r="M522">
        <v>4</v>
      </c>
      <c r="N522">
        <v>2</v>
      </c>
      <c r="O522">
        <v>1</v>
      </c>
      <c r="P522">
        <v>4</v>
      </c>
      <c r="Q522" t="s">
        <v>22</v>
      </c>
    </row>
    <row r="523" spans="1:17" x14ac:dyDescent="0.25">
      <c r="A523">
        <v>1420</v>
      </c>
      <c r="B523">
        <v>32</v>
      </c>
      <c r="C523" t="s">
        <v>23</v>
      </c>
      <c r="D523" t="s">
        <v>24</v>
      </c>
      <c r="E523" t="s">
        <v>52</v>
      </c>
      <c r="F523" t="s">
        <v>32</v>
      </c>
      <c r="G523" t="s">
        <v>37</v>
      </c>
      <c r="H523" t="s">
        <v>21</v>
      </c>
      <c r="I523">
        <v>7</v>
      </c>
      <c r="J523">
        <v>8918</v>
      </c>
      <c r="K523" t="s">
        <v>42</v>
      </c>
      <c r="L523">
        <v>4</v>
      </c>
      <c r="M523">
        <v>2</v>
      </c>
      <c r="N523">
        <v>1</v>
      </c>
      <c r="O523">
        <v>1</v>
      </c>
      <c r="P523">
        <v>12</v>
      </c>
      <c r="Q523" t="s">
        <v>42</v>
      </c>
    </row>
    <row r="524" spans="1:17" x14ac:dyDescent="0.25">
      <c r="A524">
        <v>1928</v>
      </c>
      <c r="B524">
        <v>22</v>
      </c>
      <c r="C524" t="s">
        <v>23</v>
      </c>
      <c r="D524" t="s">
        <v>38</v>
      </c>
      <c r="E524" t="s">
        <v>39</v>
      </c>
      <c r="F524" t="s">
        <v>26</v>
      </c>
      <c r="G524" t="s">
        <v>20</v>
      </c>
      <c r="H524" t="s">
        <v>34</v>
      </c>
      <c r="I524">
        <v>22</v>
      </c>
      <c r="J524">
        <v>4352</v>
      </c>
      <c r="K524" t="s">
        <v>22</v>
      </c>
      <c r="L524">
        <v>3</v>
      </c>
      <c r="M524">
        <v>1</v>
      </c>
      <c r="N524">
        <v>0</v>
      </c>
      <c r="O524">
        <v>0</v>
      </c>
      <c r="P524">
        <v>0</v>
      </c>
      <c r="Q524" t="s">
        <v>22</v>
      </c>
    </row>
    <row r="525" spans="1:17" x14ac:dyDescent="0.25">
      <c r="A525">
        <v>1191</v>
      </c>
      <c r="B525">
        <v>39</v>
      </c>
      <c r="C525" t="s">
        <v>23</v>
      </c>
      <c r="D525" t="s">
        <v>17</v>
      </c>
      <c r="E525" t="s">
        <v>18</v>
      </c>
      <c r="F525" t="s">
        <v>32</v>
      </c>
      <c r="G525" t="s">
        <v>37</v>
      </c>
      <c r="H525" t="s">
        <v>30</v>
      </c>
      <c r="I525">
        <v>3</v>
      </c>
      <c r="J525">
        <v>8717</v>
      </c>
      <c r="K525" t="s">
        <v>42</v>
      </c>
      <c r="L525">
        <v>1</v>
      </c>
      <c r="M525">
        <v>1</v>
      </c>
      <c r="N525">
        <v>6</v>
      </c>
      <c r="O525">
        <v>5</v>
      </c>
      <c r="P525">
        <v>13</v>
      </c>
      <c r="Q525" t="s">
        <v>42</v>
      </c>
    </row>
    <row r="526" spans="1:17" x14ac:dyDescent="0.25">
      <c r="A526">
        <v>1766</v>
      </c>
      <c r="B526">
        <v>23</v>
      </c>
      <c r="C526" t="s">
        <v>16</v>
      </c>
      <c r="D526" t="s">
        <v>24</v>
      </c>
      <c r="E526" t="s">
        <v>52</v>
      </c>
      <c r="F526" t="s">
        <v>36</v>
      </c>
      <c r="G526" t="s">
        <v>37</v>
      </c>
      <c r="H526" t="s">
        <v>34</v>
      </c>
      <c r="I526">
        <v>3</v>
      </c>
      <c r="J526">
        <v>4840</v>
      </c>
      <c r="K526" t="s">
        <v>22</v>
      </c>
      <c r="L526">
        <v>1</v>
      </c>
      <c r="M526">
        <v>2</v>
      </c>
      <c r="N526">
        <v>2</v>
      </c>
      <c r="O526">
        <v>0</v>
      </c>
      <c r="P526">
        <v>3</v>
      </c>
      <c r="Q526" t="s">
        <v>22</v>
      </c>
    </row>
    <row r="527" spans="1:17" x14ac:dyDescent="0.25">
      <c r="A527">
        <v>1559</v>
      </c>
      <c r="B527">
        <v>21</v>
      </c>
      <c r="C527" t="s">
        <v>23</v>
      </c>
      <c r="D527" t="s">
        <v>27</v>
      </c>
      <c r="E527" t="s">
        <v>31</v>
      </c>
      <c r="F527" t="s">
        <v>19</v>
      </c>
      <c r="G527" t="s">
        <v>37</v>
      </c>
      <c r="H527" t="s">
        <v>34</v>
      </c>
      <c r="I527">
        <v>8</v>
      </c>
      <c r="J527">
        <v>5436</v>
      </c>
      <c r="K527" t="s">
        <v>22</v>
      </c>
      <c r="L527">
        <v>3</v>
      </c>
      <c r="M527">
        <v>2</v>
      </c>
      <c r="N527">
        <v>0</v>
      </c>
      <c r="O527">
        <v>0</v>
      </c>
      <c r="P527">
        <v>0</v>
      </c>
      <c r="Q527" t="s">
        <v>95</v>
      </c>
    </row>
    <row r="528" spans="1:17" x14ac:dyDescent="0.25">
      <c r="A528">
        <v>1146</v>
      </c>
      <c r="B528">
        <v>43</v>
      </c>
      <c r="C528" t="s">
        <v>23</v>
      </c>
      <c r="D528" t="s">
        <v>27</v>
      </c>
      <c r="E528" t="s">
        <v>28</v>
      </c>
      <c r="F528" t="s">
        <v>32</v>
      </c>
      <c r="G528" t="s">
        <v>37</v>
      </c>
      <c r="H528" t="s">
        <v>34</v>
      </c>
      <c r="I528">
        <v>18</v>
      </c>
      <c r="J528">
        <v>13678</v>
      </c>
      <c r="K528" t="s">
        <v>42</v>
      </c>
      <c r="L528">
        <v>2</v>
      </c>
      <c r="M528">
        <v>3</v>
      </c>
      <c r="N528">
        <v>12</v>
      </c>
      <c r="O528">
        <v>6</v>
      </c>
      <c r="P528">
        <v>23</v>
      </c>
      <c r="Q528" t="s">
        <v>22</v>
      </c>
    </row>
    <row r="529" spans="1:17" x14ac:dyDescent="0.25">
      <c r="A529">
        <v>1301</v>
      </c>
      <c r="B529">
        <v>33</v>
      </c>
      <c r="C529" t="s">
        <v>23</v>
      </c>
      <c r="D529" t="s">
        <v>24</v>
      </c>
      <c r="E529" t="s">
        <v>45</v>
      </c>
      <c r="F529" t="s">
        <v>19</v>
      </c>
      <c r="G529" t="s">
        <v>37</v>
      </c>
      <c r="H529" t="s">
        <v>21</v>
      </c>
      <c r="I529">
        <v>18</v>
      </c>
      <c r="J529">
        <v>5732</v>
      </c>
      <c r="K529" t="s">
        <v>42</v>
      </c>
      <c r="L529">
        <v>4</v>
      </c>
      <c r="M529">
        <v>3</v>
      </c>
      <c r="N529">
        <v>5</v>
      </c>
      <c r="O529">
        <v>0</v>
      </c>
      <c r="P529">
        <v>7</v>
      </c>
      <c r="Q529" t="s">
        <v>95</v>
      </c>
    </row>
    <row r="530" spans="1:17" x14ac:dyDescent="0.25">
      <c r="A530">
        <v>1153</v>
      </c>
      <c r="B530">
        <v>24</v>
      </c>
      <c r="C530" t="s">
        <v>23</v>
      </c>
      <c r="D530" t="s">
        <v>27</v>
      </c>
      <c r="E530" t="s">
        <v>31</v>
      </c>
      <c r="F530" t="s">
        <v>32</v>
      </c>
      <c r="G530" t="s">
        <v>37</v>
      </c>
      <c r="H530" t="s">
        <v>34</v>
      </c>
      <c r="I530">
        <v>1</v>
      </c>
      <c r="J530">
        <v>8834</v>
      </c>
      <c r="K530" t="s">
        <v>22</v>
      </c>
      <c r="L530">
        <v>3</v>
      </c>
      <c r="M530">
        <v>3</v>
      </c>
      <c r="N530">
        <v>1</v>
      </c>
      <c r="O530">
        <v>1</v>
      </c>
      <c r="P530">
        <v>3</v>
      </c>
      <c r="Q530" t="s">
        <v>42</v>
      </c>
    </row>
    <row r="531" spans="1:17" x14ac:dyDescent="0.25">
      <c r="A531">
        <v>1735</v>
      </c>
      <c r="B531">
        <v>23</v>
      </c>
      <c r="C531" t="s">
        <v>23</v>
      </c>
      <c r="D531" t="s">
        <v>27</v>
      </c>
      <c r="E531" t="s">
        <v>31</v>
      </c>
      <c r="F531" t="s">
        <v>19</v>
      </c>
      <c r="G531" t="s">
        <v>33</v>
      </c>
      <c r="H531" t="s">
        <v>34</v>
      </c>
      <c r="I531">
        <v>19</v>
      </c>
      <c r="J531">
        <v>10163</v>
      </c>
      <c r="K531" t="s">
        <v>22</v>
      </c>
      <c r="L531">
        <v>3</v>
      </c>
      <c r="M531">
        <v>1</v>
      </c>
      <c r="N531">
        <v>0</v>
      </c>
      <c r="O531">
        <v>0</v>
      </c>
      <c r="P531">
        <v>0</v>
      </c>
      <c r="Q531" t="s">
        <v>22</v>
      </c>
    </row>
    <row r="532" spans="1:17" x14ac:dyDescent="0.25">
      <c r="A532">
        <v>1554</v>
      </c>
      <c r="B532">
        <v>50</v>
      </c>
      <c r="C532" t="s">
        <v>23</v>
      </c>
      <c r="D532" t="s">
        <v>27</v>
      </c>
      <c r="E532" t="s">
        <v>43</v>
      </c>
      <c r="F532" t="s">
        <v>36</v>
      </c>
      <c r="G532" t="s">
        <v>20</v>
      </c>
      <c r="H532" t="s">
        <v>21</v>
      </c>
      <c r="I532">
        <v>27</v>
      </c>
      <c r="J532">
        <v>11616</v>
      </c>
      <c r="K532" t="s">
        <v>22</v>
      </c>
      <c r="L532">
        <v>1</v>
      </c>
      <c r="M532">
        <v>2</v>
      </c>
      <c r="N532">
        <v>11</v>
      </c>
      <c r="O532">
        <v>0</v>
      </c>
      <c r="P532">
        <v>24</v>
      </c>
      <c r="Q532" t="s">
        <v>22</v>
      </c>
    </row>
    <row r="533" spans="1:17" x14ac:dyDescent="0.25">
      <c r="A533">
        <v>1082</v>
      </c>
      <c r="B533">
        <v>25</v>
      </c>
      <c r="C533" t="s">
        <v>113</v>
      </c>
      <c r="D533" t="s">
        <v>17</v>
      </c>
      <c r="E533" t="s">
        <v>40</v>
      </c>
      <c r="F533" t="s">
        <v>38</v>
      </c>
      <c r="G533" t="s">
        <v>33</v>
      </c>
      <c r="H533" t="s">
        <v>21</v>
      </c>
      <c r="I533">
        <v>18</v>
      </c>
      <c r="J533">
        <v>6160</v>
      </c>
      <c r="K533" t="s">
        <v>22</v>
      </c>
      <c r="L533">
        <v>2</v>
      </c>
      <c r="M533">
        <v>1</v>
      </c>
      <c r="N533">
        <v>0</v>
      </c>
      <c r="O533">
        <v>0</v>
      </c>
      <c r="P533">
        <v>0</v>
      </c>
      <c r="Q533" t="s">
        <v>22</v>
      </c>
    </row>
    <row r="534" spans="1:17" x14ac:dyDescent="0.25">
      <c r="A534">
        <v>1257</v>
      </c>
      <c r="B534">
        <v>41</v>
      </c>
      <c r="C534" t="s">
        <v>23</v>
      </c>
      <c r="D534" t="s">
        <v>27</v>
      </c>
      <c r="E534" t="s">
        <v>43</v>
      </c>
      <c r="F534" t="s">
        <v>41</v>
      </c>
      <c r="G534" t="s">
        <v>20</v>
      </c>
      <c r="H534" t="s">
        <v>21</v>
      </c>
      <c r="I534">
        <v>13</v>
      </c>
      <c r="J534">
        <v>9612</v>
      </c>
      <c r="K534" t="s">
        <v>42</v>
      </c>
      <c r="L534">
        <v>3</v>
      </c>
      <c r="M534">
        <v>3</v>
      </c>
      <c r="N534">
        <v>9</v>
      </c>
      <c r="O534">
        <v>4</v>
      </c>
      <c r="P534">
        <v>13</v>
      </c>
      <c r="Q534" t="s">
        <v>22</v>
      </c>
    </row>
    <row r="535" spans="1:17" x14ac:dyDescent="0.25">
      <c r="A535">
        <v>1052</v>
      </c>
      <c r="B535">
        <v>24</v>
      </c>
      <c r="C535" t="s">
        <v>23</v>
      </c>
      <c r="D535" t="s">
        <v>27</v>
      </c>
      <c r="E535" t="s">
        <v>28</v>
      </c>
      <c r="F535" t="s">
        <v>19</v>
      </c>
      <c r="G535" t="s">
        <v>33</v>
      </c>
      <c r="H535" t="s">
        <v>34</v>
      </c>
      <c r="I535">
        <v>21</v>
      </c>
      <c r="J535">
        <v>6665</v>
      </c>
      <c r="K535" t="s">
        <v>22</v>
      </c>
      <c r="L535">
        <v>4</v>
      </c>
      <c r="M535">
        <v>1</v>
      </c>
      <c r="N535">
        <v>0</v>
      </c>
      <c r="O535">
        <v>0</v>
      </c>
      <c r="P535">
        <v>0</v>
      </c>
      <c r="Q535" t="s">
        <v>42</v>
      </c>
    </row>
    <row r="536" spans="1:17" x14ac:dyDescent="0.25">
      <c r="A536">
        <v>1095</v>
      </c>
      <c r="B536">
        <v>58</v>
      </c>
      <c r="C536" t="s">
        <v>23</v>
      </c>
      <c r="D536" t="s">
        <v>38</v>
      </c>
      <c r="E536" t="s">
        <v>49</v>
      </c>
      <c r="F536" t="s">
        <v>38</v>
      </c>
      <c r="G536" t="s">
        <v>20</v>
      </c>
      <c r="H536" t="s">
        <v>21</v>
      </c>
      <c r="I536">
        <v>6</v>
      </c>
      <c r="J536" t="s">
        <v>135</v>
      </c>
      <c r="K536" t="s">
        <v>22</v>
      </c>
      <c r="L536">
        <v>3</v>
      </c>
      <c r="M536">
        <v>1</v>
      </c>
      <c r="N536">
        <v>1</v>
      </c>
      <c r="O536">
        <v>1</v>
      </c>
      <c r="P536">
        <v>31</v>
      </c>
      <c r="Q536" t="s">
        <v>42</v>
      </c>
    </row>
    <row r="537" spans="1:17" x14ac:dyDescent="0.25">
      <c r="A537">
        <v>1163</v>
      </c>
      <c r="B537">
        <v>21</v>
      </c>
      <c r="C537" t="s">
        <v>16</v>
      </c>
      <c r="D537" t="s">
        <v>17</v>
      </c>
      <c r="E537" t="s">
        <v>35</v>
      </c>
      <c r="F537" t="s">
        <v>29</v>
      </c>
      <c r="G537" t="s">
        <v>20</v>
      </c>
      <c r="H537" t="s">
        <v>21</v>
      </c>
      <c r="I537">
        <v>28</v>
      </c>
      <c r="J537">
        <v>4933</v>
      </c>
      <c r="K537" t="s">
        <v>22</v>
      </c>
      <c r="L537">
        <v>2</v>
      </c>
      <c r="M537">
        <v>2</v>
      </c>
      <c r="N537">
        <v>1</v>
      </c>
      <c r="O537">
        <v>0</v>
      </c>
      <c r="P537">
        <v>1</v>
      </c>
      <c r="Q537" t="s">
        <v>22</v>
      </c>
    </row>
    <row r="538" spans="1:17" x14ac:dyDescent="0.25">
      <c r="A538">
        <v>1093</v>
      </c>
      <c r="B538">
        <v>60</v>
      </c>
      <c r="C538" t="s">
        <v>16</v>
      </c>
      <c r="D538" t="s">
        <v>136</v>
      </c>
      <c r="E538" t="s">
        <v>49</v>
      </c>
      <c r="F538" t="s">
        <v>41</v>
      </c>
      <c r="G538" t="s">
        <v>33</v>
      </c>
      <c r="H538" t="s">
        <v>34</v>
      </c>
      <c r="I538">
        <v>3</v>
      </c>
      <c r="J538">
        <v>15618</v>
      </c>
      <c r="K538" t="s">
        <v>22</v>
      </c>
      <c r="L538">
        <v>3</v>
      </c>
      <c r="M538">
        <v>1</v>
      </c>
      <c r="N538">
        <v>15</v>
      </c>
      <c r="O538">
        <v>14</v>
      </c>
      <c r="P538">
        <v>33</v>
      </c>
      <c r="Q538" t="s">
        <v>22</v>
      </c>
    </row>
    <row r="539" spans="1:17" x14ac:dyDescent="0.25">
      <c r="A539">
        <v>1552</v>
      </c>
      <c r="B539">
        <v>49</v>
      </c>
      <c r="C539" t="s">
        <v>87</v>
      </c>
      <c r="D539" t="s">
        <v>38</v>
      </c>
      <c r="E539" t="s">
        <v>39</v>
      </c>
      <c r="F539" t="s">
        <v>19</v>
      </c>
      <c r="G539" t="s">
        <v>20</v>
      </c>
      <c r="H539" t="s">
        <v>21</v>
      </c>
      <c r="I539">
        <v>5</v>
      </c>
      <c r="J539">
        <v>7838</v>
      </c>
      <c r="K539" t="s">
        <v>22</v>
      </c>
      <c r="L539">
        <v>1</v>
      </c>
      <c r="M539">
        <v>2</v>
      </c>
      <c r="N539">
        <v>3</v>
      </c>
      <c r="O539">
        <v>0</v>
      </c>
      <c r="P539">
        <v>18</v>
      </c>
      <c r="Q539" t="s">
        <v>22</v>
      </c>
    </row>
    <row r="540" spans="1:17" x14ac:dyDescent="0.25">
      <c r="A540">
        <v>1050</v>
      </c>
      <c r="B540">
        <v>53</v>
      </c>
      <c r="C540" t="s">
        <v>16</v>
      </c>
      <c r="D540" t="s">
        <v>27</v>
      </c>
      <c r="E540" t="s">
        <v>43</v>
      </c>
      <c r="F540" t="s">
        <v>26</v>
      </c>
      <c r="G540" t="s">
        <v>33</v>
      </c>
      <c r="H540" t="s">
        <v>30</v>
      </c>
      <c r="I540">
        <v>24</v>
      </c>
      <c r="J540">
        <v>11970</v>
      </c>
      <c r="K540" t="s">
        <v>22</v>
      </c>
      <c r="L540">
        <v>3</v>
      </c>
      <c r="M540">
        <v>1</v>
      </c>
      <c r="N540">
        <v>9</v>
      </c>
      <c r="O540">
        <v>9</v>
      </c>
      <c r="P540">
        <v>21</v>
      </c>
      <c r="Q540" t="s">
        <v>42</v>
      </c>
    </row>
    <row r="541" spans="1:17" x14ac:dyDescent="0.25">
      <c r="A541">
        <v>1374</v>
      </c>
      <c r="B541">
        <v>59</v>
      </c>
      <c r="C541" t="s">
        <v>23</v>
      </c>
      <c r="D541" t="s">
        <v>27</v>
      </c>
      <c r="E541" t="s">
        <v>43</v>
      </c>
      <c r="F541" t="s">
        <v>19</v>
      </c>
      <c r="G541" t="s">
        <v>20</v>
      </c>
      <c r="H541" t="s">
        <v>30</v>
      </c>
      <c r="I541">
        <v>9</v>
      </c>
      <c r="J541">
        <v>13110</v>
      </c>
      <c r="K541" t="s">
        <v>22</v>
      </c>
      <c r="L541">
        <v>1</v>
      </c>
      <c r="M541">
        <v>2</v>
      </c>
      <c r="N541">
        <v>10</v>
      </c>
      <c r="O541">
        <v>5</v>
      </c>
      <c r="P541">
        <v>39</v>
      </c>
      <c r="Q541" t="s">
        <v>22</v>
      </c>
    </row>
    <row r="542" spans="1:17" x14ac:dyDescent="0.25">
      <c r="A542">
        <v>1678</v>
      </c>
      <c r="B542">
        <v>20</v>
      </c>
      <c r="C542" t="s">
        <v>23</v>
      </c>
      <c r="D542" t="s">
        <v>47</v>
      </c>
      <c r="E542" t="s">
        <v>48</v>
      </c>
      <c r="F542" t="s">
        <v>32</v>
      </c>
      <c r="G542" t="s">
        <v>33</v>
      </c>
      <c r="H542" t="s">
        <v>21</v>
      </c>
      <c r="I542">
        <v>6</v>
      </c>
      <c r="J542">
        <v>8110</v>
      </c>
      <c r="K542" t="s">
        <v>22</v>
      </c>
      <c r="L542">
        <v>4</v>
      </c>
      <c r="M542">
        <v>1</v>
      </c>
      <c r="N542">
        <v>0</v>
      </c>
      <c r="O542">
        <v>0</v>
      </c>
      <c r="P542">
        <v>0</v>
      </c>
      <c r="Q542" t="s">
        <v>22</v>
      </c>
    </row>
    <row r="543" spans="1:17" x14ac:dyDescent="0.25">
      <c r="A543">
        <v>1038</v>
      </c>
      <c r="B543">
        <v>57</v>
      </c>
      <c r="C543" t="s">
        <v>23</v>
      </c>
      <c r="D543" t="s">
        <v>17</v>
      </c>
      <c r="E543" t="s">
        <v>35</v>
      </c>
      <c r="F543" t="s">
        <v>41</v>
      </c>
      <c r="G543" t="s">
        <v>20</v>
      </c>
      <c r="H543" t="s">
        <v>21</v>
      </c>
      <c r="I543">
        <v>13</v>
      </c>
      <c r="J543" t="s">
        <v>137</v>
      </c>
      <c r="K543" t="s">
        <v>42</v>
      </c>
      <c r="L543">
        <v>4</v>
      </c>
      <c r="M543">
        <v>2</v>
      </c>
      <c r="N543">
        <v>20</v>
      </c>
      <c r="O543">
        <v>13</v>
      </c>
      <c r="P543">
        <v>31</v>
      </c>
      <c r="Q543" t="s">
        <v>22</v>
      </c>
    </row>
    <row r="544" spans="1:17" x14ac:dyDescent="0.25">
      <c r="A544">
        <v>1201</v>
      </c>
      <c r="B544">
        <v>27</v>
      </c>
      <c r="C544" t="s">
        <v>23</v>
      </c>
      <c r="D544" t="s">
        <v>17</v>
      </c>
      <c r="E544" t="s">
        <v>35</v>
      </c>
      <c r="F544" t="s">
        <v>41</v>
      </c>
      <c r="G544" t="s">
        <v>37</v>
      </c>
      <c r="H544" t="s">
        <v>34</v>
      </c>
      <c r="I544">
        <v>17</v>
      </c>
      <c r="J544">
        <v>5401</v>
      </c>
      <c r="K544" t="s">
        <v>22</v>
      </c>
      <c r="L544">
        <v>3</v>
      </c>
      <c r="M544">
        <v>1</v>
      </c>
      <c r="N544">
        <v>3</v>
      </c>
      <c r="O544">
        <v>2</v>
      </c>
      <c r="P544">
        <v>3</v>
      </c>
      <c r="Q544" t="s">
        <v>88</v>
      </c>
    </row>
    <row r="545" spans="1:17" x14ac:dyDescent="0.25">
      <c r="A545">
        <v>1790</v>
      </c>
      <c r="B545">
        <v>59</v>
      </c>
      <c r="C545" t="s">
        <v>23</v>
      </c>
      <c r="D545" t="s">
        <v>47</v>
      </c>
      <c r="E545" t="s">
        <v>53</v>
      </c>
      <c r="F545" t="s">
        <v>26</v>
      </c>
      <c r="G545" t="s">
        <v>37</v>
      </c>
      <c r="H545" t="s">
        <v>34</v>
      </c>
      <c r="I545">
        <v>11</v>
      </c>
      <c r="J545">
        <v>16653</v>
      </c>
      <c r="K545" t="s">
        <v>22</v>
      </c>
      <c r="L545">
        <v>4</v>
      </c>
      <c r="M545">
        <v>1</v>
      </c>
      <c r="N545">
        <v>0</v>
      </c>
      <c r="O545">
        <v>0</v>
      </c>
      <c r="P545">
        <v>31</v>
      </c>
      <c r="Q545" t="s">
        <v>22</v>
      </c>
    </row>
    <row r="546" spans="1:17" x14ac:dyDescent="0.25">
      <c r="A546">
        <v>1225</v>
      </c>
      <c r="B546">
        <v>30</v>
      </c>
      <c r="C546" t="s">
        <v>23</v>
      </c>
      <c r="D546" t="s">
        <v>27</v>
      </c>
      <c r="E546" t="s">
        <v>43</v>
      </c>
      <c r="F546" t="s">
        <v>32</v>
      </c>
      <c r="G546" t="s">
        <v>20</v>
      </c>
      <c r="H546" t="s">
        <v>34</v>
      </c>
      <c r="I546">
        <v>4</v>
      </c>
      <c r="J546">
        <v>6855</v>
      </c>
      <c r="K546" t="s">
        <v>22</v>
      </c>
      <c r="L546">
        <v>3</v>
      </c>
      <c r="M546">
        <v>1</v>
      </c>
      <c r="N546">
        <v>0</v>
      </c>
      <c r="O546">
        <v>0</v>
      </c>
      <c r="P546">
        <v>0</v>
      </c>
      <c r="Q546" t="s">
        <v>42</v>
      </c>
    </row>
    <row r="547" spans="1:17" x14ac:dyDescent="0.25">
      <c r="A547">
        <v>1583</v>
      </c>
      <c r="B547">
        <v>32</v>
      </c>
      <c r="C547" t="s">
        <v>23</v>
      </c>
      <c r="D547" t="s">
        <v>115</v>
      </c>
      <c r="E547" t="s">
        <v>50</v>
      </c>
      <c r="F547" t="s">
        <v>29</v>
      </c>
      <c r="G547" t="s">
        <v>37</v>
      </c>
      <c r="H547" t="s">
        <v>34</v>
      </c>
      <c r="I547">
        <v>27</v>
      </c>
      <c r="J547">
        <v>6702</v>
      </c>
      <c r="K547" t="s">
        <v>22</v>
      </c>
      <c r="L547">
        <v>1</v>
      </c>
      <c r="M547">
        <v>4</v>
      </c>
      <c r="N547">
        <v>1</v>
      </c>
      <c r="O547">
        <v>0</v>
      </c>
      <c r="P547">
        <v>7</v>
      </c>
      <c r="Q547" t="s">
        <v>42</v>
      </c>
    </row>
    <row r="548" spans="1:17" x14ac:dyDescent="0.25">
      <c r="A548">
        <v>1845</v>
      </c>
      <c r="B548">
        <v>28</v>
      </c>
      <c r="C548" t="s">
        <v>23</v>
      </c>
      <c r="D548" t="s">
        <v>17</v>
      </c>
      <c r="E548" t="s">
        <v>40</v>
      </c>
      <c r="F548" t="s">
        <v>38</v>
      </c>
      <c r="G548" t="s">
        <v>20</v>
      </c>
      <c r="H548" t="s">
        <v>30</v>
      </c>
      <c r="I548">
        <v>8</v>
      </c>
      <c r="J548">
        <v>4146</v>
      </c>
      <c r="K548" t="s">
        <v>22</v>
      </c>
      <c r="L548">
        <v>4</v>
      </c>
      <c r="M548">
        <v>1</v>
      </c>
      <c r="N548">
        <v>0</v>
      </c>
      <c r="O548">
        <v>0</v>
      </c>
      <c r="P548">
        <v>0</v>
      </c>
      <c r="Q548" t="s">
        <v>42</v>
      </c>
    </row>
    <row r="549" spans="1:17" x14ac:dyDescent="0.25">
      <c r="A549">
        <v>1853</v>
      </c>
      <c r="B549">
        <v>29</v>
      </c>
      <c r="C549" t="s">
        <v>16</v>
      </c>
      <c r="D549" t="s">
        <v>24</v>
      </c>
      <c r="E549" t="s">
        <v>25</v>
      </c>
      <c r="F549" t="s">
        <v>32</v>
      </c>
      <c r="G549" t="s">
        <v>37</v>
      </c>
      <c r="H549" t="s">
        <v>34</v>
      </c>
      <c r="I549">
        <v>7</v>
      </c>
      <c r="J549">
        <v>7663</v>
      </c>
      <c r="K549" t="s">
        <v>42</v>
      </c>
      <c r="L549">
        <v>3</v>
      </c>
      <c r="M549">
        <v>2</v>
      </c>
      <c r="N549">
        <v>1</v>
      </c>
      <c r="O549">
        <v>1</v>
      </c>
      <c r="P549">
        <v>4</v>
      </c>
      <c r="Q549" t="s">
        <v>22</v>
      </c>
    </row>
    <row r="550" spans="1:17" x14ac:dyDescent="0.25">
      <c r="A550">
        <v>1267</v>
      </c>
      <c r="B550">
        <v>57</v>
      </c>
      <c r="C550" t="s">
        <v>23</v>
      </c>
      <c r="D550" t="s">
        <v>27</v>
      </c>
      <c r="E550" t="s">
        <v>28</v>
      </c>
      <c r="F550" t="s">
        <v>19</v>
      </c>
      <c r="G550" t="s">
        <v>37</v>
      </c>
      <c r="H550" t="s">
        <v>21</v>
      </c>
      <c r="I550">
        <v>20</v>
      </c>
      <c r="J550">
        <v>14638</v>
      </c>
      <c r="K550" t="s">
        <v>22</v>
      </c>
      <c r="L550">
        <v>2</v>
      </c>
      <c r="M550">
        <v>1</v>
      </c>
      <c r="N550">
        <v>5</v>
      </c>
      <c r="O550">
        <v>5</v>
      </c>
      <c r="P550">
        <v>27</v>
      </c>
      <c r="Q550" t="s">
        <v>22</v>
      </c>
    </row>
    <row r="551" spans="1:17" x14ac:dyDescent="0.25">
      <c r="A551">
        <v>1971</v>
      </c>
      <c r="B551">
        <v>21</v>
      </c>
      <c r="C551" t="s">
        <v>23</v>
      </c>
      <c r="D551" t="s">
        <v>17</v>
      </c>
      <c r="E551" t="s">
        <v>40</v>
      </c>
      <c r="F551" t="s">
        <v>41</v>
      </c>
      <c r="G551" t="s">
        <v>37</v>
      </c>
      <c r="H551" t="s">
        <v>34</v>
      </c>
      <c r="I551">
        <v>5</v>
      </c>
      <c r="J551">
        <v>3265</v>
      </c>
      <c r="K551" t="s">
        <v>22</v>
      </c>
      <c r="L551">
        <v>3</v>
      </c>
      <c r="M551">
        <v>4</v>
      </c>
      <c r="N551">
        <v>0</v>
      </c>
      <c r="O551">
        <v>0</v>
      </c>
      <c r="P551">
        <v>0</v>
      </c>
      <c r="Q551" t="s">
        <v>42</v>
      </c>
    </row>
    <row r="552" spans="1:17" x14ac:dyDescent="0.25">
      <c r="A552">
        <v>1276</v>
      </c>
      <c r="B552">
        <v>34</v>
      </c>
      <c r="C552" t="s">
        <v>105</v>
      </c>
      <c r="D552" t="s">
        <v>24</v>
      </c>
      <c r="E552" t="s">
        <v>25</v>
      </c>
      <c r="F552" t="s">
        <v>38</v>
      </c>
      <c r="G552" t="s">
        <v>33</v>
      </c>
      <c r="H552" t="s">
        <v>34</v>
      </c>
      <c r="I552">
        <v>27</v>
      </c>
      <c r="J552">
        <v>10238</v>
      </c>
      <c r="K552" t="s">
        <v>22</v>
      </c>
      <c r="L552">
        <v>2</v>
      </c>
      <c r="M552">
        <v>4</v>
      </c>
      <c r="N552">
        <v>5</v>
      </c>
      <c r="O552">
        <v>2</v>
      </c>
      <c r="P552">
        <v>14</v>
      </c>
      <c r="Q552" t="s">
        <v>22</v>
      </c>
    </row>
    <row r="553" spans="1:17" x14ac:dyDescent="0.25">
      <c r="A553">
        <v>1235</v>
      </c>
      <c r="B553">
        <v>35</v>
      </c>
      <c r="C553" t="s">
        <v>23</v>
      </c>
      <c r="D553" t="s">
        <v>47</v>
      </c>
      <c r="E553" t="s">
        <v>50</v>
      </c>
      <c r="F553" t="s">
        <v>38</v>
      </c>
      <c r="G553" t="s">
        <v>37</v>
      </c>
      <c r="H553" t="s">
        <v>34</v>
      </c>
      <c r="I553">
        <v>27</v>
      </c>
      <c r="J553">
        <v>9084</v>
      </c>
      <c r="K553" t="s">
        <v>22</v>
      </c>
      <c r="L553">
        <v>3</v>
      </c>
      <c r="M553">
        <v>3</v>
      </c>
      <c r="N553">
        <v>8</v>
      </c>
      <c r="O553">
        <v>5</v>
      </c>
      <c r="P553">
        <v>15</v>
      </c>
      <c r="Q553" t="s">
        <v>22</v>
      </c>
    </row>
    <row r="554" spans="1:17" x14ac:dyDescent="0.25">
      <c r="A554">
        <v>1773</v>
      </c>
      <c r="B554">
        <v>56</v>
      </c>
      <c r="C554" t="s">
        <v>16</v>
      </c>
      <c r="D554" t="s">
        <v>24</v>
      </c>
      <c r="E554" t="s">
        <v>52</v>
      </c>
      <c r="F554" t="s">
        <v>38</v>
      </c>
      <c r="G554" t="s">
        <v>20</v>
      </c>
      <c r="H554" t="s">
        <v>30</v>
      </c>
      <c r="I554">
        <v>9</v>
      </c>
      <c r="J554">
        <v>9485</v>
      </c>
      <c r="K554" t="s">
        <v>42</v>
      </c>
      <c r="L554">
        <v>1</v>
      </c>
      <c r="M554">
        <v>2</v>
      </c>
      <c r="N554">
        <v>6</v>
      </c>
      <c r="O554">
        <v>1</v>
      </c>
      <c r="P554">
        <v>21</v>
      </c>
      <c r="Q554" t="s">
        <v>22</v>
      </c>
    </row>
    <row r="555" spans="1:17" x14ac:dyDescent="0.25">
      <c r="A555">
        <v>1262</v>
      </c>
      <c r="B555">
        <v>45</v>
      </c>
      <c r="C555" t="s">
        <v>16</v>
      </c>
      <c r="D555" t="s">
        <v>24</v>
      </c>
      <c r="E555" t="s">
        <v>45</v>
      </c>
      <c r="F555" t="s">
        <v>38</v>
      </c>
      <c r="G555" t="s">
        <v>37</v>
      </c>
      <c r="H555" t="s">
        <v>34</v>
      </c>
      <c r="I555">
        <v>4</v>
      </c>
      <c r="J555">
        <v>8862</v>
      </c>
      <c r="K555" t="s">
        <v>22</v>
      </c>
      <c r="L555">
        <v>1</v>
      </c>
      <c r="M555">
        <v>4</v>
      </c>
      <c r="N555">
        <v>14</v>
      </c>
      <c r="O555">
        <v>12</v>
      </c>
      <c r="P555">
        <v>21</v>
      </c>
      <c r="Q555" t="s">
        <v>22</v>
      </c>
    </row>
    <row r="556" spans="1:17" x14ac:dyDescent="0.25">
      <c r="A556">
        <v>1948</v>
      </c>
      <c r="B556">
        <v>43</v>
      </c>
      <c r="C556" t="s">
        <v>23</v>
      </c>
      <c r="D556" t="s">
        <v>47</v>
      </c>
      <c r="E556" t="s">
        <v>48</v>
      </c>
      <c r="F556" t="s">
        <v>26</v>
      </c>
      <c r="G556" t="s">
        <v>33</v>
      </c>
      <c r="H556" t="s">
        <v>21</v>
      </c>
      <c r="I556">
        <v>11</v>
      </c>
      <c r="J556">
        <v>9996</v>
      </c>
      <c r="K556" t="s">
        <v>22</v>
      </c>
      <c r="L556">
        <v>1</v>
      </c>
      <c r="M556">
        <v>2</v>
      </c>
      <c r="N556">
        <v>9</v>
      </c>
      <c r="O556">
        <v>6</v>
      </c>
      <c r="P556">
        <v>21</v>
      </c>
      <c r="Q556" t="s">
        <v>22</v>
      </c>
    </row>
    <row r="557" spans="1:17" x14ac:dyDescent="0.25">
      <c r="A557">
        <v>1092</v>
      </c>
      <c r="B557">
        <v>31</v>
      </c>
      <c r="C557" t="s">
        <v>87</v>
      </c>
      <c r="D557" t="s">
        <v>17</v>
      </c>
      <c r="E557" t="s">
        <v>40</v>
      </c>
      <c r="F557" t="s">
        <v>41</v>
      </c>
      <c r="G557" t="s">
        <v>37</v>
      </c>
      <c r="H557" t="s">
        <v>30</v>
      </c>
      <c r="I557">
        <v>19</v>
      </c>
      <c r="J557">
        <v>3780</v>
      </c>
      <c r="K557" t="s">
        <v>22</v>
      </c>
      <c r="L557">
        <v>2</v>
      </c>
      <c r="M557">
        <v>4</v>
      </c>
      <c r="N557">
        <v>0</v>
      </c>
      <c r="O557">
        <v>0</v>
      </c>
      <c r="P557">
        <v>0</v>
      </c>
      <c r="Q557" t="s">
        <v>22</v>
      </c>
    </row>
    <row r="558" spans="1:17" x14ac:dyDescent="0.25">
      <c r="A558">
        <v>1763</v>
      </c>
      <c r="B558">
        <v>43</v>
      </c>
      <c r="C558" t="s">
        <v>23</v>
      </c>
      <c r="D558" t="s">
        <v>24</v>
      </c>
      <c r="E558" t="s">
        <v>25</v>
      </c>
      <c r="F558" t="s">
        <v>41</v>
      </c>
      <c r="G558" t="s">
        <v>33</v>
      </c>
      <c r="H558" t="s">
        <v>21</v>
      </c>
      <c r="I558">
        <v>28</v>
      </c>
      <c r="J558">
        <v>13395</v>
      </c>
      <c r="K558" t="s">
        <v>22</v>
      </c>
      <c r="L558">
        <v>3</v>
      </c>
      <c r="M558">
        <v>3</v>
      </c>
      <c r="N558">
        <v>0</v>
      </c>
      <c r="O558">
        <v>0</v>
      </c>
      <c r="P558">
        <v>18</v>
      </c>
      <c r="Q558" t="s">
        <v>42</v>
      </c>
    </row>
    <row r="559" spans="1:17" x14ac:dyDescent="0.25">
      <c r="A559">
        <v>1736</v>
      </c>
      <c r="B559">
        <v>33</v>
      </c>
      <c r="C559" t="s">
        <v>87</v>
      </c>
      <c r="D559" t="s">
        <v>27</v>
      </c>
      <c r="E559" t="s">
        <v>31</v>
      </c>
      <c r="F559" t="s">
        <v>36</v>
      </c>
      <c r="G559" t="s">
        <v>20</v>
      </c>
      <c r="H559" t="s">
        <v>30</v>
      </c>
      <c r="I559">
        <v>24</v>
      </c>
      <c r="J559">
        <v>6276</v>
      </c>
      <c r="K559" t="s">
        <v>22</v>
      </c>
      <c r="L559">
        <v>2</v>
      </c>
      <c r="M559">
        <v>3</v>
      </c>
      <c r="N559">
        <v>1</v>
      </c>
      <c r="O559">
        <v>0</v>
      </c>
      <c r="P559">
        <v>2</v>
      </c>
      <c r="Q559" t="s">
        <v>22</v>
      </c>
    </row>
    <row r="560" spans="1:17" x14ac:dyDescent="0.25">
      <c r="A560">
        <v>1988</v>
      </c>
      <c r="B560">
        <v>43</v>
      </c>
      <c r="C560" t="s">
        <v>16</v>
      </c>
      <c r="D560" t="s">
        <v>17</v>
      </c>
      <c r="E560" t="s">
        <v>18</v>
      </c>
      <c r="F560" t="s">
        <v>19</v>
      </c>
      <c r="G560" t="s">
        <v>20</v>
      </c>
      <c r="H560" t="s">
        <v>34</v>
      </c>
      <c r="I560">
        <v>12</v>
      </c>
      <c r="J560" t="s">
        <v>138</v>
      </c>
      <c r="K560" t="s">
        <v>22</v>
      </c>
      <c r="L560">
        <v>4</v>
      </c>
      <c r="M560">
        <v>2</v>
      </c>
      <c r="N560">
        <v>10</v>
      </c>
      <c r="O560">
        <v>10</v>
      </c>
      <c r="P560">
        <v>18</v>
      </c>
      <c r="Q560" t="s">
        <v>22</v>
      </c>
    </row>
    <row r="561" spans="1:17" x14ac:dyDescent="0.25">
      <c r="A561">
        <v>1503</v>
      </c>
      <c r="B561">
        <v>52</v>
      </c>
      <c r="C561" t="s">
        <v>23</v>
      </c>
      <c r="D561" t="s">
        <v>17</v>
      </c>
      <c r="E561" t="s">
        <v>40</v>
      </c>
      <c r="F561" t="s">
        <v>19</v>
      </c>
      <c r="G561" t="s">
        <v>37</v>
      </c>
      <c r="H561" t="s">
        <v>30</v>
      </c>
      <c r="I561">
        <v>29</v>
      </c>
      <c r="J561">
        <v>11194</v>
      </c>
      <c r="K561" t="s">
        <v>42</v>
      </c>
      <c r="L561">
        <v>4</v>
      </c>
      <c r="M561">
        <v>1</v>
      </c>
      <c r="N561">
        <v>14</v>
      </c>
      <c r="O561">
        <v>2</v>
      </c>
      <c r="P561">
        <v>32</v>
      </c>
      <c r="Q561" t="s">
        <v>22</v>
      </c>
    </row>
    <row r="562" spans="1:17" x14ac:dyDescent="0.25">
      <c r="A562">
        <v>1021</v>
      </c>
      <c r="B562">
        <v>48</v>
      </c>
      <c r="C562" t="s">
        <v>23</v>
      </c>
      <c r="D562" t="s">
        <v>24</v>
      </c>
      <c r="E562" t="s">
        <v>52</v>
      </c>
      <c r="F562" t="s">
        <v>36</v>
      </c>
      <c r="G562" t="s">
        <v>37</v>
      </c>
      <c r="H562" t="s">
        <v>30</v>
      </c>
      <c r="I562">
        <v>5</v>
      </c>
      <c r="J562">
        <v>8572</v>
      </c>
      <c r="K562" t="s">
        <v>22</v>
      </c>
      <c r="L562">
        <v>3</v>
      </c>
      <c r="M562">
        <v>1</v>
      </c>
      <c r="N562">
        <v>19</v>
      </c>
      <c r="O562">
        <v>16</v>
      </c>
      <c r="P562">
        <v>27</v>
      </c>
      <c r="Q562" t="s">
        <v>22</v>
      </c>
    </row>
    <row r="563" spans="1:17" x14ac:dyDescent="0.25">
      <c r="A563">
        <v>1391</v>
      </c>
      <c r="B563">
        <v>20</v>
      </c>
      <c r="C563" t="s">
        <v>87</v>
      </c>
      <c r="D563" t="s">
        <v>47</v>
      </c>
      <c r="E563" t="s">
        <v>53</v>
      </c>
      <c r="F563" t="s">
        <v>36</v>
      </c>
      <c r="G563" t="s">
        <v>37</v>
      </c>
      <c r="H563" t="s">
        <v>30</v>
      </c>
      <c r="I563">
        <v>18</v>
      </c>
      <c r="J563">
        <v>8321</v>
      </c>
      <c r="K563" t="s">
        <v>22</v>
      </c>
      <c r="L563">
        <v>3</v>
      </c>
      <c r="M563">
        <v>1</v>
      </c>
      <c r="N563">
        <v>0</v>
      </c>
      <c r="O563">
        <v>0</v>
      </c>
      <c r="P563">
        <v>0</v>
      </c>
      <c r="Q563" t="s">
        <v>22</v>
      </c>
    </row>
    <row r="564" spans="1:17" x14ac:dyDescent="0.25">
      <c r="A564">
        <v>1369</v>
      </c>
      <c r="B564">
        <v>55</v>
      </c>
      <c r="C564" t="s">
        <v>107</v>
      </c>
      <c r="D564" t="s">
        <v>38</v>
      </c>
      <c r="E564" t="s">
        <v>39</v>
      </c>
      <c r="F564" t="s">
        <v>36</v>
      </c>
      <c r="G564" t="s">
        <v>37</v>
      </c>
      <c r="H564" t="s">
        <v>30</v>
      </c>
      <c r="I564">
        <v>2</v>
      </c>
      <c r="J564">
        <v>11959</v>
      </c>
      <c r="K564" t="s">
        <v>22</v>
      </c>
      <c r="L564">
        <v>2</v>
      </c>
      <c r="M564">
        <v>1</v>
      </c>
      <c r="N564">
        <v>6</v>
      </c>
      <c r="O564">
        <v>0</v>
      </c>
      <c r="P564">
        <v>29</v>
      </c>
      <c r="Q564" t="s">
        <v>42</v>
      </c>
    </row>
    <row r="565" spans="1:17" x14ac:dyDescent="0.25">
      <c r="A565">
        <v>1354</v>
      </c>
      <c r="B565">
        <v>20</v>
      </c>
      <c r="C565" t="s">
        <v>16</v>
      </c>
      <c r="D565" t="s">
        <v>17</v>
      </c>
      <c r="E565" t="s">
        <v>18</v>
      </c>
      <c r="F565" t="s">
        <v>32</v>
      </c>
      <c r="G565" t="s">
        <v>20</v>
      </c>
      <c r="H565" t="s">
        <v>30</v>
      </c>
      <c r="I565">
        <v>29</v>
      </c>
      <c r="J565">
        <v>9536</v>
      </c>
      <c r="K565" t="s">
        <v>22</v>
      </c>
      <c r="L565">
        <v>1</v>
      </c>
      <c r="M565">
        <v>1</v>
      </c>
      <c r="N565">
        <v>0</v>
      </c>
      <c r="O565">
        <v>0</v>
      </c>
      <c r="P565">
        <v>0</v>
      </c>
      <c r="Q565" t="s">
        <v>22</v>
      </c>
    </row>
    <row r="566" spans="1:17" x14ac:dyDescent="0.25">
      <c r="A566">
        <v>1399</v>
      </c>
      <c r="B566">
        <v>37</v>
      </c>
      <c r="C566" t="s">
        <v>23</v>
      </c>
      <c r="D566" t="s">
        <v>17</v>
      </c>
      <c r="E566" t="s">
        <v>35</v>
      </c>
      <c r="F566" t="s">
        <v>32</v>
      </c>
      <c r="G566" t="s">
        <v>20</v>
      </c>
      <c r="H566" t="s">
        <v>34</v>
      </c>
      <c r="I566">
        <v>9</v>
      </c>
      <c r="J566" t="s">
        <v>139</v>
      </c>
      <c r="K566" t="s">
        <v>22</v>
      </c>
      <c r="L566">
        <v>4</v>
      </c>
      <c r="M566">
        <v>3</v>
      </c>
      <c r="N566">
        <v>1</v>
      </c>
      <c r="O566">
        <v>0</v>
      </c>
      <c r="P566">
        <v>13</v>
      </c>
      <c r="Q566" t="s">
        <v>22</v>
      </c>
    </row>
    <row r="567" spans="1:17" x14ac:dyDescent="0.25">
      <c r="A567">
        <v>1023</v>
      </c>
      <c r="B567">
        <v>28</v>
      </c>
      <c r="C567" t="s">
        <v>87</v>
      </c>
      <c r="D567" t="s">
        <v>17</v>
      </c>
      <c r="E567" t="s">
        <v>35</v>
      </c>
      <c r="F567" t="s">
        <v>29</v>
      </c>
      <c r="G567" t="s">
        <v>33</v>
      </c>
      <c r="H567" t="s">
        <v>21</v>
      </c>
      <c r="I567">
        <v>23</v>
      </c>
      <c r="J567">
        <v>4551</v>
      </c>
      <c r="K567" t="s">
        <v>22</v>
      </c>
      <c r="L567">
        <v>1</v>
      </c>
      <c r="M567">
        <v>1</v>
      </c>
      <c r="N567">
        <v>1</v>
      </c>
      <c r="O567">
        <v>1</v>
      </c>
      <c r="P567">
        <v>1</v>
      </c>
      <c r="Q567" t="s">
        <v>22</v>
      </c>
    </row>
    <row r="568" spans="1:17" x14ac:dyDescent="0.25">
      <c r="A568">
        <v>1464</v>
      </c>
      <c r="B568">
        <v>49</v>
      </c>
      <c r="C568" t="s">
        <v>23</v>
      </c>
      <c r="D568" t="s">
        <v>27</v>
      </c>
      <c r="E568" t="s">
        <v>28</v>
      </c>
      <c r="F568" t="s">
        <v>26</v>
      </c>
      <c r="G568" t="s">
        <v>33</v>
      </c>
      <c r="H568" t="s">
        <v>30</v>
      </c>
      <c r="I568">
        <v>23</v>
      </c>
      <c r="J568">
        <v>14835</v>
      </c>
      <c r="K568" t="s">
        <v>42</v>
      </c>
      <c r="L568">
        <v>4</v>
      </c>
      <c r="M568">
        <v>4</v>
      </c>
      <c r="N568">
        <v>21</v>
      </c>
      <c r="O568">
        <v>9</v>
      </c>
      <c r="P568">
        <v>28</v>
      </c>
      <c r="Q568" t="s">
        <v>22</v>
      </c>
    </row>
    <row r="569" spans="1:17" x14ac:dyDescent="0.25">
      <c r="A569">
        <v>1983</v>
      </c>
      <c r="B569">
        <v>56</v>
      </c>
      <c r="C569" t="s">
        <v>23</v>
      </c>
      <c r="D569" t="s">
        <v>24</v>
      </c>
      <c r="E569" t="s">
        <v>45</v>
      </c>
      <c r="F569" t="s">
        <v>19</v>
      </c>
      <c r="G569" t="s">
        <v>33</v>
      </c>
      <c r="H569" t="s">
        <v>34</v>
      </c>
      <c r="I569">
        <v>14</v>
      </c>
      <c r="J569">
        <v>11567</v>
      </c>
      <c r="K569" t="s">
        <v>42</v>
      </c>
      <c r="L569">
        <v>4</v>
      </c>
      <c r="M569">
        <v>3</v>
      </c>
      <c r="N569">
        <v>11</v>
      </c>
      <c r="O569">
        <v>3</v>
      </c>
      <c r="P569">
        <v>34</v>
      </c>
      <c r="Q569" t="s">
        <v>22</v>
      </c>
    </row>
    <row r="570" spans="1:17" x14ac:dyDescent="0.25">
      <c r="A570">
        <v>1917</v>
      </c>
      <c r="B570">
        <v>27</v>
      </c>
      <c r="C570" t="s">
        <v>16</v>
      </c>
      <c r="D570" t="s">
        <v>38</v>
      </c>
      <c r="E570" t="s">
        <v>49</v>
      </c>
      <c r="F570" t="s">
        <v>19</v>
      </c>
      <c r="G570" t="s">
        <v>20</v>
      </c>
      <c r="H570" t="s">
        <v>34</v>
      </c>
      <c r="I570">
        <v>11</v>
      </c>
      <c r="J570">
        <v>9022</v>
      </c>
      <c r="K570" t="s">
        <v>42</v>
      </c>
      <c r="L570">
        <v>4</v>
      </c>
      <c r="M570">
        <v>4</v>
      </c>
      <c r="N570">
        <v>1</v>
      </c>
      <c r="O570">
        <v>1</v>
      </c>
      <c r="P570">
        <v>1</v>
      </c>
      <c r="Q570" t="s">
        <v>42</v>
      </c>
    </row>
    <row r="571" spans="1:17" x14ac:dyDescent="0.25">
      <c r="A571">
        <v>1966</v>
      </c>
      <c r="B571">
        <v>21</v>
      </c>
      <c r="C571" t="s">
        <v>87</v>
      </c>
      <c r="D571" t="s">
        <v>47</v>
      </c>
      <c r="E571" t="s">
        <v>48</v>
      </c>
      <c r="F571" t="s">
        <v>41</v>
      </c>
      <c r="G571" t="s">
        <v>20</v>
      </c>
      <c r="H571" t="s">
        <v>30</v>
      </c>
      <c r="I571">
        <v>29</v>
      </c>
      <c r="J571">
        <v>6374</v>
      </c>
      <c r="K571" t="s">
        <v>22</v>
      </c>
      <c r="L571">
        <v>3</v>
      </c>
      <c r="M571">
        <v>2</v>
      </c>
      <c r="N571">
        <v>0</v>
      </c>
      <c r="O571">
        <v>0</v>
      </c>
      <c r="P571">
        <v>0</v>
      </c>
      <c r="Q571" t="s">
        <v>42</v>
      </c>
    </row>
    <row r="572" spans="1:17" x14ac:dyDescent="0.25">
      <c r="A572">
        <v>1797</v>
      </c>
      <c r="B572">
        <v>29</v>
      </c>
      <c r="C572" t="s">
        <v>23</v>
      </c>
      <c r="D572" t="s">
        <v>38</v>
      </c>
      <c r="E572" t="s">
        <v>49</v>
      </c>
      <c r="F572" t="s">
        <v>41</v>
      </c>
      <c r="G572" t="s">
        <v>37</v>
      </c>
      <c r="H572" t="s">
        <v>30</v>
      </c>
      <c r="I572">
        <v>13</v>
      </c>
      <c r="J572">
        <v>6365</v>
      </c>
      <c r="K572" t="s">
        <v>42</v>
      </c>
      <c r="L572">
        <v>4</v>
      </c>
      <c r="M572">
        <v>2</v>
      </c>
      <c r="N572">
        <v>1</v>
      </c>
      <c r="O572">
        <v>0</v>
      </c>
      <c r="P572">
        <v>9</v>
      </c>
      <c r="Q572" t="s">
        <v>22</v>
      </c>
    </row>
    <row r="573" spans="1:17" x14ac:dyDescent="0.25">
      <c r="A573">
        <v>1389</v>
      </c>
      <c r="B573">
        <v>58</v>
      </c>
      <c r="C573" t="s">
        <v>23</v>
      </c>
      <c r="D573" t="s">
        <v>17</v>
      </c>
      <c r="E573" t="s">
        <v>40</v>
      </c>
      <c r="F573" t="s">
        <v>26</v>
      </c>
      <c r="G573" t="s">
        <v>33</v>
      </c>
      <c r="H573" t="s">
        <v>34</v>
      </c>
      <c r="I573">
        <v>29</v>
      </c>
      <c r="J573">
        <v>9965</v>
      </c>
      <c r="K573" t="s">
        <v>22</v>
      </c>
      <c r="L573">
        <v>2</v>
      </c>
      <c r="M573">
        <v>2</v>
      </c>
      <c r="N573">
        <v>15</v>
      </c>
      <c r="O573">
        <v>1</v>
      </c>
      <c r="P573">
        <v>34</v>
      </c>
      <c r="Q573" t="s">
        <v>22</v>
      </c>
    </row>
    <row r="574" spans="1:17" x14ac:dyDescent="0.25">
      <c r="A574">
        <v>1660</v>
      </c>
      <c r="B574">
        <v>35</v>
      </c>
      <c r="C574" t="s">
        <v>23</v>
      </c>
      <c r="D574" t="s">
        <v>24</v>
      </c>
      <c r="E574" t="s">
        <v>52</v>
      </c>
      <c r="F574" t="s">
        <v>32</v>
      </c>
      <c r="G574" t="s">
        <v>33</v>
      </c>
      <c r="H574" t="s">
        <v>34</v>
      </c>
      <c r="I574">
        <v>29</v>
      </c>
      <c r="J574">
        <v>9038</v>
      </c>
      <c r="K574" t="s">
        <v>42</v>
      </c>
      <c r="L574">
        <v>1</v>
      </c>
      <c r="M574">
        <v>3</v>
      </c>
      <c r="N574">
        <v>3</v>
      </c>
      <c r="O574">
        <v>0</v>
      </c>
      <c r="P574">
        <v>15</v>
      </c>
      <c r="Q574" t="s">
        <v>22</v>
      </c>
    </row>
    <row r="575" spans="1:17" x14ac:dyDescent="0.25">
      <c r="A575">
        <v>1298</v>
      </c>
      <c r="B575">
        <v>58</v>
      </c>
      <c r="C575" t="s">
        <v>23</v>
      </c>
      <c r="D575" t="s">
        <v>24</v>
      </c>
      <c r="E575" t="s">
        <v>52</v>
      </c>
      <c r="F575" t="s">
        <v>29</v>
      </c>
      <c r="G575" t="s">
        <v>33</v>
      </c>
      <c r="H575" t="s">
        <v>30</v>
      </c>
      <c r="I575">
        <v>5</v>
      </c>
      <c r="J575">
        <v>13345</v>
      </c>
      <c r="K575" t="s">
        <v>22</v>
      </c>
      <c r="L575">
        <v>1</v>
      </c>
      <c r="M575">
        <v>1</v>
      </c>
      <c r="N575">
        <v>19</v>
      </c>
      <c r="O575">
        <v>19</v>
      </c>
      <c r="P575">
        <v>38</v>
      </c>
      <c r="Q575" t="s">
        <v>22</v>
      </c>
    </row>
    <row r="576" spans="1:17" x14ac:dyDescent="0.25">
      <c r="A576">
        <v>1255</v>
      </c>
      <c r="B576">
        <v>25</v>
      </c>
      <c r="C576" t="s">
        <v>23</v>
      </c>
      <c r="D576" t="s">
        <v>17</v>
      </c>
      <c r="E576" t="s">
        <v>40</v>
      </c>
      <c r="F576" t="s">
        <v>38</v>
      </c>
      <c r="G576" t="s">
        <v>33</v>
      </c>
      <c r="H576" t="s">
        <v>21</v>
      </c>
      <c r="I576">
        <v>4</v>
      </c>
      <c r="J576">
        <v>4631</v>
      </c>
      <c r="K576" t="s">
        <v>22</v>
      </c>
      <c r="L576">
        <v>1</v>
      </c>
      <c r="M576">
        <v>1</v>
      </c>
      <c r="N576">
        <v>5</v>
      </c>
      <c r="O576">
        <v>3</v>
      </c>
      <c r="P576">
        <v>5</v>
      </c>
      <c r="Q576" t="s">
        <v>22</v>
      </c>
    </row>
    <row r="577" spans="1:17" x14ac:dyDescent="0.25">
      <c r="A577">
        <v>1281</v>
      </c>
      <c r="B577">
        <v>57</v>
      </c>
      <c r="C577" t="s">
        <v>23</v>
      </c>
      <c r="D577" t="s">
        <v>38</v>
      </c>
      <c r="E577" t="s">
        <v>39</v>
      </c>
      <c r="F577" t="s">
        <v>41</v>
      </c>
      <c r="G577" t="s">
        <v>20</v>
      </c>
      <c r="H577" t="s">
        <v>21</v>
      </c>
      <c r="I577">
        <v>10</v>
      </c>
      <c r="J577">
        <v>12226</v>
      </c>
      <c r="K577" t="s">
        <v>22</v>
      </c>
      <c r="L577">
        <v>3</v>
      </c>
      <c r="M577">
        <v>3</v>
      </c>
      <c r="N577">
        <v>11</v>
      </c>
      <c r="O577">
        <v>8</v>
      </c>
      <c r="P577">
        <v>37</v>
      </c>
      <c r="Q577" t="s">
        <v>22</v>
      </c>
    </row>
    <row r="578" spans="1:17" x14ac:dyDescent="0.25">
      <c r="A578">
        <v>1415</v>
      </c>
      <c r="B578">
        <v>23</v>
      </c>
      <c r="C578" t="s">
        <v>16</v>
      </c>
      <c r="D578" t="s">
        <v>17</v>
      </c>
      <c r="E578" t="s">
        <v>18</v>
      </c>
      <c r="F578" t="s">
        <v>29</v>
      </c>
      <c r="G578" t="s">
        <v>37</v>
      </c>
      <c r="H578" t="s">
        <v>34</v>
      </c>
      <c r="I578">
        <v>4</v>
      </c>
      <c r="J578">
        <v>7776</v>
      </c>
      <c r="K578" t="s">
        <v>22</v>
      </c>
      <c r="L578">
        <v>2</v>
      </c>
      <c r="M578">
        <v>1</v>
      </c>
      <c r="N578">
        <v>0</v>
      </c>
      <c r="O578">
        <v>0</v>
      </c>
      <c r="P578">
        <v>3</v>
      </c>
      <c r="Q578" t="s">
        <v>42</v>
      </c>
    </row>
    <row r="579" spans="1:17" x14ac:dyDescent="0.25">
      <c r="A579">
        <v>1362</v>
      </c>
      <c r="B579">
        <v>33</v>
      </c>
      <c r="C579" t="s">
        <v>16</v>
      </c>
      <c r="D579" t="s">
        <v>27</v>
      </c>
      <c r="E579" t="s">
        <v>43</v>
      </c>
      <c r="F579" t="s">
        <v>38</v>
      </c>
      <c r="G579" t="s">
        <v>20</v>
      </c>
      <c r="H579" t="s">
        <v>30</v>
      </c>
      <c r="I579">
        <v>25</v>
      </c>
      <c r="J579">
        <v>9733</v>
      </c>
      <c r="K579" t="s">
        <v>22</v>
      </c>
      <c r="L579">
        <v>4</v>
      </c>
      <c r="M579">
        <v>2</v>
      </c>
      <c r="N579">
        <v>7</v>
      </c>
      <c r="O579">
        <v>7</v>
      </c>
      <c r="P579">
        <v>13</v>
      </c>
      <c r="Q579" t="s">
        <v>42</v>
      </c>
    </row>
    <row r="580" spans="1:17" x14ac:dyDescent="0.25">
      <c r="A580">
        <v>1322</v>
      </c>
      <c r="B580">
        <v>53</v>
      </c>
      <c r="C580" t="s">
        <v>87</v>
      </c>
      <c r="D580" t="s">
        <v>17</v>
      </c>
      <c r="E580" t="s">
        <v>35</v>
      </c>
      <c r="F580" t="s">
        <v>38</v>
      </c>
      <c r="G580" t="s">
        <v>33</v>
      </c>
      <c r="H580" t="s">
        <v>34</v>
      </c>
      <c r="I580">
        <v>24</v>
      </c>
      <c r="J580">
        <v>9838</v>
      </c>
      <c r="K580" t="s">
        <v>42</v>
      </c>
      <c r="L580">
        <v>4</v>
      </c>
      <c r="M580">
        <v>3</v>
      </c>
      <c r="N580">
        <v>8</v>
      </c>
      <c r="O580">
        <v>2</v>
      </c>
      <c r="P580">
        <v>29</v>
      </c>
      <c r="Q580" t="s">
        <v>22</v>
      </c>
    </row>
    <row r="581" spans="1:17" x14ac:dyDescent="0.25">
      <c r="A581">
        <v>1224</v>
      </c>
      <c r="B581">
        <v>44</v>
      </c>
      <c r="C581" t="s">
        <v>16</v>
      </c>
      <c r="D581" t="s">
        <v>27</v>
      </c>
      <c r="E581" t="s">
        <v>31</v>
      </c>
      <c r="F581" t="s">
        <v>26</v>
      </c>
      <c r="G581" t="s">
        <v>37</v>
      </c>
      <c r="H581" t="s">
        <v>30</v>
      </c>
      <c r="I581">
        <v>4</v>
      </c>
      <c r="J581">
        <v>9352</v>
      </c>
      <c r="K581" t="s">
        <v>22</v>
      </c>
      <c r="L581">
        <v>4</v>
      </c>
      <c r="M581">
        <v>3</v>
      </c>
      <c r="N581">
        <v>5</v>
      </c>
      <c r="O581">
        <v>3</v>
      </c>
      <c r="P581">
        <v>15</v>
      </c>
      <c r="Q581" t="s">
        <v>22</v>
      </c>
    </row>
    <row r="582" spans="1:17" x14ac:dyDescent="0.25">
      <c r="A582">
        <v>1213</v>
      </c>
      <c r="B582">
        <v>27</v>
      </c>
      <c r="C582" t="s">
        <v>16</v>
      </c>
      <c r="D582" t="s">
        <v>17</v>
      </c>
      <c r="E582" t="s">
        <v>35</v>
      </c>
      <c r="F582" t="s">
        <v>19</v>
      </c>
      <c r="G582" t="s">
        <v>33</v>
      </c>
      <c r="H582" t="s">
        <v>34</v>
      </c>
      <c r="I582">
        <v>22</v>
      </c>
      <c r="J582">
        <v>6872</v>
      </c>
      <c r="K582" t="s">
        <v>42</v>
      </c>
      <c r="L582">
        <v>4</v>
      </c>
      <c r="M582">
        <v>4</v>
      </c>
      <c r="N582">
        <v>2</v>
      </c>
      <c r="O582">
        <v>2</v>
      </c>
      <c r="P582">
        <v>7</v>
      </c>
      <c r="Q582" t="s">
        <v>22</v>
      </c>
    </row>
    <row r="583" spans="1:17" x14ac:dyDescent="0.25">
      <c r="A583">
        <v>1414</v>
      </c>
      <c r="B583">
        <v>54</v>
      </c>
      <c r="C583" t="s">
        <v>87</v>
      </c>
      <c r="D583" t="s">
        <v>27</v>
      </c>
      <c r="E583" t="s">
        <v>28</v>
      </c>
      <c r="F583" t="s">
        <v>38</v>
      </c>
      <c r="G583" t="s">
        <v>37</v>
      </c>
      <c r="H583" t="s">
        <v>34</v>
      </c>
      <c r="I583">
        <v>20</v>
      </c>
      <c r="J583">
        <v>17023</v>
      </c>
      <c r="K583" t="s">
        <v>22</v>
      </c>
      <c r="L583">
        <v>4</v>
      </c>
      <c r="M583">
        <v>1</v>
      </c>
      <c r="N583">
        <v>2</v>
      </c>
      <c r="O583">
        <v>0</v>
      </c>
      <c r="P583">
        <v>33</v>
      </c>
      <c r="Q583" t="s">
        <v>42</v>
      </c>
    </row>
    <row r="584" spans="1:17" x14ac:dyDescent="0.25">
      <c r="A584">
        <v>1173</v>
      </c>
      <c r="B584">
        <v>48</v>
      </c>
      <c r="C584" t="s">
        <v>16</v>
      </c>
      <c r="D584" t="s">
        <v>27</v>
      </c>
      <c r="E584" t="s">
        <v>31</v>
      </c>
      <c r="F584" t="s">
        <v>38</v>
      </c>
      <c r="G584" t="s">
        <v>33</v>
      </c>
      <c r="H584" t="s">
        <v>34</v>
      </c>
      <c r="I584">
        <v>26</v>
      </c>
      <c r="J584">
        <v>11046</v>
      </c>
      <c r="K584" t="s">
        <v>22</v>
      </c>
      <c r="L584">
        <v>1</v>
      </c>
      <c r="M584">
        <v>3</v>
      </c>
      <c r="N584">
        <v>12</v>
      </c>
      <c r="O584">
        <v>8</v>
      </c>
      <c r="P584">
        <v>28</v>
      </c>
      <c r="Q584" t="s">
        <v>22</v>
      </c>
    </row>
    <row r="585" spans="1:17" x14ac:dyDescent="0.25">
      <c r="A585">
        <v>1387</v>
      </c>
      <c r="B585">
        <v>54</v>
      </c>
      <c r="C585" t="s">
        <v>23</v>
      </c>
      <c r="D585" t="s">
        <v>17</v>
      </c>
      <c r="E585" t="s">
        <v>35</v>
      </c>
      <c r="F585" t="s">
        <v>29</v>
      </c>
      <c r="G585" t="s">
        <v>20</v>
      </c>
      <c r="H585" t="s">
        <v>21</v>
      </c>
      <c r="I585">
        <v>7</v>
      </c>
      <c r="J585">
        <v>9794</v>
      </c>
      <c r="K585" t="s">
        <v>42</v>
      </c>
      <c r="L585">
        <v>4</v>
      </c>
      <c r="M585">
        <v>4</v>
      </c>
      <c r="N585">
        <v>7</v>
      </c>
      <c r="O585">
        <v>3</v>
      </c>
      <c r="P585">
        <v>23</v>
      </c>
      <c r="Q585" t="s">
        <v>95</v>
      </c>
    </row>
    <row r="586" spans="1:17" x14ac:dyDescent="0.25">
      <c r="A586">
        <v>1080</v>
      </c>
      <c r="B586">
        <v>44</v>
      </c>
      <c r="C586" t="s">
        <v>16</v>
      </c>
      <c r="D586" t="s">
        <v>38</v>
      </c>
      <c r="E586" t="s">
        <v>49</v>
      </c>
      <c r="F586" t="s">
        <v>29</v>
      </c>
      <c r="G586" t="s">
        <v>37</v>
      </c>
      <c r="H586" t="s">
        <v>34</v>
      </c>
      <c r="I586">
        <v>21</v>
      </c>
      <c r="J586">
        <v>12561</v>
      </c>
      <c r="K586" t="s">
        <v>22</v>
      </c>
      <c r="L586">
        <v>1</v>
      </c>
      <c r="M586">
        <v>1</v>
      </c>
      <c r="N586">
        <v>14</v>
      </c>
      <c r="O586">
        <v>8</v>
      </c>
      <c r="P586">
        <v>24</v>
      </c>
      <c r="Q586" t="s">
        <v>22</v>
      </c>
    </row>
    <row r="587" spans="1:17" x14ac:dyDescent="0.25">
      <c r="A587">
        <v>1148</v>
      </c>
      <c r="B587">
        <v>59</v>
      </c>
      <c r="C587" t="s">
        <v>23</v>
      </c>
      <c r="D587" t="s">
        <v>100</v>
      </c>
      <c r="E587" t="s">
        <v>28</v>
      </c>
      <c r="F587" t="s">
        <v>38</v>
      </c>
      <c r="G587" t="s">
        <v>37</v>
      </c>
      <c r="H587" t="s">
        <v>34</v>
      </c>
      <c r="I587">
        <v>2</v>
      </c>
      <c r="J587">
        <v>13190</v>
      </c>
      <c r="K587" t="s">
        <v>42</v>
      </c>
      <c r="L587">
        <v>2</v>
      </c>
      <c r="M587">
        <v>1</v>
      </c>
      <c r="N587">
        <v>0</v>
      </c>
      <c r="O587">
        <v>0</v>
      </c>
      <c r="P587">
        <v>36</v>
      </c>
      <c r="Q587" t="s">
        <v>42</v>
      </c>
    </row>
    <row r="588" spans="1:17" x14ac:dyDescent="0.25">
      <c r="A588">
        <v>1382</v>
      </c>
      <c r="B588">
        <v>27</v>
      </c>
      <c r="C588" t="s">
        <v>16</v>
      </c>
      <c r="D588" t="s">
        <v>17</v>
      </c>
      <c r="E588" t="s">
        <v>35</v>
      </c>
      <c r="F588" t="s">
        <v>29</v>
      </c>
      <c r="G588" t="s">
        <v>33</v>
      </c>
      <c r="H588" t="s">
        <v>34</v>
      </c>
      <c r="I588">
        <v>23</v>
      </c>
      <c r="J588">
        <v>6647</v>
      </c>
      <c r="K588" t="s">
        <v>42</v>
      </c>
      <c r="L588">
        <v>3</v>
      </c>
      <c r="M588">
        <v>3</v>
      </c>
      <c r="N588">
        <v>1</v>
      </c>
      <c r="O588">
        <v>0</v>
      </c>
      <c r="P588">
        <v>7</v>
      </c>
      <c r="Q588" t="s">
        <v>22</v>
      </c>
    </row>
    <row r="589" spans="1:17" x14ac:dyDescent="0.25">
      <c r="A589">
        <v>1648</v>
      </c>
      <c r="B589">
        <v>33</v>
      </c>
      <c r="C589" t="s">
        <v>23</v>
      </c>
      <c r="D589" t="s">
        <v>24</v>
      </c>
      <c r="E589" t="s">
        <v>25</v>
      </c>
      <c r="F589" t="s">
        <v>36</v>
      </c>
      <c r="G589" t="s">
        <v>37</v>
      </c>
      <c r="H589" t="s">
        <v>30</v>
      </c>
      <c r="I589">
        <v>15</v>
      </c>
      <c r="J589">
        <v>10057</v>
      </c>
      <c r="K589" t="s">
        <v>42</v>
      </c>
      <c r="L589">
        <v>1</v>
      </c>
      <c r="M589">
        <v>2</v>
      </c>
      <c r="N589">
        <v>1</v>
      </c>
      <c r="O589">
        <v>0</v>
      </c>
      <c r="P589">
        <v>7</v>
      </c>
      <c r="Q589" t="s">
        <v>22</v>
      </c>
    </row>
    <row r="590" spans="1:17" x14ac:dyDescent="0.25">
      <c r="A590">
        <v>1453</v>
      </c>
      <c r="B590">
        <v>24</v>
      </c>
      <c r="C590" t="s">
        <v>23</v>
      </c>
      <c r="D590" t="s">
        <v>27</v>
      </c>
      <c r="E590" t="s">
        <v>31</v>
      </c>
      <c r="F590" t="s">
        <v>41</v>
      </c>
      <c r="G590" t="s">
        <v>33</v>
      </c>
      <c r="H590" t="s">
        <v>21</v>
      </c>
      <c r="I590">
        <v>17</v>
      </c>
      <c r="J590">
        <v>7009</v>
      </c>
      <c r="K590" t="s">
        <v>22</v>
      </c>
      <c r="L590">
        <v>1</v>
      </c>
      <c r="M590">
        <v>1</v>
      </c>
      <c r="N590">
        <v>3</v>
      </c>
      <c r="O590">
        <v>0</v>
      </c>
      <c r="P590">
        <v>4</v>
      </c>
      <c r="Q590" t="s">
        <v>22</v>
      </c>
    </row>
    <row r="591" spans="1:17" x14ac:dyDescent="0.25">
      <c r="A591">
        <v>1904</v>
      </c>
      <c r="B591">
        <v>42</v>
      </c>
      <c r="C591" t="s">
        <v>23</v>
      </c>
      <c r="D591" t="s">
        <v>24</v>
      </c>
      <c r="E591" t="s">
        <v>25</v>
      </c>
      <c r="F591" t="s">
        <v>26</v>
      </c>
      <c r="G591" t="s">
        <v>33</v>
      </c>
      <c r="H591" t="s">
        <v>34</v>
      </c>
      <c r="I591">
        <v>21</v>
      </c>
      <c r="J591">
        <v>12705</v>
      </c>
      <c r="K591" t="s">
        <v>22</v>
      </c>
      <c r="L591">
        <v>3</v>
      </c>
      <c r="M591">
        <v>4</v>
      </c>
      <c r="N591">
        <v>14</v>
      </c>
      <c r="O591">
        <v>12</v>
      </c>
      <c r="P591">
        <v>21</v>
      </c>
      <c r="Q591" t="s">
        <v>22</v>
      </c>
    </row>
    <row r="592" spans="1:17" x14ac:dyDescent="0.25">
      <c r="A592">
        <v>1974</v>
      </c>
      <c r="B592">
        <v>52</v>
      </c>
      <c r="C592" t="s">
        <v>23</v>
      </c>
      <c r="D592" t="s">
        <v>24</v>
      </c>
      <c r="E592" t="s">
        <v>46</v>
      </c>
      <c r="F592" t="s">
        <v>38</v>
      </c>
      <c r="G592" t="s">
        <v>33</v>
      </c>
      <c r="H592" t="s">
        <v>34</v>
      </c>
      <c r="I592">
        <v>17</v>
      </c>
      <c r="J592">
        <v>12125</v>
      </c>
      <c r="K592" t="s">
        <v>42</v>
      </c>
      <c r="L592">
        <v>1</v>
      </c>
      <c r="M592">
        <v>2</v>
      </c>
      <c r="N592">
        <v>4</v>
      </c>
      <c r="O592">
        <v>3</v>
      </c>
      <c r="P592">
        <v>32</v>
      </c>
      <c r="Q592" t="s">
        <v>42</v>
      </c>
    </row>
    <row r="593" spans="1:17" x14ac:dyDescent="0.25">
      <c r="A593">
        <v>1512</v>
      </c>
      <c r="B593">
        <v>25</v>
      </c>
      <c r="C593" t="s">
        <v>23</v>
      </c>
      <c r="D593" t="s">
        <v>38</v>
      </c>
      <c r="E593" t="s">
        <v>49</v>
      </c>
      <c r="F593" t="s">
        <v>41</v>
      </c>
      <c r="G593" t="s">
        <v>20</v>
      </c>
      <c r="H593" t="s">
        <v>34</v>
      </c>
      <c r="I593">
        <v>14</v>
      </c>
      <c r="J593">
        <v>7661</v>
      </c>
      <c r="K593" t="s">
        <v>42</v>
      </c>
      <c r="L593">
        <v>2</v>
      </c>
      <c r="M593">
        <v>4</v>
      </c>
      <c r="N593">
        <v>0</v>
      </c>
      <c r="O593">
        <v>0</v>
      </c>
      <c r="P593">
        <v>0</v>
      </c>
      <c r="Q593" t="s">
        <v>22</v>
      </c>
    </row>
    <row r="594" spans="1:17" x14ac:dyDescent="0.25">
      <c r="A594">
        <v>1731</v>
      </c>
      <c r="B594">
        <v>45</v>
      </c>
      <c r="C594" t="s">
        <v>16</v>
      </c>
      <c r="D594" t="s">
        <v>38</v>
      </c>
      <c r="E594" t="s">
        <v>49</v>
      </c>
      <c r="F594" t="s">
        <v>32</v>
      </c>
      <c r="G594" t="s">
        <v>37</v>
      </c>
      <c r="H594" t="s">
        <v>34</v>
      </c>
      <c r="I594">
        <v>11</v>
      </c>
      <c r="J594">
        <v>12308</v>
      </c>
      <c r="K594" t="s">
        <v>22</v>
      </c>
      <c r="L594">
        <v>2</v>
      </c>
      <c r="M594">
        <v>4</v>
      </c>
      <c r="N594">
        <v>8</v>
      </c>
      <c r="O594">
        <v>4</v>
      </c>
      <c r="P594">
        <v>23</v>
      </c>
      <c r="Q594" t="s">
        <v>95</v>
      </c>
    </row>
    <row r="595" spans="1:17" x14ac:dyDescent="0.25">
      <c r="A595">
        <v>1330</v>
      </c>
      <c r="B595">
        <v>32</v>
      </c>
      <c r="C595" t="s">
        <v>23</v>
      </c>
      <c r="D595" t="s">
        <v>24</v>
      </c>
      <c r="E595" t="s">
        <v>52</v>
      </c>
      <c r="F595" t="s">
        <v>36</v>
      </c>
      <c r="G595" t="s">
        <v>33</v>
      </c>
      <c r="H595" t="s">
        <v>21</v>
      </c>
      <c r="I595">
        <v>15</v>
      </c>
      <c r="J595">
        <v>6932</v>
      </c>
      <c r="K595" t="s">
        <v>22</v>
      </c>
      <c r="L595">
        <v>1</v>
      </c>
      <c r="M595">
        <v>2</v>
      </c>
      <c r="N595">
        <v>6</v>
      </c>
      <c r="O595">
        <v>6</v>
      </c>
      <c r="P595">
        <v>11</v>
      </c>
      <c r="Q595" t="s">
        <v>22</v>
      </c>
    </row>
    <row r="596" spans="1:17" x14ac:dyDescent="0.25">
      <c r="A596">
        <v>1827</v>
      </c>
      <c r="B596">
        <v>34</v>
      </c>
      <c r="C596" t="s">
        <v>16</v>
      </c>
      <c r="D596" t="s">
        <v>47</v>
      </c>
      <c r="E596" t="s">
        <v>48</v>
      </c>
      <c r="F596" t="s">
        <v>36</v>
      </c>
      <c r="G596" t="s">
        <v>37</v>
      </c>
      <c r="H596" t="s">
        <v>34</v>
      </c>
      <c r="I596">
        <v>25</v>
      </c>
      <c r="J596">
        <v>7482</v>
      </c>
      <c r="K596" t="s">
        <v>22</v>
      </c>
      <c r="L596">
        <v>3</v>
      </c>
      <c r="M596">
        <v>1</v>
      </c>
      <c r="N596">
        <v>3</v>
      </c>
      <c r="O596">
        <v>2</v>
      </c>
      <c r="P596">
        <v>12</v>
      </c>
      <c r="Q596" t="s">
        <v>22</v>
      </c>
    </row>
    <row r="597" spans="1:17" x14ac:dyDescent="0.25">
      <c r="A597">
        <v>1537</v>
      </c>
      <c r="B597">
        <v>26</v>
      </c>
      <c r="C597" t="s">
        <v>16</v>
      </c>
      <c r="D597" t="s">
        <v>47</v>
      </c>
      <c r="E597" t="s">
        <v>53</v>
      </c>
      <c r="F597" t="s">
        <v>26</v>
      </c>
      <c r="G597" t="s">
        <v>33</v>
      </c>
      <c r="H597" t="s">
        <v>21</v>
      </c>
      <c r="I597">
        <v>21</v>
      </c>
      <c r="J597">
        <v>11540</v>
      </c>
      <c r="K597" t="s">
        <v>42</v>
      </c>
      <c r="L597">
        <v>4</v>
      </c>
      <c r="M597">
        <v>4</v>
      </c>
      <c r="N597">
        <v>0</v>
      </c>
      <c r="O597">
        <v>0</v>
      </c>
      <c r="P597">
        <v>2</v>
      </c>
      <c r="Q597" t="s">
        <v>22</v>
      </c>
    </row>
    <row r="598" spans="1:17" x14ac:dyDescent="0.25">
      <c r="A598">
        <v>1691</v>
      </c>
      <c r="B598">
        <v>47</v>
      </c>
      <c r="C598" t="s">
        <v>23</v>
      </c>
      <c r="D598" t="s">
        <v>24</v>
      </c>
      <c r="E598" t="s">
        <v>25</v>
      </c>
      <c r="F598" t="s">
        <v>38</v>
      </c>
      <c r="G598" t="s">
        <v>37</v>
      </c>
      <c r="H598" t="s">
        <v>30</v>
      </c>
      <c r="I598">
        <v>14</v>
      </c>
      <c r="J598">
        <v>10533</v>
      </c>
      <c r="K598" t="s">
        <v>22</v>
      </c>
      <c r="L598">
        <v>1</v>
      </c>
      <c r="M598">
        <v>1</v>
      </c>
      <c r="N598">
        <v>3</v>
      </c>
      <c r="O598">
        <v>0</v>
      </c>
      <c r="P598">
        <v>17</v>
      </c>
      <c r="Q598" t="s">
        <v>42</v>
      </c>
    </row>
    <row r="599" spans="1:17" x14ac:dyDescent="0.25">
      <c r="A599">
        <v>1504</v>
      </c>
      <c r="B599">
        <v>59</v>
      </c>
      <c r="C599" t="s">
        <v>23</v>
      </c>
      <c r="D599" t="s">
        <v>24</v>
      </c>
      <c r="E599" t="s">
        <v>45</v>
      </c>
      <c r="F599" t="s">
        <v>38</v>
      </c>
      <c r="G599" t="s">
        <v>33</v>
      </c>
      <c r="H599" t="s">
        <v>21</v>
      </c>
      <c r="I599">
        <v>20</v>
      </c>
      <c r="J599">
        <v>10884</v>
      </c>
      <c r="K599" t="s">
        <v>22</v>
      </c>
      <c r="L599">
        <v>2</v>
      </c>
      <c r="M599">
        <v>1</v>
      </c>
      <c r="N599">
        <v>25</v>
      </c>
      <c r="O599">
        <v>5</v>
      </c>
      <c r="P599">
        <v>36</v>
      </c>
      <c r="Q599" t="s">
        <v>22</v>
      </c>
    </row>
    <row r="600" spans="1:17" x14ac:dyDescent="0.25">
      <c r="A600">
        <v>1737</v>
      </c>
      <c r="B600">
        <v>24</v>
      </c>
      <c r="C600" t="s">
        <v>23</v>
      </c>
      <c r="D600" t="s">
        <v>27</v>
      </c>
      <c r="E600" t="s">
        <v>31</v>
      </c>
      <c r="F600" t="s">
        <v>41</v>
      </c>
      <c r="G600" t="s">
        <v>20</v>
      </c>
      <c r="H600" t="s">
        <v>34</v>
      </c>
      <c r="I600">
        <v>1</v>
      </c>
      <c r="J600">
        <v>6820</v>
      </c>
      <c r="K600" t="s">
        <v>42</v>
      </c>
      <c r="L600">
        <v>2</v>
      </c>
      <c r="M600">
        <v>2</v>
      </c>
      <c r="N600">
        <v>0</v>
      </c>
      <c r="O600">
        <v>0</v>
      </c>
      <c r="P600">
        <v>4</v>
      </c>
      <c r="Q600" t="s">
        <v>88</v>
      </c>
    </row>
    <row r="601" spans="1:17" x14ac:dyDescent="0.25">
      <c r="A601">
        <v>1279</v>
      </c>
      <c r="B601">
        <v>33</v>
      </c>
      <c r="C601" t="s">
        <v>16</v>
      </c>
      <c r="D601" t="s">
        <v>17</v>
      </c>
      <c r="E601" t="s">
        <v>18</v>
      </c>
      <c r="F601" t="s">
        <v>36</v>
      </c>
      <c r="G601" t="s">
        <v>33</v>
      </c>
      <c r="H601" t="s">
        <v>34</v>
      </c>
      <c r="I601">
        <v>23</v>
      </c>
      <c r="J601">
        <v>9756</v>
      </c>
      <c r="K601" t="s">
        <v>42</v>
      </c>
      <c r="L601">
        <v>1</v>
      </c>
      <c r="M601">
        <v>2</v>
      </c>
      <c r="N601">
        <v>1</v>
      </c>
      <c r="O601">
        <v>0</v>
      </c>
      <c r="P601">
        <v>12</v>
      </c>
      <c r="Q601" t="s">
        <v>42</v>
      </c>
    </row>
    <row r="602" spans="1:17" x14ac:dyDescent="0.25">
      <c r="A602">
        <v>1881</v>
      </c>
      <c r="B602">
        <v>22</v>
      </c>
      <c r="C602" t="s">
        <v>23</v>
      </c>
      <c r="D602" t="s">
        <v>27</v>
      </c>
      <c r="E602" t="s">
        <v>44</v>
      </c>
      <c r="F602" t="s">
        <v>36</v>
      </c>
      <c r="G602" t="s">
        <v>37</v>
      </c>
      <c r="H602" t="s">
        <v>34</v>
      </c>
      <c r="I602">
        <v>16</v>
      </c>
      <c r="J602">
        <v>6919</v>
      </c>
      <c r="K602" t="s">
        <v>42</v>
      </c>
      <c r="L602">
        <v>2</v>
      </c>
      <c r="M602">
        <v>2</v>
      </c>
      <c r="N602">
        <v>0</v>
      </c>
      <c r="O602">
        <v>0</v>
      </c>
      <c r="P602">
        <v>0</v>
      </c>
      <c r="Q602" t="s">
        <v>22</v>
      </c>
    </row>
    <row r="603" spans="1:17" x14ac:dyDescent="0.25">
      <c r="A603">
        <v>1650</v>
      </c>
      <c r="B603">
        <v>30</v>
      </c>
      <c r="C603" t="s">
        <v>23</v>
      </c>
      <c r="D603" t="s">
        <v>24</v>
      </c>
      <c r="E603" t="s">
        <v>46</v>
      </c>
      <c r="F603" t="s">
        <v>38</v>
      </c>
      <c r="G603" t="s">
        <v>33</v>
      </c>
      <c r="H603" t="s">
        <v>30</v>
      </c>
      <c r="I603">
        <v>2</v>
      </c>
      <c r="J603">
        <v>4338</v>
      </c>
      <c r="K603" t="s">
        <v>22</v>
      </c>
      <c r="L603">
        <v>3</v>
      </c>
      <c r="M603">
        <v>1</v>
      </c>
      <c r="N603">
        <v>0</v>
      </c>
      <c r="O603">
        <v>0</v>
      </c>
      <c r="P603">
        <v>0</v>
      </c>
      <c r="Q603" t="s">
        <v>22</v>
      </c>
    </row>
    <row r="604" spans="1:17" x14ac:dyDescent="0.25">
      <c r="A604">
        <v>1390</v>
      </c>
      <c r="B604">
        <v>54</v>
      </c>
      <c r="C604" t="s">
        <v>23</v>
      </c>
      <c r="D604" t="s">
        <v>27</v>
      </c>
      <c r="E604" t="s">
        <v>28</v>
      </c>
      <c r="F604" t="s">
        <v>41</v>
      </c>
      <c r="G604" t="s">
        <v>37</v>
      </c>
      <c r="H604" t="s">
        <v>21</v>
      </c>
      <c r="I604">
        <v>22</v>
      </c>
      <c r="J604">
        <v>16510</v>
      </c>
      <c r="K604" t="s">
        <v>22</v>
      </c>
      <c r="L604">
        <v>3</v>
      </c>
      <c r="M604">
        <v>3</v>
      </c>
      <c r="N604">
        <v>14</v>
      </c>
      <c r="O604">
        <v>3</v>
      </c>
      <c r="P604">
        <v>28</v>
      </c>
      <c r="Q604" t="s">
        <v>22</v>
      </c>
    </row>
    <row r="605" spans="1:17" x14ac:dyDescent="0.25">
      <c r="A605">
        <v>1394</v>
      </c>
      <c r="B605">
        <v>25</v>
      </c>
      <c r="C605" t="s">
        <v>23</v>
      </c>
      <c r="D605" t="s">
        <v>24</v>
      </c>
      <c r="E605" t="s">
        <v>52</v>
      </c>
      <c r="F605" t="s">
        <v>32</v>
      </c>
      <c r="G605" t="s">
        <v>33</v>
      </c>
      <c r="H605" t="s">
        <v>21</v>
      </c>
      <c r="I605">
        <v>15</v>
      </c>
      <c r="J605">
        <v>8424</v>
      </c>
      <c r="K605" t="s">
        <v>22</v>
      </c>
      <c r="L605">
        <v>4</v>
      </c>
      <c r="M605">
        <v>4</v>
      </c>
      <c r="N605">
        <v>3</v>
      </c>
      <c r="O605">
        <v>3</v>
      </c>
      <c r="P605">
        <v>5</v>
      </c>
      <c r="Q605" t="s">
        <v>22</v>
      </c>
    </row>
    <row r="606" spans="1:17" x14ac:dyDescent="0.25">
      <c r="A606">
        <v>1154</v>
      </c>
      <c r="B606">
        <v>35</v>
      </c>
      <c r="C606" t="s">
        <v>16</v>
      </c>
      <c r="D606" t="s">
        <v>27</v>
      </c>
      <c r="E606" t="s">
        <v>28</v>
      </c>
      <c r="F606" t="s">
        <v>19</v>
      </c>
      <c r="G606" t="s">
        <v>20</v>
      </c>
      <c r="H606" t="s">
        <v>30</v>
      </c>
      <c r="I606">
        <v>21</v>
      </c>
      <c r="J606">
        <v>8982</v>
      </c>
      <c r="K606" t="s">
        <v>22</v>
      </c>
      <c r="L606">
        <v>3</v>
      </c>
      <c r="M606">
        <v>4</v>
      </c>
      <c r="N606">
        <v>6</v>
      </c>
      <c r="O606">
        <v>1</v>
      </c>
      <c r="P606">
        <v>8</v>
      </c>
      <c r="Q606" t="s">
        <v>22</v>
      </c>
    </row>
    <row r="607" spans="1:17" x14ac:dyDescent="0.25">
      <c r="A607">
        <v>1454</v>
      </c>
      <c r="B607">
        <v>20</v>
      </c>
      <c r="C607" t="s">
        <v>23</v>
      </c>
      <c r="D607" t="s">
        <v>17</v>
      </c>
      <c r="E607" t="s">
        <v>35</v>
      </c>
      <c r="F607" t="s">
        <v>26</v>
      </c>
      <c r="G607" t="s">
        <v>37</v>
      </c>
      <c r="H607" t="s">
        <v>21</v>
      </c>
      <c r="I607">
        <v>1</v>
      </c>
      <c r="J607">
        <v>2756</v>
      </c>
      <c r="K607" t="s">
        <v>22</v>
      </c>
      <c r="L607">
        <v>2</v>
      </c>
      <c r="M607">
        <v>2</v>
      </c>
      <c r="N607">
        <v>0</v>
      </c>
      <c r="O607">
        <v>0</v>
      </c>
      <c r="P607">
        <v>0</v>
      </c>
      <c r="Q607" t="s">
        <v>42</v>
      </c>
    </row>
    <row r="608" spans="1:17" x14ac:dyDescent="0.25">
      <c r="A608">
        <v>1455</v>
      </c>
      <c r="B608">
        <v>42</v>
      </c>
      <c r="C608" t="s">
        <v>23</v>
      </c>
      <c r="D608" t="s">
        <v>47</v>
      </c>
      <c r="E608" t="s">
        <v>50</v>
      </c>
      <c r="F608" t="s">
        <v>19</v>
      </c>
      <c r="G608" t="s">
        <v>33</v>
      </c>
      <c r="H608" t="s">
        <v>30</v>
      </c>
      <c r="I608">
        <v>23</v>
      </c>
      <c r="J608">
        <v>11076</v>
      </c>
      <c r="K608" t="s">
        <v>22</v>
      </c>
      <c r="L608">
        <v>1</v>
      </c>
      <c r="M608">
        <v>1</v>
      </c>
      <c r="N608">
        <v>19</v>
      </c>
      <c r="O608">
        <v>7</v>
      </c>
      <c r="P608">
        <v>21</v>
      </c>
      <c r="Q608" t="s">
        <v>42</v>
      </c>
    </row>
    <row r="609" spans="1:17" x14ac:dyDescent="0.25">
      <c r="A609">
        <v>1419</v>
      </c>
      <c r="B609">
        <v>29</v>
      </c>
      <c r="C609" t="s">
        <v>23</v>
      </c>
      <c r="D609" t="s">
        <v>27</v>
      </c>
      <c r="E609" t="s">
        <v>43</v>
      </c>
      <c r="F609" t="s">
        <v>38</v>
      </c>
      <c r="G609" t="s">
        <v>20</v>
      </c>
      <c r="H609" t="s">
        <v>21</v>
      </c>
      <c r="I609">
        <v>20</v>
      </c>
      <c r="J609">
        <v>4968</v>
      </c>
      <c r="K609" t="s">
        <v>22</v>
      </c>
      <c r="L609">
        <v>1</v>
      </c>
      <c r="M609">
        <v>2</v>
      </c>
      <c r="N609">
        <v>1</v>
      </c>
      <c r="O609">
        <v>0</v>
      </c>
      <c r="P609">
        <v>1</v>
      </c>
      <c r="Q609" t="s">
        <v>22</v>
      </c>
    </row>
    <row r="610" spans="1:17" x14ac:dyDescent="0.25">
      <c r="A610">
        <v>1084</v>
      </c>
      <c r="B610">
        <v>47</v>
      </c>
      <c r="C610" t="s">
        <v>23</v>
      </c>
      <c r="D610" t="s">
        <v>27</v>
      </c>
      <c r="E610" t="s">
        <v>43</v>
      </c>
      <c r="F610" t="s">
        <v>19</v>
      </c>
      <c r="G610" t="s">
        <v>20</v>
      </c>
      <c r="H610" t="s">
        <v>34</v>
      </c>
      <c r="I610">
        <v>23</v>
      </c>
      <c r="J610">
        <v>7824</v>
      </c>
      <c r="K610" t="s">
        <v>42</v>
      </c>
      <c r="L610">
        <v>3</v>
      </c>
      <c r="M610">
        <v>1</v>
      </c>
      <c r="N610">
        <v>19</v>
      </c>
      <c r="O610">
        <v>19</v>
      </c>
      <c r="P610">
        <v>27</v>
      </c>
      <c r="Q610" t="s">
        <v>22</v>
      </c>
    </row>
    <row r="611" spans="1:17" x14ac:dyDescent="0.25">
      <c r="A611">
        <v>1103</v>
      </c>
      <c r="B611">
        <v>35</v>
      </c>
      <c r="C611" t="s">
        <v>16</v>
      </c>
      <c r="D611" t="s">
        <v>24</v>
      </c>
      <c r="E611" t="s">
        <v>25</v>
      </c>
      <c r="F611" t="s">
        <v>26</v>
      </c>
      <c r="G611" t="s">
        <v>20</v>
      </c>
      <c r="H611" t="s">
        <v>30</v>
      </c>
      <c r="I611">
        <v>5</v>
      </c>
      <c r="J611">
        <v>11098</v>
      </c>
      <c r="K611" t="s">
        <v>22</v>
      </c>
      <c r="L611">
        <v>1</v>
      </c>
      <c r="M611">
        <v>3</v>
      </c>
      <c r="N611">
        <v>3</v>
      </c>
      <c r="O611">
        <v>0</v>
      </c>
      <c r="P611">
        <v>9</v>
      </c>
      <c r="Q611" t="s">
        <v>42</v>
      </c>
    </row>
    <row r="612" spans="1:17" x14ac:dyDescent="0.25">
      <c r="A612">
        <v>1943</v>
      </c>
      <c r="B612">
        <v>56</v>
      </c>
      <c r="C612" t="s">
        <v>87</v>
      </c>
      <c r="D612" t="s">
        <v>27</v>
      </c>
      <c r="E612" t="s">
        <v>44</v>
      </c>
      <c r="F612" t="s">
        <v>26</v>
      </c>
      <c r="G612" t="s">
        <v>20</v>
      </c>
      <c r="H612" t="s">
        <v>21</v>
      </c>
      <c r="I612">
        <v>28</v>
      </c>
      <c r="J612">
        <v>9870</v>
      </c>
      <c r="K612" t="s">
        <v>22</v>
      </c>
      <c r="L612">
        <v>4</v>
      </c>
      <c r="M612">
        <v>3</v>
      </c>
      <c r="N612">
        <v>18</v>
      </c>
      <c r="O612">
        <v>6</v>
      </c>
      <c r="P612">
        <v>32</v>
      </c>
      <c r="Q612" t="s">
        <v>22</v>
      </c>
    </row>
    <row r="613" spans="1:17" x14ac:dyDescent="0.25">
      <c r="A613">
        <v>1913</v>
      </c>
      <c r="B613">
        <v>49</v>
      </c>
      <c r="C613" t="s">
        <v>16</v>
      </c>
      <c r="D613" t="s">
        <v>38</v>
      </c>
      <c r="E613" t="s">
        <v>39</v>
      </c>
      <c r="F613" t="s">
        <v>41</v>
      </c>
      <c r="G613" t="s">
        <v>37</v>
      </c>
      <c r="H613" t="s">
        <v>30</v>
      </c>
      <c r="I613">
        <v>6</v>
      </c>
      <c r="J613">
        <v>11585</v>
      </c>
      <c r="K613" t="s">
        <v>42</v>
      </c>
      <c r="L613">
        <v>4</v>
      </c>
      <c r="M613">
        <v>4</v>
      </c>
      <c r="N613">
        <v>14</v>
      </c>
      <c r="O613">
        <v>9</v>
      </c>
      <c r="P613">
        <v>23</v>
      </c>
      <c r="Q613" t="s">
        <v>42</v>
      </c>
    </row>
    <row r="614" spans="1:17" x14ac:dyDescent="0.25">
      <c r="A614">
        <v>1959</v>
      </c>
      <c r="B614">
        <v>59</v>
      </c>
      <c r="C614" t="s">
        <v>23</v>
      </c>
      <c r="D614" t="s">
        <v>47</v>
      </c>
      <c r="E614" t="s">
        <v>48</v>
      </c>
      <c r="F614" t="s">
        <v>29</v>
      </c>
      <c r="G614" t="s">
        <v>37</v>
      </c>
      <c r="H614" t="s">
        <v>34</v>
      </c>
      <c r="I614">
        <v>12</v>
      </c>
      <c r="J614">
        <v>10716</v>
      </c>
      <c r="K614" t="s">
        <v>22</v>
      </c>
      <c r="L614">
        <v>1</v>
      </c>
      <c r="M614">
        <v>3</v>
      </c>
      <c r="N614">
        <v>21</v>
      </c>
      <c r="O614">
        <v>14</v>
      </c>
      <c r="P614">
        <v>35</v>
      </c>
      <c r="Q614" t="s">
        <v>22</v>
      </c>
    </row>
    <row r="615" spans="1:17" x14ac:dyDescent="0.25">
      <c r="A615">
        <v>1136</v>
      </c>
      <c r="B615">
        <v>41</v>
      </c>
      <c r="C615" t="s">
        <v>23</v>
      </c>
      <c r="D615" t="s">
        <v>17</v>
      </c>
      <c r="E615" t="s">
        <v>35</v>
      </c>
      <c r="F615" t="s">
        <v>19</v>
      </c>
      <c r="G615" t="s">
        <v>20</v>
      </c>
      <c r="H615" t="s">
        <v>21</v>
      </c>
      <c r="I615">
        <v>7</v>
      </c>
      <c r="J615">
        <v>7449</v>
      </c>
      <c r="K615" t="s">
        <v>22</v>
      </c>
      <c r="L615">
        <v>4</v>
      </c>
      <c r="M615">
        <v>4</v>
      </c>
      <c r="N615">
        <v>4</v>
      </c>
      <c r="O615">
        <v>0</v>
      </c>
      <c r="P615">
        <v>16</v>
      </c>
      <c r="Q615" t="s">
        <v>22</v>
      </c>
    </row>
    <row r="616" spans="1:17" x14ac:dyDescent="0.25">
      <c r="A616">
        <v>1836</v>
      </c>
      <c r="B616">
        <v>36</v>
      </c>
      <c r="C616" t="s">
        <v>23</v>
      </c>
      <c r="D616" t="s">
        <v>17</v>
      </c>
      <c r="E616" t="s">
        <v>18</v>
      </c>
      <c r="F616" t="s">
        <v>26</v>
      </c>
      <c r="G616" t="s">
        <v>33</v>
      </c>
      <c r="H616" t="s">
        <v>30</v>
      </c>
      <c r="I616">
        <v>20</v>
      </c>
      <c r="J616" t="s">
        <v>140</v>
      </c>
      <c r="K616" t="s">
        <v>22</v>
      </c>
      <c r="L616">
        <v>2</v>
      </c>
      <c r="M616">
        <v>3</v>
      </c>
      <c r="N616">
        <v>1</v>
      </c>
      <c r="O616">
        <v>1</v>
      </c>
      <c r="P616">
        <v>10</v>
      </c>
      <c r="Q616" t="s">
        <v>22</v>
      </c>
    </row>
    <row r="617" spans="1:17" x14ac:dyDescent="0.25">
      <c r="A617">
        <v>1594</v>
      </c>
      <c r="B617">
        <v>49</v>
      </c>
      <c r="C617" t="s">
        <v>23</v>
      </c>
      <c r="D617" t="s">
        <v>17</v>
      </c>
      <c r="E617" t="s">
        <v>35</v>
      </c>
      <c r="F617" t="s">
        <v>32</v>
      </c>
      <c r="G617" t="s">
        <v>33</v>
      </c>
      <c r="H617" t="s">
        <v>34</v>
      </c>
      <c r="I617">
        <v>7</v>
      </c>
      <c r="J617">
        <v>10412</v>
      </c>
      <c r="K617" t="s">
        <v>22</v>
      </c>
      <c r="L617">
        <v>3</v>
      </c>
      <c r="M617">
        <v>2</v>
      </c>
      <c r="N617">
        <v>17</v>
      </c>
      <c r="O617">
        <v>15</v>
      </c>
      <c r="P617">
        <v>23</v>
      </c>
      <c r="Q617" t="s">
        <v>22</v>
      </c>
    </row>
    <row r="618" spans="1:17" x14ac:dyDescent="0.25">
      <c r="A618">
        <v>1446</v>
      </c>
      <c r="B618">
        <v>60</v>
      </c>
      <c r="C618" t="s">
        <v>23</v>
      </c>
      <c r="D618" t="s">
        <v>17</v>
      </c>
      <c r="E618" t="s">
        <v>18</v>
      </c>
      <c r="F618" t="s">
        <v>36</v>
      </c>
      <c r="G618" t="s">
        <v>37</v>
      </c>
      <c r="H618" t="s">
        <v>30</v>
      </c>
      <c r="I618">
        <v>25</v>
      </c>
      <c r="J618">
        <v>14090</v>
      </c>
      <c r="K618" t="s">
        <v>42</v>
      </c>
      <c r="L618">
        <v>4</v>
      </c>
      <c r="M618">
        <v>2</v>
      </c>
      <c r="N618">
        <v>9</v>
      </c>
      <c r="O618">
        <v>6</v>
      </c>
      <c r="P618">
        <v>28</v>
      </c>
      <c r="Q618" t="s">
        <v>22</v>
      </c>
    </row>
    <row r="619" spans="1:17" x14ac:dyDescent="0.25">
      <c r="A619">
        <v>1813</v>
      </c>
      <c r="B619">
        <v>59</v>
      </c>
      <c r="C619" t="s">
        <v>23</v>
      </c>
      <c r="D619" t="s">
        <v>47</v>
      </c>
      <c r="E619" t="s">
        <v>48</v>
      </c>
      <c r="F619" t="s">
        <v>38</v>
      </c>
      <c r="G619" t="s">
        <v>37</v>
      </c>
      <c r="H619" t="s">
        <v>34</v>
      </c>
      <c r="I619">
        <v>13</v>
      </c>
      <c r="J619">
        <v>10764</v>
      </c>
      <c r="K619" t="s">
        <v>22</v>
      </c>
      <c r="L619">
        <v>3</v>
      </c>
      <c r="M619">
        <v>1</v>
      </c>
      <c r="N619">
        <v>21</v>
      </c>
      <c r="O619">
        <v>10</v>
      </c>
      <c r="P619">
        <v>34</v>
      </c>
      <c r="Q619" t="s">
        <v>22</v>
      </c>
    </row>
    <row r="620" spans="1:17" x14ac:dyDescent="0.25">
      <c r="A620">
        <v>1245</v>
      </c>
      <c r="B620">
        <v>28</v>
      </c>
      <c r="C620" t="s">
        <v>23</v>
      </c>
      <c r="D620" t="s">
        <v>17</v>
      </c>
      <c r="E620" t="s">
        <v>35</v>
      </c>
      <c r="F620" t="s">
        <v>26</v>
      </c>
      <c r="G620" t="s">
        <v>20</v>
      </c>
      <c r="H620" t="s">
        <v>21</v>
      </c>
      <c r="I620">
        <v>28</v>
      </c>
      <c r="J620">
        <v>3493</v>
      </c>
      <c r="K620" t="s">
        <v>42</v>
      </c>
      <c r="L620">
        <v>2</v>
      </c>
      <c r="M620">
        <v>3</v>
      </c>
      <c r="N620">
        <v>1</v>
      </c>
      <c r="O620">
        <v>1</v>
      </c>
      <c r="P620">
        <v>3</v>
      </c>
      <c r="Q620" t="s">
        <v>42</v>
      </c>
    </row>
    <row r="621" spans="1:17" x14ac:dyDescent="0.25">
      <c r="A621">
        <v>1805</v>
      </c>
      <c r="B621">
        <v>33</v>
      </c>
      <c r="C621" t="s">
        <v>105</v>
      </c>
      <c r="D621" t="s">
        <v>38</v>
      </c>
      <c r="E621" t="s">
        <v>39</v>
      </c>
      <c r="F621" t="s">
        <v>38</v>
      </c>
      <c r="G621" t="s">
        <v>20</v>
      </c>
      <c r="H621" t="s">
        <v>34</v>
      </c>
      <c r="I621">
        <v>24</v>
      </c>
      <c r="J621">
        <v>7314</v>
      </c>
      <c r="K621" t="s">
        <v>22</v>
      </c>
      <c r="L621">
        <v>3</v>
      </c>
      <c r="M621">
        <v>3</v>
      </c>
      <c r="N621">
        <v>1</v>
      </c>
      <c r="O621">
        <v>0</v>
      </c>
      <c r="P621">
        <v>8</v>
      </c>
      <c r="Q621" t="s">
        <v>22</v>
      </c>
    </row>
    <row r="622" spans="1:17" x14ac:dyDescent="0.25">
      <c r="A622">
        <v>1110</v>
      </c>
      <c r="B622">
        <v>43</v>
      </c>
      <c r="C622" t="s">
        <v>16</v>
      </c>
      <c r="D622" t="s">
        <v>24</v>
      </c>
      <c r="E622" t="s">
        <v>46</v>
      </c>
      <c r="F622" t="s">
        <v>29</v>
      </c>
      <c r="G622" t="s">
        <v>20</v>
      </c>
      <c r="H622" t="s">
        <v>34</v>
      </c>
      <c r="I622">
        <v>12</v>
      </c>
      <c r="J622">
        <v>8666</v>
      </c>
      <c r="K622" t="s">
        <v>22</v>
      </c>
      <c r="L622">
        <v>2</v>
      </c>
      <c r="M622">
        <v>4</v>
      </c>
      <c r="N622">
        <v>7</v>
      </c>
      <c r="O622">
        <v>6</v>
      </c>
      <c r="P622">
        <v>14</v>
      </c>
      <c r="Q622" t="s">
        <v>22</v>
      </c>
    </row>
    <row r="623" spans="1:17" x14ac:dyDescent="0.25">
      <c r="A623">
        <v>1287</v>
      </c>
      <c r="B623">
        <v>28</v>
      </c>
      <c r="C623" t="s">
        <v>113</v>
      </c>
      <c r="D623" t="s">
        <v>17</v>
      </c>
      <c r="E623" t="s">
        <v>35</v>
      </c>
      <c r="F623" t="s">
        <v>29</v>
      </c>
      <c r="G623" t="s">
        <v>33</v>
      </c>
      <c r="H623" t="s">
        <v>21</v>
      </c>
      <c r="I623">
        <v>4</v>
      </c>
      <c r="J623">
        <v>4424</v>
      </c>
      <c r="K623" t="s">
        <v>22</v>
      </c>
      <c r="L623">
        <v>3</v>
      </c>
      <c r="M623">
        <v>3</v>
      </c>
      <c r="N623">
        <v>1</v>
      </c>
      <c r="O623">
        <v>1</v>
      </c>
      <c r="P623">
        <v>2</v>
      </c>
      <c r="Q623" t="s">
        <v>42</v>
      </c>
    </row>
    <row r="624" spans="1:17" x14ac:dyDescent="0.25">
      <c r="A624">
        <v>1646</v>
      </c>
      <c r="B624">
        <v>31</v>
      </c>
      <c r="C624" t="s">
        <v>16</v>
      </c>
      <c r="D624" t="s">
        <v>17</v>
      </c>
      <c r="E624" t="s">
        <v>40</v>
      </c>
      <c r="F624" t="s">
        <v>19</v>
      </c>
      <c r="G624" t="s">
        <v>20</v>
      </c>
      <c r="H624" t="s">
        <v>21</v>
      </c>
      <c r="I624">
        <v>4</v>
      </c>
      <c r="J624" t="s">
        <v>141</v>
      </c>
      <c r="K624" t="s">
        <v>22</v>
      </c>
      <c r="L624">
        <v>4</v>
      </c>
      <c r="M624">
        <v>3</v>
      </c>
      <c r="N624">
        <v>5</v>
      </c>
      <c r="O624">
        <v>1</v>
      </c>
      <c r="P624">
        <v>8</v>
      </c>
      <c r="Q624" t="s">
        <v>22</v>
      </c>
    </row>
    <row r="625" spans="1:17" x14ac:dyDescent="0.25">
      <c r="A625">
        <v>1743</v>
      </c>
      <c r="B625">
        <v>28</v>
      </c>
      <c r="C625" t="s">
        <v>23</v>
      </c>
      <c r="D625" t="s">
        <v>27</v>
      </c>
      <c r="E625" t="s">
        <v>44</v>
      </c>
      <c r="F625" t="s">
        <v>38</v>
      </c>
      <c r="G625" t="s">
        <v>33</v>
      </c>
      <c r="H625" t="s">
        <v>21</v>
      </c>
      <c r="I625">
        <v>6</v>
      </c>
      <c r="J625">
        <v>4513</v>
      </c>
      <c r="K625" t="s">
        <v>22</v>
      </c>
      <c r="L625">
        <v>1</v>
      </c>
      <c r="M625">
        <v>1</v>
      </c>
      <c r="N625">
        <v>1</v>
      </c>
      <c r="O625">
        <v>1</v>
      </c>
      <c r="P625">
        <v>1</v>
      </c>
      <c r="Q625" t="s">
        <v>42</v>
      </c>
    </row>
    <row r="626" spans="1:17" x14ac:dyDescent="0.25">
      <c r="A626">
        <v>1170</v>
      </c>
      <c r="B626">
        <v>48</v>
      </c>
      <c r="C626" t="s">
        <v>16</v>
      </c>
      <c r="D626" t="s">
        <v>24</v>
      </c>
      <c r="E626" t="s">
        <v>25</v>
      </c>
      <c r="F626" t="s">
        <v>19</v>
      </c>
      <c r="G626" t="s">
        <v>20</v>
      </c>
      <c r="H626" t="s">
        <v>30</v>
      </c>
      <c r="I626">
        <v>6</v>
      </c>
      <c r="J626">
        <v>14737</v>
      </c>
      <c r="K626" t="s">
        <v>22</v>
      </c>
      <c r="L626">
        <v>3</v>
      </c>
      <c r="M626">
        <v>2</v>
      </c>
      <c r="N626">
        <v>19</v>
      </c>
      <c r="O626">
        <v>4</v>
      </c>
      <c r="P626">
        <v>19</v>
      </c>
      <c r="Q626" t="s">
        <v>22</v>
      </c>
    </row>
    <row r="627" spans="1:17" x14ac:dyDescent="0.25">
      <c r="A627">
        <v>1625</v>
      </c>
      <c r="B627">
        <v>40</v>
      </c>
      <c r="C627" t="s">
        <v>23</v>
      </c>
      <c r="D627" t="s">
        <v>24</v>
      </c>
      <c r="E627" t="s">
        <v>45</v>
      </c>
      <c r="F627" t="s">
        <v>26</v>
      </c>
      <c r="G627" t="s">
        <v>33</v>
      </c>
      <c r="H627" t="s">
        <v>34</v>
      </c>
      <c r="I627">
        <v>5</v>
      </c>
      <c r="J627">
        <v>5199</v>
      </c>
      <c r="K627" t="s">
        <v>42</v>
      </c>
      <c r="L627">
        <v>1</v>
      </c>
      <c r="M627">
        <v>2</v>
      </c>
      <c r="N627">
        <v>1</v>
      </c>
      <c r="O627">
        <v>0</v>
      </c>
      <c r="P627">
        <v>1</v>
      </c>
      <c r="Q627" t="s">
        <v>42</v>
      </c>
    </row>
    <row r="628" spans="1:17" x14ac:dyDescent="0.25">
      <c r="A628">
        <v>1724</v>
      </c>
      <c r="B628">
        <v>41</v>
      </c>
      <c r="C628" t="s">
        <v>16</v>
      </c>
      <c r="D628" t="s">
        <v>17</v>
      </c>
      <c r="E628" t="s">
        <v>18</v>
      </c>
      <c r="F628" t="s">
        <v>38</v>
      </c>
      <c r="G628" t="s">
        <v>20</v>
      </c>
      <c r="H628" t="s">
        <v>30</v>
      </c>
      <c r="I628">
        <v>27</v>
      </c>
      <c r="J628">
        <v>10989</v>
      </c>
      <c r="K628" t="s">
        <v>22</v>
      </c>
      <c r="L628">
        <v>3</v>
      </c>
      <c r="M628">
        <v>3</v>
      </c>
      <c r="N628">
        <v>8</v>
      </c>
      <c r="O628">
        <v>4</v>
      </c>
      <c r="P628">
        <v>9</v>
      </c>
      <c r="Q628" t="s">
        <v>22</v>
      </c>
    </row>
    <row r="629" spans="1:17" x14ac:dyDescent="0.25">
      <c r="A629">
        <v>1844</v>
      </c>
      <c r="B629">
        <v>45</v>
      </c>
      <c r="C629" t="s">
        <v>23</v>
      </c>
      <c r="D629" t="s">
        <v>17</v>
      </c>
      <c r="E629" t="s">
        <v>40</v>
      </c>
      <c r="F629" t="s">
        <v>41</v>
      </c>
      <c r="G629" t="s">
        <v>33</v>
      </c>
      <c r="H629" t="s">
        <v>30</v>
      </c>
      <c r="I629">
        <v>14</v>
      </c>
      <c r="J629">
        <v>10296</v>
      </c>
      <c r="K629" t="s">
        <v>22</v>
      </c>
      <c r="L629">
        <v>1</v>
      </c>
      <c r="M629">
        <v>4</v>
      </c>
      <c r="N629">
        <v>10</v>
      </c>
      <c r="O629">
        <v>7</v>
      </c>
      <c r="P629">
        <v>19</v>
      </c>
      <c r="Q629" t="s">
        <v>22</v>
      </c>
    </row>
    <row r="630" spans="1:17" x14ac:dyDescent="0.25">
      <c r="A630">
        <v>1227</v>
      </c>
      <c r="B630">
        <v>38</v>
      </c>
      <c r="C630" t="s">
        <v>16</v>
      </c>
      <c r="D630" t="s">
        <v>24</v>
      </c>
      <c r="E630" t="s">
        <v>25</v>
      </c>
      <c r="F630" t="s">
        <v>26</v>
      </c>
      <c r="G630" t="s">
        <v>37</v>
      </c>
      <c r="H630" t="s">
        <v>30</v>
      </c>
      <c r="I630">
        <v>14</v>
      </c>
      <c r="J630">
        <v>12041</v>
      </c>
      <c r="K630" t="s">
        <v>22</v>
      </c>
      <c r="L630">
        <v>2</v>
      </c>
      <c r="M630">
        <v>1</v>
      </c>
      <c r="N630">
        <v>6</v>
      </c>
      <c r="O630">
        <v>4</v>
      </c>
      <c r="P630">
        <v>13</v>
      </c>
      <c r="Q630" t="s">
        <v>42</v>
      </c>
    </row>
    <row r="631" spans="1:17" x14ac:dyDescent="0.25">
      <c r="A631">
        <v>1849</v>
      </c>
      <c r="B631">
        <v>46</v>
      </c>
      <c r="C631" t="s">
        <v>23</v>
      </c>
      <c r="D631" t="s">
        <v>47</v>
      </c>
      <c r="E631" t="s">
        <v>48</v>
      </c>
      <c r="F631" t="s">
        <v>41</v>
      </c>
      <c r="G631" t="s">
        <v>37</v>
      </c>
      <c r="H631" t="s">
        <v>34</v>
      </c>
      <c r="I631">
        <v>2</v>
      </c>
      <c r="J631">
        <v>9815</v>
      </c>
      <c r="K631" t="s">
        <v>22</v>
      </c>
      <c r="L631">
        <v>4</v>
      </c>
      <c r="M631">
        <v>4</v>
      </c>
      <c r="N631">
        <v>17</v>
      </c>
      <c r="O631">
        <v>3</v>
      </c>
      <c r="P631">
        <v>26</v>
      </c>
      <c r="Q631" t="s">
        <v>22</v>
      </c>
    </row>
    <row r="632" spans="1:17" x14ac:dyDescent="0.25">
      <c r="A632">
        <v>1738</v>
      </c>
      <c r="B632">
        <v>45</v>
      </c>
      <c r="C632" t="s">
        <v>113</v>
      </c>
      <c r="D632" t="s">
        <v>47</v>
      </c>
      <c r="E632" t="s">
        <v>50</v>
      </c>
      <c r="F632" t="s">
        <v>26</v>
      </c>
      <c r="G632" t="s">
        <v>37</v>
      </c>
      <c r="H632" t="s">
        <v>30</v>
      </c>
      <c r="I632">
        <v>1</v>
      </c>
      <c r="J632">
        <v>9051</v>
      </c>
      <c r="K632" t="s">
        <v>42</v>
      </c>
      <c r="L632">
        <v>1</v>
      </c>
      <c r="M632">
        <v>4</v>
      </c>
      <c r="N632">
        <v>7</v>
      </c>
      <c r="O632">
        <v>4</v>
      </c>
      <c r="P632">
        <v>17</v>
      </c>
      <c r="Q632" t="s">
        <v>42</v>
      </c>
    </row>
    <row r="633" spans="1:17" x14ac:dyDescent="0.25">
      <c r="A633">
        <v>1098</v>
      </c>
      <c r="B633">
        <v>47</v>
      </c>
      <c r="C633" t="s">
        <v>23</v>
      </c>
      <c r="D633" t="s">
        <v>27</v>
      </c>
      <c r="E633" t="s">
        <v>31</v>
      </c>
      <c r="F633" t="s">
        <v>19</v>
      </c>
      <c r="G633" t="s">
        <v>33</v>
      </c>
      <c r="H633" t="s">
        <v>30</v>
      </c>
      <c r="I633">
        <v>5</v>
      </c>
      <c r="J633">
        <v>10045</v>
      </c>
      <c r="K633" t="s">
        <v>42</v>
      </c>
      <c r="L633">
        <v>3</v>
      </c>
      <c r="M633">
        <v>4</v>
      </c>
      <c r="N633">
        <v>9</v>
      </c>
      <c r="O633">
        <v>2</v>
      </c>
      <c r="P633">
        <v>22</v>
      </c>
      <c r="Q633" t="s">
        <v>42</v>
      </c>
    </row>
    <row r="634" spans="1:17" x14ac:dyDescent="0.25">
      <c r="A634">
        <v>1759</v>
      </c>
      <c r="B634">
        <v>37</v>
      </c>
      <c r="C634" t="s">
        <v>105</v>
      </c>
      <c r="D634" t="s">
        <v>17</v>
      </c>
      <c r="E634" t="s">
        <v>40</v>
      </c>
      <c r="F634" t="s">
        <v>36</v>
      </c>
      <c r="G634" t="s">
        <v>33</v>
      </c>
      <c r="H634" t="s">
        <v>34</v>
      </c>
      <c r="I634">
        <v>13</v>
      </c>
      <c r="J634">
        <v>8717</v>
      </c>
      <c r="K634" t="s">
        <v>42</v>
      </c>
      <c r="L634">
        <v>4</v>
      </c>
      <c r="M634">
        <v>4</v>
      </c>
      <c r="N634">
        <v>1</v>
      </c>
      <c r="O634">
        <v>0</v>
      </c>
      <c r="P634">
        <v>12</v>
      </c>
      <c r="Q634" t="s">
        <v>42</v>
      </c>
    </row>
    <row r="635" spans="1:17" x14ac:dyDescent="0.25">
      <c r="A635">
        <v>1498</v>
      </c>
      <c r="B635">
        <v>25</v>
      </c>
      <c r="C635" t="s">
        <v>16</v>
      </c>
      <c r="D635" t="s">
        <v>24</v>
      </c>
      <c r="E635" t="s">
        <v>45</v>
      </c>
      <c r="F635" t="s">
        <v>41</v>
      </c>
      <c r="G635" t="s">
        <v>20</v>
      </c>
      <c r="H635" t="s">
        <v>30</v>
      </c>
      <c r="I635">
        <v>6</v>
      </c>
      <c r="J635">
        <v>6120</v>
      </c>
      <c r="K635" t="s">
        <v>22</v>
      </c>
      <c r="L635">
        <v>1</v>
      </c>
      <c r="M635">
        <v>1</v>
      </c>
      <c r="N635">
        <v>0</v>
      </c>
      <c r="O635">
        <v>0</v>
      </c>
      <c r="P635">
        <v>0</v>
      </c>
      <c r="Q635" t="s">
        <v>42</v>
      </c>
    </row>
    <row r="636" spans="1:17" x14ac:dyDescent="0.25">
      <c r="A636">
        <v>1277</v>
      </c>
      <c r="B636">
        <v>35</v>
      </c>
      <c r="C636" t="s">
        <v>16</v>
      </c>
      <c r="D636" t="s">
        <v>27</v>
      </c>
      <c r="E636" t="s">
        <v>28</v>
      </c>
      <c r="F636" t="s">
        <v>36</v>
      </c>
      <c r="G636" t="s">
        <v>37</v>
      </c>
      <c r="H636" t="s">
        <v>21</v>
      </c>
      <c r="I636">
        <v>18</v>
      </c>
      <c r="J636">
        <v>11209</v>
      </c>
      <c r="K636" t="s">
        <v>22</v>
      </c>
      <c r="L636">
        <v>4</v>
      </c>
      <c r="M636">
        <v>1</v>
      </c>
      <c r="N636">
        <v>7</v>
      </c>
      <c r="O636">
        <v>0</v>
      </c>
      <c r="P636">
        <v>15</v>
      </c>
      <c r="Q636" t="s">
        <v>22</v>
      </c>
    </row>
    <row r="637" spans="1:17" x14ac:dyDescent="0.25">
      <c r="A637">
        <v>1629</v>
      </c>
      <c r="B637">
        <v>37</v>
      </c>
      <c r="C637" t="s">
        <v>23</v>
      </c>
      <c r="D637" t="s">
        <v>54</v>
      </c>
      <c r="E637" t="s">
        <v>48</v>
      </c>
      <c r="F637" t="s">
        <v>26</v>
      </c>
      <c r="G637" t="s">
        <v>20</v>
      </c>
      <c r="H637" t="s">
        <v>34</v>
      </c>
      <c r="I637">
        <v>29</v>
      </c>
      <c r="J637">
        <v>9044</v>
      </c>
      <c r="K637" t="s">
        <v>22</v>
      </c>
      <c r="L637">
        <v>1</v>
      </c>
      <c r="M637">
        <v>2</v>
      </c>
      <c r="N637">
        <v>7</v>
      </c>
      <c r="O637">
        <v>6</v>
      </c>
      <c r="P637">
        <v>17</v>
      </c>
      <c r="Q637" t="s">
        <v>22</v>
      </c>
    </row>
    <row r="638" spans="1:17" x14ac:dyDescent="0.25">
      <c r="A638">
        <v>1656</v>
      </c>
      <c r="B638">
        <v>43</v>
      </c>
      <c r="C638" t="s">
        <v>113</v>
      </c>
      <c r="D638" t="s">
        <v>24</v>
      </c>
      <c r="E638" t="s">
        <v>45</v>
      </c>
      <c r="F638" t="s">
        <v>32</v>
      </c>
      <c r="G638" t="s">
        <v>37</v>
      </c>
      <c r="H638" t="s">
        <v>21</v>
      </c>
      <c r="I638">
        <v>16</v>
      </c>
      <c r="J638">
        <v>10843</v>
      </c>
      <c r="K638" t="s">
        <v>42</v>
      </c>
      <c r="L638">
        <v>2</v>
      </c>
      <c r="M638">
        <v>2</v>
      </c>
      <c r="N638">
        <v>15</v>
      </c>
      <c r="O638">
        <v>5</v>
      </c>
      <c r="P638">
        <v>22</v>
      </c>
      <c r="Q638" t="s">
        <v>22</v>
      </c>
    </row>
    <row r="639" spans="1:17" x14ac:dyDescent="0.25">
      <c r="A639">
        <v>1795</v>
      </c>
      <c r="B639">
        <v>56</v>
      </c>
      <c r="C639" t="s">
        <v>16</v>
      </c>
      <c r="D639" t="s">
        <v>109</v>
      </c>
      <c r="E639" t="s">
        <v>18</v>
      </c>
      <c r="F639" t="s">
        <v>32</v>
      </c>
      <c r="G639" t="s">
        <v>20</v>
      </c>
      <c r="H639" t="s">
        <v>34</v>
      </c>
      <c r="I639">
        <v>23</v>
      </c>
      <c r="J639">
        <v>13767</v>
      </c>
      <c r="K639" t="s">
        <v>22</v>
      </c>
      <c r="L639">
        <v>3</v>
      </c>
      <c r="M639">
        <v>4</v>
      </c>
      <c r="N639">
        <v>2</v>
      </c>
      <c r="O639">
        <v>0</v>
      </c>
      <c r="P639">
        <v>27</v>
      </c>
      <c r="Q639" t="s">
        <v>22</v>
      </c>
    </row>
    <row r="640" spans="1:17" x14ac:dyDescent="0.25">
      <c r="A640">
        <v>1165</v>
      </c>
      <c r="B640">
        <v>21</v>
      </c>
      <c r="C640" t="s">
        <v>16</v>
      </c>
      <c r="D640" t="s">
        <v>24</v>
      </c>
      <c r="E640" t="s">
        <v>25</v>
      </c>
      <c r="F640" t="s">
        <v>38</v>
      </c>
      <c r="G640" t="s">
        <v>37</v>
      </c>
      <c r="H640" t="s">
        <v>30</v>
      </c>
      <c r="I640">
        <v>13</v>
      </c>
      <c r="J640">
        <v>7271</v>
      </c>
      <c r="K640" t="s">
        <v>22</v>
      </c>
      <c r="L640">
        <v>4</v>
      </c>
      <c r="M640">
        <v>2</v>
      </c>
      <c r="N640">
        <v>0</v>
      </c>
      <c r="O640">
        <v>0</v>
      </c>
      <c r="P640">
        <v>0</v>
      </c>
      <c r="Q640" t="s">
        <v>22</v>
      </c>
    </row>
    <row r="641" spans="1:17" x14ac:dyDescent="0.25">
      <c r="A641">
        <v>1018</v>
      </c>
      <c r="B641">
        <v>23</v>
      </c>
      <c r="C641" t="s">
        <v>23</v>
      </c>
      <c r="D641" t="s">
        <v>17</v>
      </c>
      <c r="E641" t="s">
        <v>35</v>
      </c>
      <c r="F641" t="s">
        <v>41</v>
      </c>
      <c r="G641" t="s">
        <v>33</v>
      </c>
      <c r="H641" t="s">
        <v>30</v>
      </c>
      <c r="I641">
        <v>22</v>
      </c>
      <c r="J641">
        <v>6233</v>
      </c>
      <c r="K641" t="s">
        <v>22</v>
      </c>
      <c r="L641">
        <v>2</v>
      </c>
      <c r="M641">
        <v>1</v>
      </c>
      <c r="N641">
        <v>1</v>
      </c>
      <c r="O641">
        <v>0</v>
      </c>
      <c r="P641">
        <v>3</v>
      </c>
      <c r="Q641" t="s">
        <v>22</v>
      </c>
    </row>
    <row r="642" spans="1:17" x14ac:dyDescent="0.25">
      <c r="A642">
        <v>1789</v>
      </c>
      <c r="B642">
        <v>37</v>
      </c>
      <c r="C642" t="s">
        <v>16</v>
      </c>
      <c r="D642" t="s">
        <v>24</v>
      </c>
      <c r="E642" t="s">
        <v>46</v>
      </c>
      <c r="F642" t="s">
        <v>32</v>
      </c>
      <c r="G642" t="s">
        <v>37</v>
      </c>
      <c r="H642" t="s">
        <v>34</v>
      </c>
      <c r="I642">
        <v>29</v>
      </c>
      <c r="J642">
        <v>7309</v>
      </c>
      <c r="K642" t="s">
        <v>42</v>
      </c>
      <c r="L642">
        <v>4</v>
      </c>
      <c r="M642">
        <v>4</v>
      </c>
      <c r="N642">
        <v>0</v>
      </c>
      <c r="O642">
        <v>0</v>
      </c>
      <c r="P642">
        <v>9</v>
      </c>
      <c r="Q642" t="s">
        <v>42</v>
      </c>
    </row>
    <row r="643" spans="1:17" x14ac:dyDescent="0.25">
      <c r="A643">
        <v>1900</v>
      </c>
      <c r="B643">
        <v>60</v>
      </c>
      <c r="C643" t="s">
        <v>23</v>
      </c>
      <c r="D643" t="s">
        <v>27</v>
      </c>
      <c r="E643" t="s">
        <v>44</v>
      </c>
      <c r="F643" t="s">
        <v>41</v>
      </c>
      <c r="G643" t="s">
        <v>33</v>
      </c>
      <c r="H643" t="s">
        <v>30</v>
      </c>
      <c r="I643">
        <v>16</v>
      </c>
      <c r="J643">
        <v>11428</v>
      </c>
      <c r="K643" t="s">
        <v>22</v>
      </c>
      <c r="L643">
        <v>1</v>
      </c>
      <c r="M643">
        <v>1</v>
      </c>
      <c r="N643">
        <v>8</v>
      </c>
      <c r="O643">
        <v>5</v>
      </c>
      <c r="P643">
        <v>30</v>
      </c>
      <c r="Q643" t="s">
        <v>42</v>
      </c>
    </row>
    <row r="644" spans="1:17" x14ac:dyDescent="0.25">
      <c r="A644">
        <v>1209</v>
      </c>
      <c r="B644">
        <v>40</v>
      </c>
      <c r="C644" t="s">
        <v>23</v>
      </c>
      <c r="D644" t="s">
        <v>27</v>
      </c>
      <c r="E644" t="s">
        <v>44</v>
      </c>
      <c r="F644" t="s">
        <v>36</v>
      </c>
      <c r="G644" t="s">
        <v>37</v>
      </c>
      <c r="H644" t="s">
        <v>21</v>
      </c>
      <c r="I644">
        <v>15</v>
      </c>
      <c r="J644" t="s">
        <v>142</v>
      </c>
      <c r="K644" t="s">
        <v>42</v>
      </c>
      <c r="L644">
        <v>2</v>
      </c>
      <c r="M644">
        <v>1</v>
      </c>
      <c r="N644">
        <v>3</v>
      </c>
      <c r="O644">
        <v>1</v>
      </c>
      <c r="P644">
        <v>12</v>
      </c>
      <c r="Q644" t="s">
        <v>42</v>
      </c>
    </row>
    <row r="645" spans="1:17" x14ac:dyDescent="0.25">
      <c r="A645">
        <v>1393</v>
      </c>
      <c r="B645">
        <v>44</v>
      </c>
      <c r="C645" t="s">
        <v>16</v>
      </c>
      <c r="D645" t="s">
        <v>17</v>
      </c>
      <c r="E645" t="s">
        <v>18</v>
      </c>
      <c r="F645" t="s">
        <v>38</v>
      </c>
      <c r="G645" t="s">
        <v>20</v>
      </c>
      <c r="H645" t="s">
        <v>30</v>
      </c>
      <c r="I645">
        <v>21</v>
      </c>
      <c r="J645">
        <v>11557</v>
      </c>
      <c r="K645" t="s">
        <v>42</v>
      </c>
      <c r="L645">
        <v>2</v>
      </c>
      <c r="M645">
        <v>2</v>
      </c>
      <c r="N645">
        <v>13</v>
      </c>
      <c r="O645">
        <v>2</v>
      </c>
      <c r="P645">
        <v>22</v>
      </c>
      <c r="Q645" t="s">
        <v>42</v>
      </c>
    </row>
    <row r="646" spans="1:17" x14ac:dyDescent="0.25">
      <c r="A646">
        <v>1176</v>
      </c>
      <c r="B646">
        <v>41</v>
      </c>
      <c r="C646" t="s">
        <v>16</v>
      </c>
      <c r="D646" t="s">
        <v>17</v>
      </c>
      <c r="E646" t="s">
        <v>35</v>
      </c>
      <c r="F646" t="s">
        <v>19</v>
      </c>
      <c r="G646" t="s">
        <v>33</v>
      </c>
      <c r="H646" t="s">
        <v>30</v>
      </c>
      <c r="I646">
        <v>15</v>
      </c>
      <c r="J646">
        <v>7804</v>
      </c>
      <c r="K646" t="s">
        <v>22</v>
      </c>
      <c r="L646">
        <v>1</v>
      </c>
      <c r="M646">
        <v>4</v>
      </c>
      <c r="N646">
        <v>7</v>
      </c>
      <c r="O646">
        <v>5</v>
      </c>
      <c r="P646">
        <v>13</v>
      </c>
      <c r="Q646" t="s">
        <v>22</v>
      </c>
    </row>
    <row r="647" spans="1:17" x14ac:dyDescent="0.25">
      <c r="A647">
        <v>1659</v>
      </c>
      <c r="B647">
        <v>26</v>
      </c>
      <c r="C647" t="s">
        <v>23</v>
      </c>
      <c r="D647" t="s">
        <v>27</v>
      </c>
      <c r="E647" t="s">
        <v>31</v>
      </c>
      <c r="F647" t="s">
        <v>26</v>
      </c>
      <c r="G647" t="s">
        <v>33</v>
      </c>
      <c r="H647" t="s">
        <v>21</v>
      </c>
      <c r="I647">
        <v>19</v>
      </c>
      <c r="J647">
        <v>5419</v>
      </c>
      <c r="K647" t="s">
        <v>22</v>
      </c>
      <c r="L647">
        <v>2</v>
      </c>
      <c r="M647">
        <v>2</v>
      </c>
      <c r="N647">
        <v>0</v>
      </c>
      <c r="O647">
        <v>0</v>
      </c>
      <c r="P647">
        <v>0</v>
      </c>
      <c r="Q647" t="s">
        <v>22</v>
      </c>
    </row>
    <row r="648" spans="1:17" x14ac:dyDescent="0.25">
      <c r="A648">
        <v>1325</v>
      </c>
      <c r="B648">
        <v>42</v>
      </c>
      <c r="C648" t="s">
        <v>16</v>
      </c>
      <c r="D648" t="s">
        <v>24</v>
      </c>
      <c r="E648" t="s">
        <v>52</v>
      </c>
      <c r="F648" t="s">
        <v>36</v>
      </c>
      <c r="G648" t="s">
        <v>37</v>
      </c>
      <c r="H648" t="s">
        <v>21</v>
      </c>
      <c r="I648">
        <v>20</v>
      </c>
      <c r="J648">
        <v>10166</v>
      </c>
      <c r="K648" t="s">
        <v>22</v>
      </c>
      <c r="L648">
        <v>1</v>
      </c>
      <c r="M648">
        <v>4</v>
      </c>
      <c r="N648">
        <v>15</v>
      </c>
      <c r="O648">
        <v>15</v>
      </c>
      <c r="P648">
        <v>16</v>
      </c>
      <c r="Q648" t="s">
        <v>22</v>
      </c>
    </row>
    <row r="649" spans="1:17" x14ac:dyDescent="0.25">
      <c r="A649">
        <v>1599</v>
      </c>
      <c r="B649">
        <v>57</v>
      </c>
      <c r="C649" t="s">
        <v>23</v>
      </c>
      <c r="D649" t="s">
        <v>38</v>
      </c>
      <c r="E649" t="s">
        <v>49</v>
      </c>
      <c r="F649" t="s">
        <v>41</v>
      </c>
      <c r="G649" t="s">
        <v>37</v>
      </c>
      <c r="H649" t="s">
        <v>21</v>
      </c>
      <c r="I649">
        <v>7</v>
      </c>
      <c r="J649">
        <v>15227</v>
      </c>
      <c r="K649" t="s">
        <v>42</v>
      </c>
      <c r="L649">
        <v>3</v>
      </c>
      <c r="M649">
        <v>2</v>
      </c>
      <c r="N649">
        <v>23</v>
      </c>
      <c r="O649">
        <v>2</v>
      </c>
      <c r="P649">
        <v>31</v>
      </c>
      <c r="Q649" t="s">
        <v>22</v>
      </c>
    </row>
    <row r="650" spans="1:17" x14ac:dyDescent="0.25">
      <c r="A650">
        <v>1749</v>
      </c>
      <c r="B650">
        <v>36</v>
      </c>
      <c r="C650" t="s">
        <v>23</v>
      </c>
      <c r="D650" t="s">
        <v>17</v>
      </c>
      <c r="E650" t="s">
        <v>35</v>
      </c>
      <c r="F650" t="s">
        <v>36</v>
      </c>
      <c r="G650" t="s">
        <v>37</v>
      </c>
      <c r="H650" t="s">
        <v>21</v>
      </c>
      <c r="I650">
        <v>2</v>
      </c>
      <c r="J650">
        <v>7477</v>
      </c>
      <c r="K650" t="s">
        <v>22</v>
      </c>
      <c r="L650">
        <v>2</v>
      </c>
      <c r="M650">
        <v>3</v>
      </c>
      <c r="N650">
        <v>2</v>
      </c>
      <c r="O650">
        <v>1</v>
      </c>
      <c r="P650">
        <v>8</v>
      </c>
      <c r="Q650" t="s">
        <v>22</v>
      </c>
    </row>
    <row r="651" spans="1:17" x14ac:dyDescent="0.25">
      <c r="A651">
        <v>1024</v>
      </c>
      <c r="B651">
        <v>47</v>
      </c>
      <c r="C651" t="s">
        <v>16</v>
      </c>
      <c r="D651" t="s">
        <v>38</v>
      </c>
      <c r="E651" t="s">
        <v>39</v>
      </c>
      <c r="F651" t="s">
        <v>26</v>
      </c>
      <c r="G651" t="s">
        <v>20</v>
      </c>
      <c r="H651" t="s">
        <v>30</v>
      </c>
      <c r="I651">
        <v>12</v>
      </c>
      <c r="J651">
        <v>10162</v>
      </c>
      <c r="K651" t="s">
        <v>22</v>
      </c>
      <c r="L651">
        <v>2</v>
      </c>
      <c r="M651">
        <v>2</v>
      </c>
      <c r="N651">
        <v>25</v>
      </c>
      <c r="O651">
        <v>1</v>
      </c>
      <c r="P651">
        <v>25</v>
      </c>
      <c r="Q651" t="s">
        <v>22</v>
      </c>
    </row>
    <row r="652" spans="1:17" x14ac:dyDescent="0.25">
      <c r="A652">
        <v>1156</v>
      </c>
      <c r="B652">
        <v>38</v>
      </c>
      <c r="C652" t="s">
        <v>23</v>
      </c>
      <c r="D652" t="s">
        <v>24</v>
      </c>
      <c r="E652" t="s">
        <v>45</v>
      </c>
      <c r="F652" t="s">
        <v>38</v>
      </c>
      <c r="G652" t="s">
        <v>37</v>
      </c>
      <c r="H652" t="s">
        <v>30</v>
      </c>
      <c r="I652">
        <v>27</v>
      </c>
      <c r="J652">
        <v>9504</v>
      </c>
      <c r="K652" t="s">
        <v>42</v>
      </c>
      <c r="L652">
        <v>4</v>
      </c>
      <c r="M652">
        <v>3</v>
      </c>
      <c r="N652">
        <v>12</v>
      </c>
      <c r="O652">
        <v>9</v>
      </c>
      <c r="P652">
        <v>16</v>
      </c>
      <c r="Q652" t="s">
        <v>22</v>
      </c>
    </row>
    <row r="653" spans="1:17" x14ac:dyDescent="0.25">
      <c r="A653">
        <v>1243</v>
      </c>
      <c r="B653">
        <v>32</v>
      </c>
      <c r="C653" t="s">
        <v>16</v>
      </c>
      <c r="D653" t="s">
        <v>38</v>
      </c>
      <c r="E653" t="s">
        <v>49</v>
      </c>
      <c r="F653" t="s">
        <v>19</v>
      </c>
      <c r="G653" t="s">
        <v>20</v>
      </c>
      <c r="H653" t="s">
        <v>21</v>
      </c>
      <c r="I653">
        <v>21</v>
      </c>
      <c r="J653">
        <v>12388</v>
      </c>
      <c r="K653" t="s">
        <v>22</v>
      </c>
      <c r="L653">
        <v>3</v>
      </c>
      <c r="M653">
        <v>2</v>
      </c>
      <c r="N653">
        <v>0</v>
      </c>
      <c r="O653">
        <v>0</v>
      </c>
      <c r="P653">
        <v>12</v>
      </c>
      <c r="Q653" t="s">
        <v>22</v>
      </c>
    </row>
    <row r="654" spans="1:17" x14ac:dyDescent="0.25">
      <c r="A654">
        <v>1363</v>
      </c>
      <c r="B654">
        <v>53</v>
      </c>
      <c r="C654" t="s">
        <v>16</v>
      </c>
      <c r="D654" t="s">
        <v>24</v>
      </c>
      <c r="E654" t="s">
        <v>46</v>
      </c>
      <c r="F654" t="s">
        <v>32</v>
      </c>
      <c r="G654" t="s">
        <v>20</v>
      </c>
      <c r="H654" t="s">
        <v>21</v>
      </c>
      <c r="I654">
        <v>21</v>
      </c>
      <c r="J654">
        <v>12520</v>
      </c>
      <c r="K654" t="s">
        <v>22</v>
      </c>
      <c r="L654">
        <v>1</v>
      </c>
      <c r="M654">
        <v>4</v>
      </c>
      <c r="N654">
        <v>1</v>
      </c>
      <c r="O654">
        <v>0</v>
      </c>
      <c r="P654">
        <v>33</v>
      </c>
      <c r="Q654" t="s">
        <v>22</v>
      </c>
    </row>
    <row r="655" spans="1:17" x14ac:dyDescent="0.25">
      <c r="A655">
        <v>1566</v>
      </c>
      <c r="B655">
        <v>37</v>
      </c>
      <c r="C655" t="s">
        <v>23</v>
      </c>
      <c r="D655" t="s">
        <v>24</v>
      </c>
      <c r="E655" t="s">
        <v>46</v>
      </c>
      <c r="F655" t="s">
        <v>38</v>
      </c>
      <c r="G655" t="s">
        <v>37</v>
      </c>
      <c r="H655" t="s">
        <v>21</v>
      </c>
      <c r="I655">
        <v>11</v>
      </c>
      <c r="J655">
        <v>8016</v>
      </c>
      <c r="K655" t="s">
        <v>42</v>
      </c>
      <c r="L655">
        <v>2</v>
      </c>
      <c r="M655">
        <v>3</v>
      </c>
      <c r="N655">
        <v>2</v>
      </c>
      <c r="O655">
        <v>1</v>
      </c>
      <c r="P655">
        <v>15</v>
      </c>
      <c r="Q655" t="s">
        <v>22</v>
      </c>
    </row>
    <row r="656" spans="1:17" x14ac:dyDescent="0.25">
      <c r="A656">
        <v>1274</v>
      </c>
      <c r="B656">
        <v>44</v>
      </c>
      <c r="C656" t="s">
        <v>23</v>
      </c>
      <c r="D656" t="s">
        <v>27</v>
      </c>
      <c r="E656" t="s">
        <v>31</v>
      </c>
      <c r="F656" t="s">
        <v>36</v>
      </c>
      <c r="G656" t="s">
        <v>33</v>
      </c>
      <c r="H656" t="s">
        <v>21</v>
      </c>
      <c r="I656">
        <v>23</v>
      </c>
      <c r="J656">
        <v>10526</v>
      </c>
      <c r="K656" t="s">
        <v>22</v>
      </c>
      <c r="L656">
        <v>3</v>
      </c>
      <c r="M656">
        <v>1</v>
      </c>
      <c r="N656">
        <v>8</v>
      </c>
      <c r="O656">
        <v>2</v>
      </c>
      <c r="P656">
        <v>23</v>
      </c>
      <c r="Q656" t="s">
        <v>22</v>
      </c>
    </row>
    <row r="657" spans="1:17" x14ac:dyDescent="0.25">
      <c r="A657">
        <v>1963</v>
      </c>
      <c r="B657">
        <v>45</v>
      </c>
      <c r="C657" t="s">
        <v>23</v>
      </c>
      <c r="D657" t="s">
        <v>17</v>
      </c>
      <c r="E657" t="s">
        <v>35</v>
      </c>
      <c r="F657" t="s">
        <v>26</v>
      </c>
      <c r="G657" t="s">
        <v>33</v>
      </c>
      <c r="H657" t="s">
        <v>21</v>
      </c>
      <c r="I657">
        <v>16</v>
      </c>
      <c r="J657">
        <v>11909</v>
      </c>
      <c r="K657" t="s">
        <v>22</v>
      </c>
      <c r="L657">
        <v>2</v>
      </c>
      <c r="M657">
        <v>4</v>
      </c>
      <c r="N657">
        <v>17</v>
      </c>
      <c r="O657">
        <v>8</v>
      </c>
      <c r="P657">
        <v>25</v>
      </c>
      <c r="Q657" t="s">
        <v>22</v>
      </c>
    </row>
    <row r="658" spans="1:17" x14ac:dyDescent="0.25">
      <c r="A658">
        <v>1619</v>
      </c>
      <c r="B658">
        <v>60</v>
      </c>
      <c r="C658" t="s">
        <v>16</v>
      </c>
      <c r="D658" t="s">
        <v>38</v>
      </c>
      <c r="E658" t="s">
        <v>39</v>
      </c>
      <c r="F658" t="s">
        <v>41</v>
      </c>
      <c r="G658" t="s">
        <v>37</v>
      </c>
      <c r="H658" t="s">
        <v>30</v>
      </c>
      <c r="I658">
        <v>6</v>
      </c>
      <c r="J658">
        <v>10065</v>
      </c>
      <c r="K658" t="s">
        <v>22</v>
      </c>
      <c r="L658">
        <v>4</v>
      </c>
      <c r="M658">
        <v>3</v>
      </c>
      <c r="N658">
        <v>3</v>
      </c>
      <c r="O658">
        <v>1</v>
      </c>
      <c r="P658">
        <v>35</v>
      </c>
      <c r="Q658" t="s">
        <v>22</v>
      </c>
    </row>
    <row r="659" spans="1:17" x14ac:dyDescent="0.25">
      <c r="A659">
        <v>1634</v>
      </c>
      <c r="B659">
        <v>47</v>
      </c>
      <c r="C659" t="s">
        <v>16</v>
      </c>
      <c r="D659" t="s">
        <v>27</v>
      </c>
      <c r="E659" t="s">
        <v>31</v>
      </c>
      <c r="F659" t="s">
        <v>38</v>
      </c>
      <c r="G659" t="s">
        <v>33</v>
      </c>
      <c r="H659" t="s">
        <v>30</v>
      </c>
      <c r="I659">
        <v>7</v>
      </c>
      <c r="J659">
        <v>6245</v>
      </c>
      <c r="K659" t="s">
        <v>42</v>
      </c>
      <c r="L659">
        <v>1</v>
      </c>
      <c r="M659">
        <v>4</v>
      </c>
      <c r="N659">
        <v>4</v>
      </c>
      <c r="O659">
        <v>3</v>
      </c>
      <c r="P659">
        <v>17</v>
      </c>
      <c r="Q659" t="s">
        <v>22</v>
      </c>
    </row>
    <row r="660" spans="1:17" x14ac:dyDescent="0.25">
      <c r="A660">
        <v>1226</v>
      </c>
      <c r="B660">
        <v>41</v>
      </c>
      <c r="C660" t="s">
        <v>16</v>
      </c>
      <c r="D660" t="s">
        <v>27</v>
      </c>
      <c r="E660" t="s">
        <v>31</v>
      </c>
      <c r="F660" t="s">
        <v>32</v>
      </c>
      <c r="G660" t="s">
        <v>20</v>
      </c>
      <c r="H660" t="s">
        <v>30</v>
      </c>
      <c r="I660">
        <v>4</v>
      </c>
      <c r="J660">
        <v>7004</v>
      </c>
      <c r="K660" t="s">
        <v>42</v>
      </c>
      <c r="L660">
        <v>2</v>
      </c>
      <c r="M660">
        <v>4</v>
      </c>
      <c r="N660">
        <v>7</v>
      </c>
      <c r="O660">
        <v>0</v>
      </c>
      <c r="P660">
        <v>11</v>
      </c>
      <c r="Q660" t="s">
        <v>22</v>
      </c>
    </row>
    <row r="661" spans="1:17" x14ac:dyDescent="0.25">
      <c r="A661">
        <v>1237</v>
      </c>
      <c r="B661">
        <v>24</v>
      </c>
      <c r="C661" t="s">
        <v>23</v>
      </c>
      <c r="D661" t="s">
        <v>27</v>
      </c>
      <c r="E661" t="s">
        <v>43</v>
      </c>
      <c r="F661" t="s">
        <v>36</v>
      </c>
      <c r="G661" t="s">
        <v>33</v>
      </c>
      <c r="H661" t="s">
        <v>34</v>
      </c>
      <c r="I661">
        <v>27</v>
      </c>
      <c r="J661">
        <v>7643</v>
      </c>
      <c r="K661" t="s">
        <v>42</v>
      </c>
      <c r="L661">
        <v>1</v>
      </c>
      <c r="M661">
        <v>2</v>
      </c>
      <c r="N661">
        <v>0</v>
      </c>
      <c r="O661">
        <v>0</v>
      </c>
      <c r="P661">
        <v>0</v>
      </c>
      <c r="Q661" t="s">
        <v>42</v>
      </c>
    </row>
    <row r="662" spans="1:17" x14ac:dyDescent="0.25">
      <c r="A662">
        <v>1247</v>
      </c>
      <c r="B662">
        <v>28</v>
      </c>
      <c r="C662" t="s">
        <v>16</v>
      </c>
      <c r="D662" t="s">
        <v>17</v>
      </c>
      <c r="E662" t="s">
        <v>40</v>
      </c>
      <c r="F662" t="s">
        <v>19</v>
      </c>
      <c r="G662" t="s">
        <v>37</v>
      </c>
      <c r="H662" t="s">
        <v>34</v>
      </c>
      <c r="I662">
        <v>21</v>
      </c>
      <c r="J662" t="s">
        <v>143</v>
      </c>
      <c r="K662" t="s">
        <v>22</v>
      </c>
      <c r="L662">
        <v>2</v>
      </c>
      <c r="M662">
        <v>1</v>
      </c>
      <c r="N662">
        <v>7</v>
      </c>
      <c r="O662">
        <v>2</v>
      </c>
      <c r="P662">
        <v>8</v>
      </c>
      <c r="Q662" t="s">
        <v>22</v>
      </c>
    </row>
    <row r="663" spans="1:17" x14ac:dyDescent="0.25">
      <c r="A663">
        <v>1456</v>
      </c>
      <c r="B663">
        <v>26</v>
      </c>
      <c r="C663" t="s">
        <v>16</v>
      </c>
      <c r="D663" t="s">
        <v>17</v>
      </c>
      <c r="E663" t="s">
        <v>18</v>
      </c>
      <c r="F663" t="s">
        <v>19</v>
      </c>
      <c r="G663" t="s">
        <v>20</v>
      </c>
      <c r="H663" t="s">
        <v>21</v>
      </c>
      <c r="I663">
        <v>4</v>
      </c>
      <c r="J663" t="s">
        <v>85</v>
      </c>
      <c r="K663" t="s">
        <v>22</v>
      </c>
      <c r="L663">
        <v>3</v>
      </c>
      <c r="M663">
        <v>2</v>
      </c>
      <c r="N663">
        <v>6</v>
      </c>
      <c r="O663">
        <v>5</v>
      </c>
      <c r="P663">
        <v>6</v>
      </c>
      <c r="Q663" t="s">
        <v>22</v>
      </c>
    </row>
    <row r="664" spans="1:17" x14ac:dyDescent="0.25">
      <c r="A664">
        <v>1292</v>
      </c>
      <c r="B664">
        <v>37</v>
      </c>
      <c r="C664" t="s">
        <v>16</v>
      </c>
      <c r="D664" t="s">
        <v>47</v>
      </c>
      <c r="E664" t="s">
        <v>53</v>
      </c>
      <c r="F664" t="s">
        <v>29</v>
      </c>
      <c r="G664" t="s">
        <v>20</v>
      </c>
      <c r="H664" t="s">
        <v>21</v>
      </c>
      <c r="I664">
        <v>29</v>
      </c>
      <c r="J664">
        <v>10977</v>
      </c>
      <c r="K664" t="s">
        <v>22</v>
      </c>
      <c r="L664">
        <v>4</v>
      </c>
      <c r="M664">
        <v>3</v>
      </c>
      <c r="N664">
        <v>8</v>
      </c>
      <c r="O664">
        <v>2</v>
      </c>
      <c r="P664">
        <v>14</v>
      </c>
      <c r="Q664" t="s">
        <v>22</v>
      </c>
    </row>
    <row r="665" spans="1:17" x14ac:dyDescent="0.25">
      <c r="A665">
        <v>1754</v>
      </c>
      <c r="B665">
        <v>27</v>
      </c>
      <c r="C665" t="s">
        <v>23</v>
      </c>
      <c r="D665" t="s">
        <v>17</v>
      </c>
      <c r="E665" t="s">
        <v>35</v>
      </c>
      <c r="F665" t="s">
        <v>29</v>
      </c>
      <c r="G665" t="s">
        <v>33</v>
      </c>
      <c r="H665" t="s">
        <v>34</v>
      </c>
      <c r="I665">
        <v>8</v>
      </c>
      <c r="J665">
        <v>4061</v>
      </c>
      <c r="K665" t="s">
        <v>22</v>
      </c>
      <c r="L665">
        <v>3</v>
      </c>
      <c r="M665">
        <v>4</v>
      </c>
      <c r="N665">
        <v>5</v>
      </c>
      <c r="O665">
        <v>2</v>
      </c>
      <c r="P665">
        <v>7</v>
      </c>
      <c r="Q665" t="s">
        <v>22</v>
      </c>
    </row>
    <row r="666" spans="1:17" x14ac:dyDescent="0.25">
      <c r="A666">
        <v>1640</v>
      </c>
      <c r="B666">
        <v>32</v>
      </c>
      <c r="C666" t="s">
        <v>16</v>
      </c>
      <c r="D666" t="s">
        <v>17</v>
      </c>
      <c r="E666" t="s">
        <v>18</v>
      </c>
      <c r="F666" t="s">
        <v>38</v>
      </c>
      <c r="G666" t="s">
        <v>20</v>
      </c>
      <c r="H666" t="s">
        <v>34</v>
      </c>
      <c r="I666">
        <v>7</v>
      </c>
      <c r="J666">
        <v>11414</v>
      </c>
      <c r="K666" t="s">
        <v>42</v>
      </c>
      <c r="L666">
        <v>3</v>
      </c>
      <c r="M666">
        <v>1</v>
      </c>
      <c r="N666">
        <v>2</v>
      </c>
      <c r="O666">
        <v>1</v>
      </c>
      <c r="P666">
        <v>11</v>
      </c>
      <c r="Q666" t="s">
        <v>22</v>
      </c>
    </row>
    <row r="667" spans="1:17" x14ac:dyDescent="0.25">
      <c r="A667">
        <v>1734</v>
      </c>
      <c r="B667">
        <v>59</v>
      </c>
      <c r="C667" t="s">
        <v>16</v>
      </c>
      <c r="D667" t="s">
        <v>24</v>
      </c>
      <c r="E667" t="s">
        <v>52</v>
      </c>
      <c r="F667" t="s">
        <v>26</v>
      </c>
      <c r="G667" t="s">
        <v>37</v>
      </c>
      <c r="H667" t="s">
        <v>21</v>
      </c>
      <c r="I667">
        <v>15</v>
      </c>
      <c r="J667">
        <v>10154</v>
      </c>
      <c r="K667" t="s">
        <v>22</v>
      </c>
      <c r="L667">
        <v>2</v>
      </c>
      <c r="M667">
        <v>4</v>
      </c>
      <c r="N667">
        <v>9</v>
      </c>
      <c r="O667">
        <v>0</v>
      </c>
      <c r="P667">
        <v>28</v>
      </c>
      <c r="Q667" t="s">
        <v>22</v>
      </c>
    </row>
    <row r="668" spans="1:17" x14ac:dyDescent="0.25">
      <c r="A668">
        <v>1115</v>
      </c>
      <c r="B668">
        <v>55</v>
      </c>
      <c r="C668" t="s">
        <v>87</v>
      </c>
      <c r="D668" t="s">
        <v>24</v>
      </c>
      <c r="E668" t="s">
        <v>45</v>
      </c>
      <c r="F668" t="s">
        <v>41</v>
      </c>
      <c r="G668" t="s">
        <v>33</v>
      </c>
      <c r="H668" t="s">
        <v>30</v>
      </c>
      <c r="I668">
        <v>5</v>
      </c>
      <c r="J668">
        <v>13530</v>
      </c>
      <c r="K668" t="s">
        <v>42</v>
      </c>
      <c r="L668">
        <v>3</v>
      </c>
      <c r="M668">
        <v>4</v>
      </c>
      <c r="N668">
        <v>22</v>
      </c>
      <c r="O668">
        <v>14</v>
      </c>
      <c r="P668">
        <v>35</v>
      </c>
      <c r="Q668" t="s">
        <v>22</v>
      </c>
    </row>
    <row r="669" spans="1:17" x14ac:dyDescent="0.25">
      <c r="A669">
        <v>1011</v>
      </c>
      <c r="B669">
        <v>25</v>
      </c>
      <c r="C669" t="s">
        <v>23</v>
      </c>
      <c r="D669" t="s">
        <v>17</v>
      </c>
      <c r="E669" t="s">
        <v>18</v>
      </c>
      <c r="F669" t="s">
        <v>26</v>
      </c>
      <c r="G669" t="s">
        <v>37</v>
      </c>
      <c r="H669" t="s">
        <v>21</v>
      </c>
      <c r="I669">
        <v>6</v>
      </c>
      <c r="J669">
        <v>10427</v>
      </c>
      <c r="K669" t="s">
        <v>22</v>
      </c>
      <c r="L669">
        <v>2</v>
      </c>
      <c r="M669">
        <v>4</v>
      </c>
      <c r="N669">
        <v>0</v>
      </c>
      <c r="O669">
        <v>0</v>
      </c>
      <c r="P669">
        <v>5</v>
      </c>
      <c r="Q669" t="s">
        <v>42</v>
      </c>
    </row>
    <row r="670" spans="1:17" x14ac:dyDescent="0.25">
      <c r="A670">
        <v>1871</v>
      </c>
      <c r="B670">
        <v>34</v>
      </c>
      <c r="C670" t="s">
        <v>16</v>
      </c>
      <c r="D670" t="s">
        <v>17</v>
      </c>
      <c r="E670" t="s">
        <v>35</v>
      </c>
      <c r="F670" t="s">
        <v>41</v>
      </c>
      <c r="G670" t="s">
        <v>20</v>
      </c>
      <c r="H670" t="s">
        <v>34</v>
      </c>
      <c r="I670">
        <v>21</v>
      </c>
      <c r="J670">
        <v>6407</v>
      </c>
      <c r="K670" t="s">
        <v>42</v>
      </c>
      <c r="L670">
        <v>3</v>
      </c>
      <c r="M670">
        <v>1</v>
      </c>
      <c r="N670">
        <v>5</v>
      </c>
      <c r="O670">
        <v>5</v>
      </c>
      <c r="P670">
        <v>5</v>
      </c>
      <c r="Q670" t="s">
        <v>88</v>
      </c>
    </row>
    <row r="671" spans="1:17" x14ac:dyDescent="0.25">
      <c r="A671">
        <v>1581</v>
      </c>
      <c r="B671">
        <v>42</v>
      </c>
      <c r="C671" t="s">
        <v>23</v>
      </c>
      <c r="D671" t="s">
        <v>17</v>
      </c>
      <c r="E671" t="s">
        <v>35</v>
      </c>
      <c r="F671" t="s">
        <v>38</v>
      </c>
      <c r="G671" t="s">
        <v>37</v>
      </c>
      <c r="H671" t="s">
        <v>30</v>
      </c>
      <c r="I671">
        <v>26</v>
      </c>
      <c r="J671">
        <v>10973</v>
      </c>
      <c r="K671" t="s">
        <v>22</v>
      </c>
      <c r="L671">
        <v>4</v>
      </c>
      <c r="M671">
        <v>1</v>
      </c>
      <c r="N671">
        <v>21</v>
      </c>
      <c r="O671">
        <v>17</v>
      </c>
      <c r="P671">
        <v>21</v>
      </c>
      <c r="Q671" t="s">
        <v>22</v>
      </c>
    </row>
    <row r="672" spans="1:17" x14ac:dyDescent="0.25">
      <c r="A672">
        <v>1825</v>
      </c>
      <c r="B672">
        <v>20</v>
      </c>
      <c r="C672" t="s">
        <v>16</v>
      </c>
      <c r="D672" t="s">
        <v>27</v>
      </c>
      <c r="E672" t="s">
        <v>44</v>
      </c>
      <c r="F672" t="s">
        <v>41</v>
      </c>
      <c r="G672" t="s">
        <v>37</v>
      </c>
      <c r="H672" t="s">
        <v>34</v>
      </c>
      <c r="I672">
        <v>22</v>
      </c>
      <c r="J672">
        <v>6282</v>
      </c>
      <c r="K672" t="s">
        <v>22</v>
      </c>
      <c r="L672">
        <v>4</v>
      </c>
      <c r="M672">
        <v>2</v>
      </c>
      <c r="N672">
        <v>0</v>
      </c>
      <c r="O672">
        <v>0</v>
      </c>
      <c r="P672">
        <v>0</v>
      </c>
      <c r="Q672" t="s">
        <v>22</v>
      </c>
    </row>
    <row r="673" spans="1:17" x14ac:dyDescent="0.25">
      <c r="A673">
        <v>1747</v>
      </c>
      <c r="B673">
        <v>41</v>
      </c>
      <c r="C673" t="s">
        <v>16</v>
      </c>
      <c r="D673" t="s">
        <v>24</v>
      </c>
      <c r="E673" t="s">
        <v>46</v>
      </c>
      <c r="F673" t="s">
        <v>19</v>
      </c>
      <c r="G673" t="s">
        <v>37</v>
      </c>
      <c r="H673" t="s">
        <v>30</v>
      </c>
      <c r="I673">
        <v>16</v>
      </c>
      <c r="J673">
        <v>11280</v>
      </c>
      <c r="K673" t="s">
        <v>22</v>
      </c>
      <c r="L673">
        <v>2</v>
      </c>
      <c r="M673">
        <v>2</v>
      </c>
      <c r="N673">
        <v>20</v>
      </c>
      <c r="O673">
        <v>16</v>
      </c>
      <c r="P673">
        <v>20</v>
      </c>
      <c r="Q673" t="s">
        <v>22</v>
      </c>
    </row>
    <row r="674" spans="1:17" x14ac:dyDescent="0.25">
      <c r="A674">
        <v>1434</v>
      </c>
      <c r="B674">
        <v>29</v>
      </c>
      <c r="C674" t="s">
        <v>23</v>
      </c>
      <c r="D674" t="s">
        <v>17</v>
      </c>
      <c r="E674" t="s">
        <v>18</v>
      </c>
      <c r="F674" t="s">
        <v>41</v>
      </c>
      <c r="G674" t="s">
        <v>20</v>
      </c>
      <c r="H674" t="s">
        <v>21</v>
      </c>
      <c r="I674">
        <v>18</v>
      </c>
      <c r="J674">
        <v>8765</v>
      </c>
      <c r="K674" t="s">
        <v>22</v>
      </c>
      <c r="L674">
        <v>3</v>
      </c>
      <c r="M674">
        <v>4</v>
      </c>
      <c r="N674">
        <v>0</v>
      </c>
      <c r="O674">
        <v>0</v>
      </c>
      <c r="P674">
        <v>0</v>
      </c>
      <c r="Q674" t="s">
        <v>22</v>
      </c>
    </row>
    <row r="675" spans="1:17" x14ac:dyDescent="0.25">
      <c r="A675">
        <v>1099</v>
      </c>
      <c r="B675">
        <v>41</v>
      </c>
      <c r="C675" t="s">
        <v>23</v>
      </c>
      <c r="D675" t="s">
        <v>27</v>
      </c>
      <c r="E675" t="s">
        <v>31</v>
      </c>
      <c r="F675" t="s">
        <v>32</v>
      </c>
      <c r="G675" t="s">
        <v>37</v>
      </c>
      <c r="H675" t="s">
        <v>21</v>
      </c>
      <c r="I675">
        <v>25</v>
      </c>
      <c r="J675">
        <v>8518</v>
      </c>
      <c r="K675" t="s">
        <v>22</v>
      </c>
      <c r="L675">
        <v>2</v>
      </c>
      <c r="M675">
        <v>2</v>
      </c>
      <c r="N675">
        <v>19</v>
      </c>
      <c r="O675">
        <v>12</v>
      </c>
      <c r="P675">
        <v>21</v>
      </c>
      <c r="Q675" t="s">
        <v>22</v>
      </c>
    </row>
    <row r="676" spans="1:17" x14ac:dyDescent="0.25">
      <c r="A676">
        <v>1854</v>
      </c>
      <c r="B676">
        <v>52</v>
      </c>
      <c r="C676" t="s">
        <v>23</v>
      </c>
      <c r="D676" t="s">
        <v>17</v>
      </c>
      <c r="E676" t="s">
        <v>18</v>
      </c>
      <c r="G676" t="s">
        <v>20</v>
      </c>
      <c r="H676" t="s">
        <v>21</v>
      </c>
      <c r="I676">
        <v>17</v>
      </c>
      <c r="J676">
        <v>8897</v>
      </c>
      <c r="K676" t="s">
        <v>22</v>
      </c>
      <c r="L676">
        <v>3</v>
      </c>
      <c r="M676">
        <v>2</v>
      </c>
      <c r="N676">
        <v>12</v>
      </c>
      <c r="O676">
        <v>7</v>
      </c>
      <c r="P676">
        <v>27</v>
      </c>
      <c r="Q676" t="s">
        <v>22</v>
      </c>
    </row>
    <row r="677" spans="1:17" x14ac:dyDescent="0.25">
      <c r="A677">
        <v>1784</v>
      </c>
      <c r="B677">
        <v>32</v>
      </c>
      <c r="C677" t="s">
        <v>16</v>
      </c>
      <c r="D677" t="s">
        <v>47</v>
      </c>
      <c r="E677" t="s">
        <v>48</v>
      </c>
      <c r="F677" t="s">
        <v>29</v>
      </c>
      <c r="G677" t="s">
        <v>37</v>
      </c>
      <c r="H677" t="s">
        <v>30</v>
      </c>
      <c r="I677">
        <v>29</v>
      </c>
      <c r="J677">
        <v>7958</v>
      </c>
      <c r="K677" t="s">
        <v>42</v>
      </c>
      <c r="L677">
        <v>3</v>
      </c>
      <c r="M677">
        <v>2</v>
      </c>
      <c r="N677">
        <v>2</v>
      </c>
      <c r="O677">
        <v>2</v>
      </c>
      <c r="P677">
        <v>7</v>
      </c>
      <c r="Q677" t="s">
        <v>42</v>
      </c>
    </row>
    <row r="678" spans="1:17" x14ac:dyDescent="0.25">
      <c r="A678">
        <v>1816</v>
      </c>
      <c r="B678">
        <v>33</v>
      </c>
      <c r="C678" t="s">
        <v>16</v>
      </c>
      <c r="D678" t="s">
        <v>27</v>
      </c>
      <c r="E678" t="s">
        <v>31</v>
      </c>
      <c r="F678" t="s">
        <v>32</v>
      </c>
      <c r="G678" t="s">
        <v>20</v>
      </c>
      <c r="H678" t="s">
        <v>34</v>
      </c>
      <c r="I678">
        <v>13</v>
      </c>
      <c r="J678">
        <v>5814</v>
      </c>
      <c r="K678" t="s">
        <v>22</v>
      </c>
      <c r="L678">
        <v>2</v>
      </c>
      <c r="M678">
        <v>2</v>
      </c>
      <c r="N678">
        <v>5</v>
      </c>
      <c r="O678">
        <v>1</v>
      </c>
      <c r="P678">
        <v>5</v>
      </c>
      <c r="Q678" t="s">
        <v>22</v>
      </c>
    </row>
    <row r="679" spans="1:17" x14ac:dyDescent="0.25">
      <c r="A679">
        <v>1562</v>
      </c>
      <c r="B679">
        <v>44</v>
      </c>
      <c r="C679" t="s">
        <v>16</v>
      </c>
      <c r="D679" t="s">
        <v>17</v>
      </c>
      <c r="E679" t="s">
        <v>18</v>
      </c>
      <c r="F679" t="s">
        <v>41</v>
      </c>
      <c r="G679" t="s">
        <v>37</v>
      </c>
      <c r="H679" t="s">
        <v>21</v>
      </c>
      <c r="I679">
        <v>12</v>
      </c>
      <c r="J679">
        <v>10285</v>
      </c>
      <c r="K679" t="s">
        <v>22</v>
      </c>
      <c r="L679">
        <v>4</v>
      </c>
      <c r="M679">
        <v>2</v>
      </c>
      <c r="N679">
        <v>16</v>
      </c>
      <c r="O679">
        <v>11</v>
      </c>
      <c r="P679">
        <v>20</v>
      </c>
      <c r="Q679" t="s">
        <v>22</v>
      </c>
    </row>
    <row r="680" spans="1:17" x14ac:dyDescent="0.25">
      <c r="A680">
        <v>1768</v>
      </c>
      <c r="B680">
        <v>59</v>
      </c>
      <c r="C680" t="s">
        <v>23</v>
      </c>
      <c r="D680" t="s">
        <v>24</v>
      </c>
      <c r="E680" t="s">
        <v>25</v>
      </c>
      <c r="F680" t="s">
        <v>38</v>
      </c>
      <c r="G680" t="s">
        <v>37</v>
      </c>
      <c r="H680" t="s">
        <v>30</v>
      </c>
      <c r="I680">
        <v>17</v>
      </c>
      <c r="J680">
        <v>16381</v>
      </c>
      <c r="K680" t="s">
        <v>22</v>
      </c>
      <c r="L680">
        <v>1</v>
      </c>
      <c r="M680">
        <v>2</v>
      </c>
      <c r="N680">
        <v>9</v>
      </c>
      <c r="O680">
        <v>2</v>
      </c>
      <c r="P680">
        <v>39</v>
      </c>
      <c r="Q680" t="s">
        <v>22</v>
      </c>
    </row>
    <row r="681" spans="1:17" x14ac:dyDescent="0.25">
      <c r="A681">
        <v>1823</v>
      </c>
      <c r="B681">
        <v>39</v>
      </c>
      <c r="C681" t="s">
        <v>23</v>
      </c>
      <c r="D681" t="s">
        <v>17</v>
      </c>
      <c r="E681" t="s">
        <v>40</v>
      </c>
      <c r="F681" t="s">
        <v>19</v>
      </c>
      <c r="G681" t="s">
        <v>33</v>
      </c>
      <c r="H681" t="s">
        <v>21</v>
      </c>
      <c r="I681">
        <v>2</v>
      </c>
      <c r="J681">
        <v>6247</v>
      </c>
      <c r="K681" t="s">
        <v>22</v>
      </c>
      <c r="L681">
        <v>2</v>
      </c>
      <c r="M681">
        <v>3</v>
      </c>
      <c r="N681">
        <v>16</v>
      </c>
      <c r="O681">
        <v>6</v>
      </c>
      <c r="P681">
        <v>19</v>
      </c>
      <c r="Q681" t="s">
        <v>22</v>
      </c>
    </row>
    <row r="682" spans="1:17" x14ac:dyDescent="0.25">
      <c r="A682">
        <v>1072</v>
      </c>
      <c r="B682">
        <v>34</v>
      </c>
      <c r="C682" t="s">
        <v>23</v>
      </c>
      <c r="D682" t="s">
        <v>47</v>
      </c>
      <c r="E682" t="s">
        <v>48</v>
      </c>
      <c r="F682" t="s">
        <v>36</v>
      </c>
      <c r="G682" t="s">
        <v>33</v>
      </c>
      <c r="H682" t="s">
        <v>34</v>
      </c>
      <c r="I682">
        <v>10</v>
      </c>
      <c r="J682">
        <v>6786</v>
      </c>
      <c r="K682" t="s">
        <v>22</v>
      </c>
      <c r="L682">
        <v>1</v>
      </c>
      <c r="M682">
        <v>4</v>
      </c>
      <c r="N682">
        <v>2</v>
      </c>
      <c r="O682">
        <v>2</v>
      </c>
      <c r="P682">
        <v>3</v>
      </c>
      <c r="Q682" t="s">
        <v>22</v>
      </c>
    </row>
    <row r="683" spans="1:17" x14ac:dyDescent="0.25">
      <c r="A683">
        <v>1043</v>
      </c>
      <c r="B683">
        <v>60</v>
      </c>
      <c r="C683" t="s">
        <v>23</v>
      </c>
      <c r="D683" t="s">
        <v>17</v>
      </c>
      <c r="E683" t="s">
        <v>35</v>
      </c>
      <c r="F683" t="s">
        <v>19</v>
      </c>
      <c r="G683" t="s">
        <v>20</v>
      </c>
      <c r="H683" t="s">
        <v>34</v>
      </c>
      <c r="I683">
        <v>27</v>
      </c>
      <c r="J683">
        <v>11421</v>
      </c>
      <c r="K683" t="s">
        <v>22</v>
      </c>
      <c r="L683">
        <v>3</v>
      </c>
      <c r="M683">
        <v>4</v>
      </c>
      <c r="N683">
        <v>4</v>
      </c>
      <c r="O683">
        <v>3</v>
      </c>
      <c r="P683">
        <v>40</v>
      </c>
      <c r="Q683" t="s">
        <v>95</v>
      </c>
    </row>
    <row r="684" spans="1:17" x14ac:dyDescent="0.25">
      <c r="A684">
        <v>1056</v>
      </c>
      <c r="B684">
        <v>40</v>
      </c>
      <c r="C684" t="s">
        <v>23</v>
      </c>
      <c r="D684" t="s">
        <v>17</v>
      </c>
      <c r="E684" t="s">
        <v>40</v>
      </c>
      <c r="F684" t="s">
        <v>26</v>
      </c>
      <c r="G684" t="s">
        <v>20</v>
      </c>
      <c r="H684" t="s">
        <v>30</v>
      </c>
      <c r="I684">
        <v>17</v>
      </c>
      <c r="J684">
        <v>8594</v>
      </c>
      <c r="K684" t="s">
        <v>42</v>
      </c>
      <c r="L684">
        <v>4</v>
      </c>
      <c r="M684">
        <v>4</v>
      </c>
      <c r="N684">
        <v>12</v>
      </c>
      <c r="O684">
        <v>8</v>
      </c>
      <c r="P684">
        <v>15</v>
      </c>
      <c r="Q684" t="s">
        <v>22</v>
      </c>
    </row>
    <row r="685" spans="1:17" x14ac:dyDescent="0.25">
      <c r="A685">
        <v>1752</v>
      </c>
      <c r="B685">
        <v>26</v>
      </c>
      <c r="C685" t="s">
        <v>16</v>
      </c>
      <c r="D685" t="s">
        <v>17</v>
      </c>
      <c r="E685" t="s">
        <v>40</v>
      </c>
      <c r="F685" t="s">
        <v>36</v>
      </c>
      <c r="G685" t="s">
        <v>33</v>
      </c>
      <c r="H685" t="s">
        <v>34</v>
      </c>
      <c r="I685">
        <v>29</v>
      </c>
      <c r="J685">
        <v>6649</v>
      </c>
      <c r="K685" t="s">
        <v>22</v>
      </c>
      <c r="L685">
        <v>4</v>
      </c>
      <c r="M685">
        <v>3</v>
      </c>
      <c r="N685">
        <v>5</v>
      </c>
      <c r="O685">
        <v>2</v>
      </c>
      <c r="P685">
        <v>6</v>
      </c>
      <c r="Q685" t="s">
        <v>22</v>
      </c>
    </row>
    <row r="686" spans="1:17" x14ac:dyDescent="0.25">
      <c r="A686">
        <v>1126</v>
      </c>
      <c r="B686">
        <v>47</v>
      </c>
      <c r="C686" t="s">
        <v>16</v>
      </c>
      <c r="D686" t="s">
        <v>24</v>
      </c>
      <c r="E686" t="s">
        <v>46</v>
      </c>
      <c r="F686" t="s">
        <v>29</v>
      </c>
      <c r="G686" t="s">
        <v>20</v>
      </c>
      <c r="H686" t="s">
        <v>34</v>
      </c>
      <c r="I686">
        <v>18</v>
      </c>
      <c r="J686">
        <v>10918</v>
      </c>
      <c r="K686" t="s">
        <v>42</v>
      </c>
      <c r="L686">
        <v>1</v>
      </c>
      <c r="M686">
        <v>4</v>
      </c>
      <c r="N686">
        <v>11</v>
      </c>
      <c r="O686">
        <v>6</v>
      </c>
      <c r="P686">
        <v>25</v>
      </c>
      <c r="Q686" t="s">
        <v>42</v>
      </c>
    </row>
    <row r="687" spans="1:17" x14ac:dyDescent="0.25">
      <c r="A687">
        <v>1186</v>
      </c>
      <c r="B687">
        <v>40</v>
      </c>
      <c r="C687" t="s">
        <v>23</v>
      </c>
      <c r="D687" t="s">
        <v>136</v>
      </c>
      <c r="E687" t="s">
        <v>39</v>
      </c>
      <c r="F687" t="s">
        <v>32</v>
      </c>
      <c r="G687" t="s">
        <v>37</v>
      </c>
      <c r="H687" t="s">
        <v>34</v>
      </c>
      <c r="I687">
        <v>9</v>
      </c>
      <c r="J687">
        <v>8246</v>
      </c>
      <c r="K687" t="s">
        <v>22</v>
      </c>
      <c r="L687">
        <v>2</v>
      </c>
      <c r="M687">
        <v>4</v>
      </c>
      <c r="N687">
        <v>18</v>
      </c>
      <c r="O687">
        <v>8</v>
      </c>
      <c r="P687">
        <v>20</v>
      </c>
      <c r="Q687" t="s">
        <v>22</v>
      </c>
    </row>
    <row r="688" spans="1:17" x14ac:dyDescent="0.25">
      <c r="A688">
        <v>1144</v>
      </c>
      <c r="B688">
        <v>52</v>
      </c>
      <c r="C688" t="s">
        <v>16</v>
      </c>
      <c r="D688" t="s">
        <v>38</v>
      </c>
      <c r="E688" t="s">
        <v>39</v>
      </c>
      <c r="F688" t="s">
        <v>38</v>
      </c>
      <c r="G688" t="s">
        <v>33</v>
      </c>
      <c r="H688" t="s">
        <v>21</v>
      </c>
      <c r="I688">
        <v>22</v>
      </c>
      <c r="J688">
        <v>9639</v>
      </c>
      <c r="K688" t="s">
        <v>22</v>
      </c>
      <c r="L688">
        <v>4</v>
      </c>
      <c r="M688">
        <v>1</v>
      </c>
      <c r="N688">
        <v>4</v>
      </c>
      <c r="O688">
        <v>4</v>
      </c>
      <c r="P688">
        <v>26</v>
      </c>
      <c r="Q688" t="s">
        <v>22</v>
      </c>
    </row>
    <row r="689" spans="1:17" x14ac:dyDescent="0.25">
      <c r="A689">
        <v>1123</v>
      </c>
      <c r="B689">
        <v>45</v>
      </c>
      <c r="C689" t="s">
        <v>113</v>
      </c>
      <c r="D689" t="s">
        <v>27</v>
      </c>
      <c r="E689" t="s">
        <v>44</v>
      </c>
      <c r="F689" t="s">
        <v>36</v>
      </c>
      <c r="G689" t="s">
        <v>33</v>
      </c>
      <c r="H689" t="s">
        <v>21</v>
      </c>
      <c r="I689">
        <v>15</v>
      </c>
      <c r="J689">
        <v>11406</v>
      </c>
      <c r="K689" t="s">
        <v>42</v>
      </c>
      <c r="L689">
        <v>2</v>
      </c>
      <c r="M689">
        <v>4</v>
      </c>
      <c r="N689">
        <v>17</v>
      </c>
      <c r="O689">
        <v>3</v>
      </c>
      <c r="P689">
        <v>24</v>
      </c>
      <c r="Q689" t="s">
        <v>42</v>
      </c>
    </row>
    <row r="690" spans="1:17" x14ac:dyDescent="0.25">
      <c r="A690">
        <v>1778</v>
      </c>
      <c r="B690">
        <v>33</v>
      </c>
      <c r="C690" t="s">
        <v>23</v>
      </c>
      <c r="D690" t="s">
        <v>47</v>
      </c>
      <c r="E690" t="s">
        <v>53</v>
      </c>
      <c r="F690" t="s">
        <v>41</v>
      </c>
      <c r="G690" t="s">
        <v>33</v>
      </c>
      <c r="H690" t="s">
        <v>34</v>
      </c>
      <c r="I690">
        <v>10</v>
      </c>
      <c r="J690">
        <v>10777</v>
      </c>
      <c r="K690" t="s">
        <v>42</v>
      </c>
      <c r="L690">
        <v>3</v>
      </c>
      <c r="M690">
        <v>3</v>
      </c>
      <c r="N690">
        <v>4</v>
      </c>
      <c r="O690">
        <v>2</v>
      </c>
      <c r="P690">
        <v>5</v>
      </c>
      <c r="Q690" t="s">
        <v>22</v>
      </c>
    </row>
    <row r="691" spans="1:17" x14ac:dyDescent="0.25">
      <c r="A691">
        <v>1397</v>
      </c>
      <c r="B691">
        <v>56</v>
      </c>
      <c r="C691" t="s">
        <v>16</v>
      </c>
      <c r="D691" t="s">
        <v>24</v>
      </c>
      <c r="E691" t="s">
        <v>45</v>
      </c>
      <c r="F691" t="s">
        <v>38</v>
      </c>
      <c r="G691" t="s">
        <v>37</v>
      </c>
      <c r="H691" t="s">
        <v>21</v>
      </c>
      <c r="I691">
        <v>20</v>
      </c>
      <c r="J691">
        <v>9723</v>
      </c>
      <c r="K691" t="s">
        <v>22</v>
      </c>
      <c r="L691">
        <v>2</v>
      </c>
      <c r="M691">
        <v>1</v>
      </c>
      <c r="N691">
        <v>25</v>
      </c>
      <c r="O691">
        <v>9</v>
      </c>
      <c r="P691">
        <v>31</v>
      </c>
      <c r="Q691" t="s">
        <v>22</v>
      </c>
    </row>
    <row r="692" spans="1:17" x14ac:dyDescent="0.25">
      <c r="A692">
        <v>1448</v>
      </c>
      <c r="B692">
        <v>42</v>
      </c>
      <c r="C692" t="s">
        <v>16</v>
      </c>
      <c r="D692" t="s">
        <v>47</v>
      </c>
      <c r="E692" t="s">
        <v>48</v>
      </c>
      <c r="F692" t="s">
        <v>29</v>
      </c>
      <c r="G692" t="s">
        <v>33</v>
      </c>
      <c r="H692" t="s">
        <v>30</v>
      </c>
      <c r="I692">
        <v>21</v>
      </c>
      <c r="J692">
        <v>10455</v>
      </c>
      <c r="K692" t="s">
        <v>22</v>
      </c>
      <c r="L692">
        <v>1</v>
      </c>
      <c r="M692">
        <v>3</v>
      </c>
      <c r="N692">
        <v>13</v>
      </c>
      <c r="O692">
        <v>10</v>
      </c>
      <c r="P692">
        <v>20</v>
      </c>
      <c r="Q692" t="s">
        <v>22</v>
      </c>
    </row>
    <row r="693" spans="1:17" x14ac:dyDescent="0.25">
      <c r="A693">
        <v>1488</v>
      </c>
      <c r="B693">
        <v>35</v>
      </c>
      <c r="C693" t="s">
        <v>23</v>
      </c>
      <c r="D693" t="s">
        <v>17</v>
      </c>
      <c r="E693" t="s">
        <v>35</v>
      </c>
      <c r="G693" t="s">
        <v>37</v>
      </c>
      <c r="H693" t="s">
        <v>34</v>
      </c>
      <c r="I693">
        <v>11</v>
      </c>
      <c r="J693">
        <v>3502</v>
      </c>
      <c r="K693" t="s">
        <v>42</v>
      </c>
      <c r="L693">
        <v>1</v>
      </c>
      <c r="M693">
        <v>4</v>
      </c>
      <c r="N693">
        <v>1</v>
      </c>
      <c r="O693">
        <v>1</v>
      </c>
      <c r="P693">
        <v>2</v>
      </c>
      <c r="Q693" t="s">
        <v>22</v>
      </c>
    </row>
    <row r="694" spans="1:17" x14ac:dyDescent="0.25">
      <c r="A694">
        <v>1111</v>
      </c>
      <c r="B694">
        <v>47</v>
      </c>
      <c r="C694" t="s">
        <v>23</v>
      </c>
      <c r="D694" t="s">
        <v>100</v>
      </c>
      <c r="E694" t="s">
        <v>31</v>
      </c>
      <c r="F694" t="s">
        <v>38</v>
      </c>
      <c r="G694" t="s">
        <v>20</v>
      </c>
      <c r="H694" t="s">
        <v>34</v>
      </c>
      <c r="I694">
        <v>10</v>
      </c>
      <c r="J694">
        <v>7237</v>
      </c>
      <c r="K694" t="s">
        <v>22</v>
      </c>
      <c r="L694">
        <v>1</v>
      </c>
      <c r="M694">
        <v>3</v>
      </c>
      <c r="N694">
        <v>9</v>
      </c>
      <c r="O694">
        <v>5</v>
      </c>
      <c r="P694">
        <v>15</v>
      </c>
      <c r="Q694" t="s">
        <v>22</v>
      </c>
    </row>
    <row r="695" spans="1:17" x14ac:dyDescent="0.25">
      <c r="A695">
        <v>1610</v>
      </c>
      <c r="B695">
        <v>54</v>
      </c>
      <c r="C695" t="s">
        <v>16</v>
      </c>
      <c r="D695" t="s">
        <v>17</v>
      </c>
      <c r="E695" t="s">
        <v>40</v>
      </c>
      <c r="G695" t="s">
        <v>37</v>
      </c>
      <c r="H695" t="s">
        <v>30</v>
      </c>
      <c r="I695">
        <v>13</v>
      </c>
      <c r="J695">
        <v>8667</v>
      </c>
      <c r="K695" t="s">
        <v>22</v>
      </c>
      <c r="L695">
        <v>2</v>
      </c>
      <c r="M695">
        <v>1</v>
      </c>
      <c r="N695">
        <v>25</v>
      </c>
      <c r="O695">
        <v>22</v>
      </c>
      <c r="P695">
        <v>26</v>
      </c>
      <c r="Q695" t="s">
        <v>22</v>
      </c>
    </row>
    <row r="696" spans="1:17" x14ac:dyDescent="0.25">
      <c r="A696">
        <v>1793</v>
      </c>
      <c r="B696">
        <v>27</v>
      </c>
      <c r="C696" t="s">
        <v>16</v>
      </c>
      <c r="D696" t="s">
        <v>17</v>
      </c>
      <c r="E696" t="s">
        <v>18</v>
      </c>
      <c r="G696" t="s">
        <v>20</v>
      </c>
      <c r="H696" t="s">
        <v>34</v>
      </c>
      <c r="I696">
        <v>24</v>
      </c>
      <c r="J696">
        <v>8161</v>
      </c>
      <c r="K696" t="s">
        <v>42</v>
      </c>
      <c r="L696">
        <v>1</v>
      </c>
      <c r="M696">
        <v>1</v>
      </c>
      <c r="N696">
        <v>3</v>
      </c>
      <c r="O696">
        <v>1</v>
      </c>
      <c r="P696">
        <v>4</v>
      </c>
      <c r="Q696" t="s">
        <v>22</v>
      </c>
    </row>
    <row r="697" spans="1:17" x14ac:dyDescent="0.25">
      <c r="A697">
        <v>1644</v>
      </c>
      <c r="B697">
        <v>60</v>
      </c>
      <c r="C697" t="s">
        <v>87</v>
      </c>
      <c r="D697" t="s">
        <v>17</v>
      </c>
      <c r="E697" t="s">
        <v>18</v>
      </c>
      <c r="F697" t="s">
        <v>32</v>
      </c>
      <c r="G697" t="s">
        <v>33</v>
      </c>
      <c r="H697" t="s">
        <v>34</v>
      </c>
      <c r="I697">
        <v>14</v>
      </c>
      <c r="J697">
        <v>13884</v>
      </c>
      <c r="K697" t="s">
        <v>22</v>
      </c>
      <c r="L697">
        <v>3</v>
      </c>
      <c r="M697">
        <v>2</v>
      </c>
      <c r="N697">
        <v>4</v>
      </c>
      <c r="O697">
        <v>3</v>
      </c>
      <c r="P697">
        <v>33</v>
      </c>
      <c r="Q697" t="s">
        <v>42</v>
      </c>
    </row>
    <row r="698" spans="1:17" x14ac:dyDescent="0.25">
      <c r="A698">
        <v>1438</v>
      </c>
      <c r="B698">
        <v>33</v>
      </c>
      <c r="C698" t="s">
        <v>23</v>
      </c>
      <c r="D698" t="s">
        <v>17</v>
      </c>
      <c r="E698" t="s">
        <v>40</v>
      </c>
      <c r="F698" t="s">
        <v>36</v>
      </c>
      <c r="G698" t="s">
        <v>33</v>
      </c>
      <c r="H698" t="s">
        <v>21</v>
      </c>
      <c r="I698">
        <v>6</v>
      </c>
      <c r="J698">
        <v>6317</v>
      </c>
      <c r="K698" t="s">
        <v>22</v>
      </c>
      <c r="L698">
        <v>3</v>
      </c>
      <c r="M698">
        <v>4</v>
      </c>
      <c r="N698">
        <v>5</v>
      </c>
      <c r="O698">
        <v>2</v>
      </c>
      <c r="P698">
        <v>7</v>
      </c>
      <c r="Q698" t="s">
        <v>22</v>
      </c>
    </row>
    <row r="699" spans="1:17" x14ac:dyDescent="0.25">
      <c r="A699">
        <v>1053</v>
      </c>
      <c r="B699">
        <v>58</v>
      </c>
      <c r="C699" t="s">
        <v>23</v>
      </c>
      <c r="D699" t="s">
        <v>109</v>
      </c>
      <c r="E699" t="s">
        <v>35</v>
      </c>
      <c r="F699" t="s">
        <v>41</v>
      </c>
      <c r="G699" t="s">
        <v>20</v>
      </c>
      <c r="H699" t="s">
        <v>34</v>
      </c>
      <c r="I699">
        <v>9</v>
      </c>
      <c r="J699">
        <v>9323</v>
      </c>
      <c r="K699" t="s">
        <v>22</v>
      </c>
      <c r="L699">
        <v>4</v>
      </c>
      <c r="M699">
        <v>3</v>
      </c>
      <c r="N699">
        <v>9</v>
      </c>
      <c r="O699">
        <v>7</v>
      </c>
      <c r="P699">
        <v>33</v>
      </c>
      <c r="Q699" t="s">
        <v>22</v>
      </c>
    </row>
    <row r="700" spans="1:17" x14ac:dyDescent="0.25">
      <c r="A700">
        <v>1926</v>
      </c>
      <c r="B700">
        <v>23</v>
      </c>
      <c r="C700" t="s">
        <v>16</v>
      </c>
      <c r="D700" t="s">
        <v>24</v>
      </c>
      <c r="E700" t="s">
        <v>25</v>
      </c>
      <c r="F700" t="s">
        <v>26</v>
      </c>
      <c r="G700" t="s">
        <v>37</v>
      </c>
      <c r="H700" t="s">
        <v>21</v>
      </c>
      <c r="I700">
        <v>18</v>
      </c>
      <c r="J700">
        <v>9006</v>
      </c>
      <c r="K700" t="s">
        <v>22</v>
      </c>
      <c r="L700">
        <v>4</v>
      </c>
      <c r="M700">
        <v>2</v>
      </c>
      <c r="N700">
        <v>0</v>
      </c>
      <c r="O700">
        <v>0</v>
      </c>
      <c r="P700">
        <v>0</v>
      </c>
      <c r="Q700" t="s">
        <v>42</v>
      </c>
    </row>
    <row r="701" spans="1:17" x14ac:dyDescent="0.25">
      <c r="A701">
        <v>1204</v>
      </c>
      <c r="B701">
        <v>31</v>
      </c>
      <c r="C701" t="s">
        <v>16</v>
      </c>
      <c r="D701" t="s">
        <v>24</v>
      </c>
      <c r="E701" t="s">
        <v>46</v>
      </c>
      <c r="F701" t="s">
        <v>19</v>
      </c>
      <c r="G701" t="s">
        <v>33</v>
      </c>
      <c r="H701" t="s">
        <v>30</v>
      </c>
      <c r="I701">
        <v>25</v>
      </c>
      <c r="J701">
        <v>8702</v>
      </c>
      <c r="K701" t="s">
        <v>22</v>
      </c>
      <c r="L701">
        <v>1</v>
      </c>
      <c r="M701">
        <v>4</v>
      </c>
      <c r="N701">
        <v>0</v>
      </c>
      <c r="O701">
        <v>0</v>
      </c>
      <c r="P701">
        <v>8</v>
      </c>
      <c r="Q701" t="s">
        <v>22</v>
      </c>
    </row>
    <row r="702" spans="1:17" x14ac:dyDescent="0.25">
      <c r="A702">
        <v>1431</v>
      </c>
      <c r="B702">
        <v>43</v>
      </c>
      <c r="C702" t="s">
        <v>23</v>
      </c>
      <c r="D702" t="s">
        <v>24</v>
      </c>
      <c r="E702" t="s">
        <v>46</v>
      </c>
      <c r="F702" t="s">
        <v>38</v>
      </c>
      <c r="G702" t="s">
        <v>37</v>
      </c>
      <c r="H702" t="s">
        <v>30</v>
      </c>
      <c r="I702">
        <v>4</v>
      </c>
      <c r="J702">
        <v>9625</v>
      </c>
      <c r="K702" t="s">
        <v>42</v>
      </c>
      <c r="L702">
        <v>2</v>
      </c>
      <c r="M702">
        <v>3</v>
      </c>
      <c r="N702">
        <v>11</v>
      </c>
      <c r="O702">
        <v>1</v>
      </c>
      <c r="P702">
        <v>14</v>
      </c>
      <c r="Q702" t="s">
        <v>22</v>
      </c>
    </row>
    <row r="703" spans="1:17" x14ac:dyDescent="0.25">
      <c r="A703">
        <v>1725</v>
      </c>
      <c r="B703">
        <v>27</v>
      </c>
      <c r="C703" t="s">
        <v>23</v>
      </c>
      <c r="D703" t="s">
        <v>27</v>
      </c>
      <c r="E703" t="s">
        <v>28</v>
      </c>
      <c r="F703" t="s">
        <v>36</v>
      </c>
      <c r="G703" t="s">
        <v>33</v>
      </c>
      <c r="H703" t="s">
        <v>30</v>
      </c>
      <c r="I703">
        <v>5</v>
      </c>
      <c r="J703">
        <v>11641</v>
      </c>
      <c r="K703" t="s">
        <v>22</v>
      </c>
      <c r="L703">
        <v>4</v>
      </c>
      <c r="M703">
        <v>2</v>
      </c>
      <c r="N703">
        <v>2</v>
      </c>
      <c r="O703">
        <v>0</v>
      </c>
      <c r="P703">
        <v>2</v>
      </c>
      <c r="Q703" t="s">
        <v>22</v>
      </c>
    </row>
    <row r="704" spans="1:17" x14ac:dyDescent="0.25">
      <c r="A704">
        <v>1811</v>
      </c>
      <c r="B704">
        <v>23</v>
      </c>
      <c r="C704" t="s">
        <v>16</v>
      </c>
      <c r="D704" t="s">
        <v>17</v>
      </c>
      <c r="E704" t="s">
        <v>18</v>
      </c>
      <c r="F704" t="s">
        <v>26</v>
      </c>
      <c r="G704" t="s">
        <v>33</v>
      </c>
      <c r="H704" t="s">
        <v>34</v>
      </c>
      <c r="I704">
        <v>21</v>
      </c>
      <c r="J704">
        <v>8769</v>
      </c>
      <c r="K704" t="s">
        <v>22</v>
      </c>
      <c r="L704">
        <v>2</v>
      </c>
      <c r="M704">
        <v>4</v>
      </c>
      <c r="N704">
        <v>3</v>
      </c>
      <c r="O704">
        <v>3</v>
      </c>
      <c r="P704">
        <v>3</v>
      </c>
      <c r="Q704" t="s">
        <v>22</v>
      </c>
    </row>
    <row r="705" spans="1:17" x14ac:dyDescent="0.25">
      <c r="A705">
        <v>1284</v>
      </c>
      <c r="B705">
        <v>30</v>
      </c>
      <c r="C705" t="s">
        <v>23</v>
      </c>
      <c r="D705" t="s">
        <v>27</v>
      </c>
      <c r="E705" t="s">
        <v>43</v>
      </c>
      <c r="F705" t="s">
        <v>29</v>
      </c>
      <c r="G705" t="s">
        <v>33</v>
      </c>
      <c r="H705" t="s">
        <v>21</v>
      </c>
      <c r="I705">
        <v>18</v>
      </c>
      <c r="J705">
        <v>9314</v>
      </c>
      <c r="K705" t="s">
        <v>22</v>
      </c>
      <c r="L705">
        <v>2</v>
      </c>
      <c r="M705">
        <v>1</v>
      </c>
      <c r="N705">
        <v>4</v>
      </c>
      <c r="O705">
        <v>1</v>
      </c>
      <c r="P705">
        <v>8</v>
      </c>
      <c r="Q705" t="s">
        <v>22</v>
      </c>
    </row>
    <row r="706" spans="1:17" x14ac:dyDescent="0.25">
      <c r="A706">
        <v>1598</v>
      </c>
      <c r="B706">
        <v>27</v>
      </c>
      <c r="C706" t="s">
        <v>87</v>
      </c>
      <c r="D706" t="s">
        <v>27</v>
      </c>
      <c r="E706" t="s">
        <v>31</v>
      </c>
      <c r="F706" t="s">
        <v>19</v>
      </c>
      <c r="G706" t="s">
        <v>37</v>
      </c>
      <c r="H706" t="s">
        <v>30</v>
      </c>
      <c r="I706">
        <v>14</v>
      </c>
      <c r="J706">
        <v>4644</v>
      </c>
      <c r="K706" t="s">
        <v>42</v>
      </c>
      <c r="L706">
        <v>2</v>
      </c>
      <c r="M706">
        <v>4</v>
      </c>
      <c r="N706">
        <v>3</v>
      </c>
      <c r="O706">
        <v>3</v>
      </c>
      <c r="P706">
        <v>3</v>
      </c>
      <c r="Q706" t="s">
        <v>22</v>
      </c>
    </row>
    <row r="707" spans="1:17" x14ac:dyDescent="0.25">
      <c r="A707">
        <v>1714</v>
      </c>
      <c r="B707">
        <v>34</v>
      </c>
      <c r="C707" t="s">
        <v>16</v>
      </c>
      <c r="D707" t="s">
        <v>24</v>
      </c>
      <c r="E707" t="s">
        <v>45</v>
      </c>
      <c r="F707" t="s">
        <v>36</v>
      </c>
      <c r="G707" t="s">
        <v>33</v>
      </c>
      <c r="H707" t="s">
        <v>34</v>
      </c>
      <c r="I707">
        <v>3</v>
      </c>
      <c r="J707">
        <v>9421</v>
      </c>
      <c r="K707" t="s">
        <v>22</v>
      </c>
      <c r="L707">
        <v>2</v>
      </c>
      <c r="M707">
        <v>2</v>
      </c>
      <c r="N707">
        <v>11</v>
      </c>
      <c r="O707">
        <v>1</v>
      </c>
      <c r="P707">
        <v>14</v>
      </c>
      <c r="Q707" t="s">
        <v>22</v>
      </c>
    </row>
    <row r="708" spans="1:17" x14ac:dyDescent="0.25">
      <c r="A708">
        <v>1466</v>
      </c>
      <c r="B708">
        <v>28</v>
      </c>
      <c r="C708" t="s">
        <v>23</v>
      </c>
      <c r="D708" t="s">
        <v>17</v>
      </c>
      <c r="E708" t="s">
        <v>40</v>
      </c>
      <c r="F708" t="s">
        <v>41</v>
      </c>
      <c r="G708" t="s">
        <v>20</v>
      </c>
      <c r="H708" t="s">
        <v>34</v>
      </c>
      <c r="I708">
        <v>12</v>
      </c>
      <c r="J708">
        <v>5171</v>
      </c>
      <c r="K708" t="s">
        <v>42</v>
      </c>
      <c r="L708">
        <v>3</v>
      </c>
      <c r="M708">
        <v>4</v>
      </c>
      <c r="N708">
        <v>5</v>
      </c>
      <c r="O708">
        <v>4</v>
      </c>
      <c r="P708">
        <v>6</v>
      </c>
      <c r="Q708" t="s">
        <v>22</v>
      </c>
    </row>
    <row r="709" spans="1:17" x14ac:dyDescent="0.25">
      <c r="A709">
        <v>1507</v>
      </c>
      <c r="B709">
        <v>25</v>
      </c>
      <c r="C709" t="s">
        <v>16</v>
      </c>
      <c r="D709" t="s">
        <v>27</v>
      </c>
      <c r="E709" t="s">
        <v>43</v>
      </c>
      <c r="F709" t="s">
        <v>38</v>
      </c>
      <c r="G709" t="s">
        <v>20</v>
      </c>
      <c r="H709" t="s">
        <v>21</v>
      </c>
      <c r="I709">
        <v>29</v>
      </c>
      <c r="J709">
        <v>7582</v>
      </c>
      <c r="K709" t="s">
        <v>42</v>
      </c>
      <c r="L709">
        <v>4</v>
      </c>
      <c r="M709">
        <v>1</v>
      </c>
      <c r="N709">
        <v>0</v>
      </c>
      <c r="O709">
        <v>0</v>
      </c>
      <c r="P709">
        <v>0</v>
      </c>
      <c r="Q709" t="s">
        <v>42</v>
      </c>
    </row>
    <row r="710" spans="1:17" x14ac:dyDescent="0.25">
      <c r="A710">
        <v>1720</v>
      </c>
      <c r="B710">
        <v>34</v>
      </c>
      <c r="C710" t="s">
        <v>16</v>
      </c>
      <c r="D710" t="s">
        <v>24</v>
      </c>
      <c r="E710" t="s">
        <v>25</v>
      </c>
      <c r="F710" t="s">
        <v>41</v>
      </c>
      <c r="G710" t="s">
        <v>33</v>
      </c>
      <c r="H710" t="s">
        <v>34</v>
      </c>
      <c r="I710">
        <v>29</v>
      </c>
      <c r="J710">
        <v>10159</v>
      </c>
      <c r="K710" t="s">
        <v>22</v>
      </c>
      <c r="L710">
        <v>1</v>
      </c>
      <c r="M710">
        <v>2</v>
      </c>
      <c r="N710">
        <v>6</v>
      </c>
      <c r="O710">
        <v>3</v>
      </c>
      <c r="P710">
        <v>14</v>
      </c>
      <c r="Q710" t="s">
        <v>22</v>
      </c>
    </row>
    <row r="711" spans="1:17" x14ac:dyDescent="0.25">
      <c r="A711">
        <v>1912</v>
      </c>
      <c r="B711">
        <v>54</v>
      </c>
      <c r="C711" t="s">
        <v>16</v>
      </c>
      <c r="D711" t="s">
        <v>27</v>
      </c>
      <c r="E711" t="s">
        <v>43</v>
      </c>
      <c r="F711" t="s">
        <v>19</v>
      </c>
      <c r="G711" t="s">
        <v>37</v>
      </c>
      <c r="H711" t="s">
        <v>30</v>
      </c>
      <c r="I711">
        <v>20</v>
      </c>
      <c r="J711" t="s">
        <v>144</v>
      </c>
      <c r="K711" t="s">
        <v>22</v>
      </c>
      <c r="L711">
        <v>3</v>
      </c>
      <c r="M711">
        <v>1</v>
      </c>
      <c r="N711">
        <v>25</v>
      </c>
      <c r="O711">
        <v>16</v>
      </c>
      <c r="P711">
        <v>28</v>
      </c>
      <c r="Q711" t="s">
        <v>22</v>
      </c>
    </row>
    <row r="712" spans="1:17" x14ac:dyDescent="0.25">
      <c r="A712">
        <v>1952</v>
      </c>
      <c r="B712">
        <v>42</v>
      </c>
      <c r="C712" t="s">
        <v>16</v>
      </c>
      <c r="D712" t="s">
        <v>27</v>
      </c>
      <c r="E712" t="s">
        <v>43</v>
      </c>
      <c r="F712" t="s">
        <v>19</v>
      </c>
      <c r="G712" t="s">
        <v>37</v>
      </c>
      <c r="H712" t="s">
        <v>34</v>
      </c>
      <c r="I712">
        <v>3</v>
      </c>
      <c r="J712">
        <v>7238</v>
      </c>
      <c r="K712" t="s">
        <v>22</v>
      </c>
      <c r="L712">
        <v>1</v>
      </c>
      <c r="M712">
        <v>4</v>
      </c>
      <c r="N712">
        <v>15</v>
      </c>
      <c r="O712">
        <v>9</v>
      </c>
      <c r="P712">
        <v>16</v>
      </c>
      <c r="Q712" t="s">
        <v>22</v>
      </c>
    </row>
    <row r="713" spans="1:17" x14ac:dyDescent="0.25">
      <c r="A713">
        <v>1004</v>
      </c>
      <c r="B713">
        <v>34</v>
      </c>
      <c r="C713" t="s">
        <v>16</v>
      </c>
      <c r="D713" t="s">
        <v>27</v>
      </c>
      <c r="E713" t="s">
        <v>31</v>
      </c>
      <c r="F713" t="s">
        <v>19</v>
      </c>
      <c r="G713" t="s">
        <v>33</v>
      </c>
      <c r="H713" t="s">
        <v>30</v>
      </c>
      <c r="I713">
        <v>12</v>
      </c>
      <c r="J713">
        <v>4237</v>
      </c>
      <c r="K713" t="s">
        <v>22</v>
      </c>
      <c r="L713">
        <v>3</v>
      </c>
      <c r="M713">
        <v>4</v>
      </c>
      <c r="N713">
        <v>3</v>
      </c>
      <c r="O713">
        <v>0</v>
      </c>
      <c r="P713">
        <v>12</v>
      </c>
      <c r="Q713" t="s">
        <v>22</v>
      </c>
    </row>
    <row r="714" spans="1:17" x14ac:dyDescent="0.25">
      <c r="A714">
        <v>1822</v>
      </c>
      <c r="B714">
        <v>58</v>
      </c>
      <c r="C714" t="s">
        <v>23</v>
      </c>
      <c r="D714" t="s">
        <v>17</v>
      </c>
      <c r="E714" t="s">
        <v>35</v>
      </c>
      <c r="F714" t="s">
        <v>41</v>
      </c>
      <c r="G714" t="s">
        <v>37</v>
      </c>
      <c r="H714" t="s">
        <v>34</v>
      </c>
      <c r="I714">
        <v>9</v>
      </c>
      <c r="J714">
        <v>12395</v>
      </c>
      <c r="K714" t="s">
        <v>22</v>
      </c>
      <c r="L714">
        <v>1</v>
      </c>
      <c r="M714">
        <v>4</v>
      </c>
      <c r="N714">
        <v>9</v>
      </c>
      <c r="O714">
        <v>0</v>
      </c>
      <c r="P714">
        <v>30</v>
      </c>
      <c r="Q714" t="s">
        <v>22</v>
      </c>
    </row>
    <row r="715" spans="1:17" x14ac:dyDescent="0.25">
      <c r="A715">
        <v>1564</v>
      </c>
      <c r="B715">
        <v>36</v>
      </c>
      <c r="C715" t="s">
        <v>16</v>
      </c>
      <c r="D715" t="s">
        <v>17</v>
      </c>
      <c r="E715" t="s">
        <v>35</v>
      </c>
      <c r="F715" t="s">
        <v>19</v>
      </c>
      <c r="G715" t="s">
        <v>20</v>
      </c>
      <c r="H715" t="s">
        <v>21</v>
      </c>
      <c r="I715">
        <v>15</v>
      </c>
      <c r="J715">
        <v>6585</v>
      </c>
      <c r="K715" t="s">
        <v>22</v>
      </c>
      <c r="L715">
        <v>3</v>
      </c>
      <c r="M715">
        <v>2</v>
      </c>
      <c r="N715">
        <v>1</v>
      </c>
      <c r="O715">
        <v>1</v>
      </c>
      <c r="P715">
        <v>9</v>
      </c>
      <c r="Q715" t="s">
        <v>22</v>
      </c>
    </row>
    <row r="716" spans="1:17" x14ac:dyDescent="0.25">
      <c r="A716">
        <v>1386</v>
      </c>
      <c r="B716">
        <v>50</v>
      </c>
      <c r="C716" t="s">
        <v>16</v>
      </c>
      <c r="D716" t="s">
        <v>24</v>
      </c>
      <c r="E716" t="s">
        <v>46</v>
      </c>
      <c r="F716" t="s">
        <v>19</v>
      </c>
      <c r="G716" t="s">
        <v>37</v>
      </c>
      <c r="H716" t="s">
        <v>30</v>
      </c>
      <c r="I716">
        <v>23</v>
      </c>
      <c r="J716">
        <v>12040</v>
      </c>
      <c r="K716" t="s">
        <v>22</v>
      </c>
      <c r="L716">
        <v>2</v>
      </c>
      <c r="M716">
        <v>1</v>
      </c>
      <c r="N716">
        <v>5</v>
      </c>
      <c r="O716">
        <v>2</v>
      </c>
      <c r="P716">
        <v>30</v>
      </c>
      <c r="Q716" t="s">
        <v>22</v>
      </c>
    </row>
    <row r="717" spans="1:17" x14ac:dyDescent="0.25">
      <c r="A717">
        <v>1128</v>
      </c>
      <c r="B717">
        <v>45</v>
      </c>
      <c r="C717" t="s">
        <v>16</v>
      </c>
      <c r="D717" t="s">
        <v>17</v>
      </c>
      <c r="E717" t="s">
        <v>18</v>
      </c>
      <c r="F717" t="s">
        <v>29</v>
      </c>
      <c r="G717" t="s">
        <v>20</v>
      </c>
      <c r="H717" t="s">
        <v>34</v>
      </c>
      <c r="I717">
        <v>17</v>
      </c>
      <c r="J717">
        <v>12119</v>
      </c>
      <c r="K717" t="s">
        <v>22</v>
      </c>
      <c r="L717">
        <v>4</v>
      </c>
      <c r="M717">
        <v>2</v>
      </c>
      <c r="N717">
        <v>4</v>
      </c>
      <c r="O717">
        <v>2</v>
      </c>
      <c r="P717">
        <v>19</v>
      </c>
      <c r="Q717" t="s">
        <v>22</v>
      </c>
    </row>
    <row r="718" spans="1:17" x14ac:dyDescent="0.25">
      <c r="A718">
        <v>1259</v>
      </c>
      <c r="B718">
        <v>42</v>
      </c>
      <c r="C718" t="s">
        <v>16</v>
      </c>
      <c r="D718" t="s">
        <v>94</v>
      </c>
      <c r="E718" t="s">
        <v>35</v>
      </c>
      <c r="F718" t="s">
        <v>19</v>
      </c>
      <c r="G718" t="s">
        <v>33</v>
      </c>
      <c r="H718" t="s">
        <v>30</v>
      </c>
      <c r="I718">
        <v>3</v>
      </c>
      <c r="J718">
        <v>5203</v>
      </c>
      <c r="K718" t="s">
        <v>22</v>
      </c>
      <c r="L718">
        <v>1</v>
      </c>
      <c r="M718">
        <v>4</v>
      </c>
      <c r="N718">
        <v>2</v>
      </c>
      <c r="O718">
        <v>1</v>
      </c>
      <c r="P718">
        <v>10</v>
      </c>
      <c r="Q718" t="s">
        <v>22</v>
      </c>
    </row>
    <row r="719" spans="1:17" x14ac:dyDescent="0.25">
      <c r="A719">
        <v>1074</v>
      </c>
      <c r="B719">
        <v>46</v>
      </c>
      <c r="C719" t="s">
        <v>23</v>
      </c>
      <c r="D719" t="s">
        <v>100</v>
      </c>
      <c r="E719" t="s">
        <v>43</v>
      </c>
      <c r="F719" t="s">
        <v>36</v>
      </c>
      <c r="G719" t="s">
        <v>37</v>
      </c>
      <c r="H719" t="s">
        <v>21</v>
      </c>
      <c r="I719">
        <v>8</v>
      </c>
      <c r="J719">
        <v>6787</v>
      </c>
      <c r="K719" t="s">
        <v>22</v>
      </c>
      <c r="L719">
        <v>3</v>
      </c>
      <c r="M719">
        <v>2</v>
      </c>
      <c r="N719">
        <v>13</v>
      </c>
      <c r="O719">
        <v>4</v>
      </c>
      <c r="P719">
        <v>16</v>
      </c>
      <c r="Q719" t="s">
        <v>22</v>
      </c>
    </row>
    <row r="720" spans="1:17" x14ac:dyDescent="0.25">
      <c r="A720">
        <v>1857</v>
      </c>
      <c r="B720">
        <v>54</v>
      </c>
      <c r="C720" t="s">
        <v>23</v>
      </c>
      <c r="D720" t="s">
        <v>17</v>
      </c>
      <c r="E720" t="s">
        <v>18</v>
      </c>
      <c r="F720" t="s">
        <v>38</v>
      </c>
      <c r="G720" t="s">
        <v>33</v>
      </c>
      <c r="H720" t="s">
        <v>34</v>
      </c>
      <c r="I720">
        <v>6</v>
      </c>
      <c r="J720">
        <v>12153</v>
      </c>
      <c r="K720" t="s">
        <v>22</v>
      </c>
      <c r="L720">
        <v>2</v>
      </c>
      <c r="M720">
        <v>3</v>
      </c>
      <c r="N720">
        <v>1</v>
      </c>
      <c r="O720">
        <v>1</v>
      </c>
      <c r="P720">
        <v>34</v>
      </c>
      <c r="Q720" t="s">
        <v>22</v>
      </c>
    </row>
    <row r="721" spans="1:17" x14ac:dyDescent="0.25">
      <c r="A721">
        <v>1261</v>
      </c>
      <c r="B721">
        <v>23</v>
      </c>
      <c r="C721" t="s">
        <v>23</v>
      </c>
      <c r="D721" t="s">
        <v>47</v>
      </c>
      <c r="E721" t="s">
        <v>53</v>
      </c>
      <c r="F721" t="s">
        <v>36</v>
      </c>
      <c r="G721" t="s">
        <v>37</v>
      </c>
      <c r="H721" t="s">
        <v>34</v>
      </c>
      <c r="I721">
        <v>11</v>
      </c>
      <c r="J721">
        <v>10178</v>
      </c>
      <c r="K721" t="s">
        <v>22</v>
      </c>
      <c r="L721">
        <v>1</v>
      </c>
      <c r="M721">
        <v>4</v>
      </c>
      <c r="N721">
        <v>3</v>
      </c>
      <c r="O721">
        <v>3</v>
      </c>
      <c r="P721">
        <v>3</v>
      </c>
      <c r="Q721" t="s">
        <v>22</v>
      </c>
    </row>
    <row r="722" spans="1:17" x14ac:dyDescent="0.25">
      <c r="A722">
        <v>1828</v>
      </c>
      <c r="B722">
        <v>22</v>
      </c>
      <c r="C722" t="s">
        <v>105</v>
      </c>
      <c r="D722" t="s">
        <v>17</v>
      </c>
      <c r="E722" t="s">
        <v>40</v>
      </c>
      <c r="F722" t="s">
        <v>38</v>
      </c>
      <c r="G722" t="s">
        <v>20</v>
      </c>
      <c r="H722" t="s">
        <v>34</v>
      </c>
      <c r="I722">
        <v>10</v>
      </c>
      <c r="J722">
        <v>6652</v>
      </c>
      <c r="K722" t="s">
        <v>22</v>
      </c>
      <c r="L722">
        <v>4</v>
      </c>
      <c r="M722">
        <v>2</v>
      </c>
      <c r="N722">
        <v>0</v>
      </c>
      <c r="O722">
        <v>0</v>
      </c>
      <c r="P722">
        <v>0</v>
      </c>
      <c r="Q722" t="s">
        <v>42</v>
      </c>
    </row>
    <row r="723" spans="1:17" x14ac:dyDescent="0.25">
      <c r="A723">
        <v>1818</v>
      </c>
      <c r="B723">
        <v>22</v>
      </c>
      <c r="C723" t="s">
        <v>23</v>
      </c>
      <c r="D723" t="s">
        <v>24</v>
      </c>
      <c r="E723" t="s">
        <v>52</v>
      </c>
      <c r="F723" t="s">
        <v>32</v>
      </c>
      <c r="G723" t="s">
        <v>20</v>
      </c>
      <c r="H723" t="s">
        <v>30</v>
      </c>
      <c r="I723">
        <v>22</v>
      </c>
      <c r="J723">
        <v>5382</v>
      </c>
      <c r="K723" t="s">
        <v>22</v>
      </c>
      <c r="L723">
        <v>4</v>
      </c>
      <c r="M723">
        <v>3</v>
      </c>
      <c r="N723">
        <v>0</v>
      </c>
      <c r="O723">
        <v>0</v>
      </c>
      <c r="P723">
        <v>2</v>
      </c>
      <c r="Q723" t="s">
        <v>22</v>
      </c>
    </row>
    <row r="724" spans="1:17" x14ac:dyDescent="0.25">
      <c r="A724">
        <v>1551</v>
      </c>
      <c r="B724">
        <v>38</v>
      </c>
      <c r="C724" t="s">
        <v>23</v>
      </c>
      <c r="D724" t="s">
        <v>17</v>
      </c>
      <c r="E724" t="s">
        <v>40</v>
      </c>
      <c r="F724" t="s">
        <v>29</v>
      </c>
      <c r="G724" t="s">
        <v>33</v>
      </c>
      <c r="H724" t="s">
        <v>21</v>
      </c>
      <c r="I724">
        <v>14</v>
      </c>
      <c r="J724" t="s">
        <v>145</v>
      </c>
      <c r="K724" t="s">
        <v>22</v>
      </c>
      <c r="L724">
        <v>4</v>
      </c>
      <c r="M724">
        <v>4</v>
      </c>
      <c r="N724">
        <v>13</v>
      </c>
      <c r="O724">
        <v>3</v>
      </c>
      <c r="P724">
        <v>16</v>
      </c>
      <c r="Q724" t="s">
        <v>22</v>
      </c>
    </row>
    <row r="725" spans="1:17" x14ac:dyDescent="0.25">
      <c r="A725">
        <v>1471</v>
      </c>
      <c r="B725">
        <v>24</v>
      </c>
      <c r="C725" t="s">
        <v>16</v>
      </c>
      <c r="D725" t="s">
        <v>24</v>
      </c>
      <c r="E725" t="s">
        <v>25</v>
      </c>
      <c r="F725" t="s">
        <v>29</v>
      </c>
      <c r="G725" t="s">
        <v>20</v>
      </c>
      <c r="H725" t="s">
        <v>30</v>
      </c>
      <c r="I725">
        <v>13</v>
      </c>
      <c r="J725">
        <v>8133</v>
      </c>
      <c r="K725" t="s">
        <v>42</v>
      </c>
      <c r="L725">
        <v>4</v>
      </c>
      <c r="M725">
        <v>3</v>
      </c>
      <c r="N725">
        <v>0</v>
      </c>
      <c r="O725">
        <v>0</v>
      </c>
      <c r="P725">
        <v>0</v>
      </c>
      <c r="Q725" t="s">
        <v>42</v>
      </c>
    </row>
    <row r="726" spans="1:17" x14ac:dyDescent="0.25">
      <c r="A726">
        <v>1582</v>
      </c>
      <c r="B726">
        <v>39</v>
      </c>
      <c r="C726" t="s">
        <v>16</v>
      </c>
      <c r="D726" t="s">
        <v>47</v>
      </c>
      <c r="E726" t="s">
        <v>50</v>
      </c>
      <c r="F726" t="s">
        <v>36</v>
      </c>
      <c r="G726" t="s">
        <v>20</v>
      </c>
      <c r="H726" t="s">
        <v>34</v>
      </c>
      <c r="I726">
        <v>8</v>
      </c>
      <c r="J726">
        <v>7991</v>
      </c>
      <c r="K726" t="s">
        <v>22</v>
      </c>
      <c r="M726">
        <v>2</v>
      </c>
      <c r="N726">
        <v>0</v>
      </c>
      <c r="O726">
        <v>0</v>
      </c>
      <c r="P726">
        <v>8</v>
      </c>
      <c r="Q726" t="s">
        <v>42</v>
      </c>
    </row>
    <row r="727" spans="1:17" x14ac:dyDescent="0.25">
      <c r="A727">
        <v>1783</v>
      </c>
      <c r="B727">
        <v>22</v>
      </c>
      <c r="C727" t="s">
        <v>16</v>
      </c>
      <c r="D727" t="s">
        <v>27</v>
      </c>
      <c r="E727" t="s">
        <v>44</v>
      </c>
      <c r="F727" t="s">
        <v>32</v>
      </c>
      <c r="G727" t="s">
        <v>37</v>
      </c>
      <c r="H727" t="s">
        <v>21</v>
      </c>
      <c r="I727">
        <v>21</v>
      </c>
      <c r="J727">
        <v>7420</v>
      </c>
      <c r="K727" t="s">
        <v>22</v>
      </c>
      <c r="L727">
        <v>2</v>
      </c>
      <c r="M727">
        <v>1</v>
      </c>
      <c r="N727">
        <v>0</v>
      </c>
      <c r="O727">
        <v>0</v>
      </c>
      <c r="P727">
        <v>0</v>
      </c>
      <c r="Q727" t="s">
        <v>42</v>
      </c>
    </row>
    <row r="728" spans="1:17" x14ac:dyDescent="0.25">
      <c r="A728">
        <v>1496</v>
      </c>
      <c r="B728">
        <v>45</v>
      </c>
      <c r="C728" t="s">
        <v>23</v>
      </c>
      <c r="D728" t="s">
        <v>27</v>
      </c>
      <c r="E728" t="s">
        <v>31</v>
      </c>
      <c r="F728" t="s">
        <v>41</v>
      </c>
      <c r="G728" t="s">
        <v>37</v>
      </c>
      <c r="H728" t="s">
        <v>21</v>
      </c>
      <c r="I728">
        <v>23</v>
      </c>
      <c r="J728">
        <v>10558</v>
      </c>
      <c r="K728" t="s">
        <v>22</v>
      </c>
      <c r="L728">
        <v>1</v>
      </c>
      <c r="M728">
        <v>1</v>
      </c>
      <c r="N728">
        <v>1</v>
      </c>
      <c r="O728">
        <v>1</v>
      </c>
      <c r="P728">
        <v>12</v>
      </c>
      <c r="Q728" t="s">
        <v>22</v>
      </c>
    </row>
    <row r="729" spans="1:17" x14ac:dyDescent="0.25">
      <c r="A729">
        <v>1402</v>
      </c>
      <c r="B729">
        <v>50</v>
      </c>
      <c r="C729" t="s">
        <v>16</v>
      </c>
      <c r="D729" t="s">
        <v>24</v>
      </c>
      <c r="E729" t="s">
        <v>45</v>
      </c>
      <c r="F729" t="s">
        <v>36</v>
      </c>
      <c r="G729" t="s">
        <v>33</v>
      </c>
      <c r="H729" t="s">
        <v>30</v>
      </c>
      <c r="I729">
        <v>17</v>
      </c>
      <c r="J729">
        <v>11816</v>
      </c>
      <c r="K729" t="s">
        <v>22</v>
      </c>
      <c r="L729">
        <v>4</v>
      </c>
      <c r="M729">
        <v>4</v>
      </c>
      <c r="N729">
        <v>13</v>
      </c>
      <c r="O729">
        <v>0</v>
      </c>
      <c r="P729">
        <v>25</v>
      </c>
      <c r="Q729" t="s">
        <v>88</v>
      </c>
    </row>
    <row r="730" spans="1:17" x14ac:dyDescent="0.25">
      <c r="A730">
        <v>1252</v>
      </c>
      <c r="B730">
        <v>54</v>
      </c>
      <c r="C730" t="s">
        <v>23</v>
      </c>
      <c r="D730" t="s">
        <v>24</v>
      </c>
      <c r="E730" t="s">
        <v>25</v>
      </c>
      <c r="F730" t="s">
        <v>19</v>
      </c>
      <c r="G730" t="s">
        <v>20</v>
      </c>
      <c r="H730" t="s">
        <v>30</v>
      </c>
      <c r="I730">
        <v>13</v>
      </c>
      <c r="J730">
        <v>12286</v>
      </c>
      <c r="K730" t="s">
        <v>22</v>
      </c>
      <c r="L730">
        <v>1</v>
      </c>
      <c r="M730">
        <v>1</v>
      </c>
      <c r="N730">
        <v>1</v>
      </c>
      <c r="O730">
        <v>0</v>
      </c>
      <c r="P730">
        <v>25</v>
      </c>
      <c r="Q730" t="s">
        <v>42</v>
      </c>
    </row>
    <row r="731" spans="1:17" x14ac:dyDescent="0.25">
      <c r="A731">
        <v>1384</v>
      </c>
      <c r="B731">
        <v>48</v>
      </c>
      <c r="C731" t="s">
        <v>23</v>
      </c>
      <c r="D731" t="s">
        <v>47</v>
      </c>
      <c r="E731" t="s">
        <v>53</v>
      </c>
      <c r="F731" t="s">
        <v>41</v>
      </c>
      <c r="G731" t="s">
        <v>33</v>
      </c>
      <c r="H731" t="s">
        <v>21</v>
      </c>
      <c r="I731">
        <v>26</v>
      </c>
      <c r="J731">
        <v>12191</v>
      </c>
      <c r="K731" t="s">
        <v>42</v>
      </c>
      <c r="L731">
        <v>4</v>
      </c>
      <c r="M731">
        <v>2</v>
      </c>
      <c r="N731">
        <v>6</v>
      </c>
      <c r="O731">
        <v>5</v>
      </c>
      <c r="P731">
        <v>20</v>
      </c>
      <c r="Q731" t="s">
        <v>22</v>
      </c>
    </row>
    <row r="732" spans="1:17" x14ac:dyDescent="0.25">
      <c r="A732">
        <v>1934</v>
      </c>
      <c r="B732">
        <v>33</v>
      </c>
      <c r="C732" t="s">
        <v>23</v>
      </c>
      <c r="D732" t="s">
        <v>27</v>
      </c>
      <c r="E732" t="s">
        <v>43</v>
      </c>
      <c r="F732" t="s">
        <v>38</v>
      </c>
      <c r="G732" t="s">
        <v>33</v>
      </c>
      <c r="H732" t="s">
        <v>21</v>
      </c>
      <c r="I732">
        <v>12</v>
      </c>
      <c r="J732">
        <v>7126</v>
      </c>
      <c r="K732" t="s">
        <v>22</v>
      </c>
      <c r="L732">
        <v>3</v>
      </c>
      <c r="M732">
        <v>3</v>
      </c>
      <c r="N732">
        <v>0</v>
      </c>
      <c r="O732">
        <v>0</v>
      </c>
      <c r="P732">
        <v>8</v>
      </c>
      <c r="Q732" t="s">
        <v>22</v>
      </c>
    </row>
    <row r="733" spans="1:17" x14ac:dyDescent="0.25">
      <c r="A733">
        <v>1664</v>
      </c>
      <c r="B733">
        <v>24</v>
      </c>
      <c r="C733" t="s">
        <v>23</v>
      </c>
      <c r="D733" t="s">
        <v>24</v>
      </c>
      <c r="E733" t="s">
        <v>45</v>
      </c>
      <c r="F733" t="s">
        <v>41</v>
      </c>
      <c r="G733" t="s">
        <v>20</v>
      </c>
      <c r="H733" t="s">
        <v>21</v>
      </c>
      <c r="I733">
        <v>13</v>
      </c>
      <c r="J733">
        <v>7284</v>
      </c>
      <c r="K733" t="s">
        <v>42</v>
      </c>
      <c r="L733">
        <v>3</v>
      </c>
      <c r="M733">
        <v>2</v>
      </c>
      <c r="N733">
        <v>2</v>
      </c>
      <c r="O733">
        <v>0</v>
      </c>
      <c r="P733">
        <v>4</v>
      </c>
      <c r="Q733" t="s">
        <v>22</v>
      </c>
    </row>
    <row r="734" spans="1:17" x14ac:dyDescent="0.25">
      <c r="A734">
        <v>1188</v>
      </c>
      <c r="B734">
        <v>43</v>
      </c>
      <c r="C734" t="s">
        <v>23</v>
      </c>
      <c r="D734" t="s">
        <v>24</v>
      </c>
      <c r="E734" t="s">
        <v>25</v>
      </c>
      <c r="F734" t="s">
        <v>32</v>
      </c>
      <c r="G734" t="s">
        <v>20</v>
      </c>
      <c r="H734" t="s">
        <v>34</v>
      </c>
      <c r="I734">
        <v>26</v>
      </c>
      <c r="J734">
        <v>11894</v>
      </c>
      <c r="K734" t="s">
        <v>22</v>
      </c>
      <c r="L734">
        <v>4</v>
      </c>
      <c r="M734">
        <v>3</v>
      </c>
      <c r="N734">
        <v>9</v>
      </c>
      <c r="O734">
        <v>0</v>
      </c>
      <c r="P734">
        <v>13</v>
      </c>
      <c r="Q734" t="s">
        <v>22</v>
      </c>
    </row>
    <row r="735" spans="1:17" x14ac:dyDescent="0.25">
      <c r="A735">
        <v>1829</v>
      </c>
      <c r="B735">
        <v>31</v>
      </c>
      <c r="C735" t="s">
        <v>23</v>
      </c>
      <c r="D735" t="s">
        <v>17</v>
      </c>
      <c r="E735" t="s">
        <v>35</v>
      </c>
      <c r="F735" t="s">
        <v>36</v>
      </c>
      <c r="G735" t="s">
        <v>33</v>
      </c>
      <c r="H735" t="s">
        <v>21</v>
      </c>
      <c r="I735">
        <v>13</v>
      </c>
      <c r="J735">
        <v>8815</v>
      </c>
      <c r="K735" t="s">
        <v>22</v>
      </c>
      <c r="L735">
        <v>3</v>
      </c>
      <c r="M735">
        <v>1</v>
      </c>
      <c r="N735">
        <v>1</v>
      </c>
      <c r="O735">
        <v>1</v>
      </c>
      <c r="P735">
        <v>10</v>
      </c>
      <c r="Q735" t="s">
        <v>22</v>
      </c>
    </row>
    <row r="736" spans="1:17" x14ac:dyDescent="0.25">
      <c r="A736">
        <v>1921</v>
      </c>
      <c r="B736">
        <v>21</v>
      </c>
      <c r="C736" t="s">
        <v>23</v>
      </c>
      <c r="D736" t="s">
        <v>17</v>
      </c>
      <c r="E736" t="s">
        <v>35</v>
      </c>
      <c r="F736" t="s">
        <v>29</v>
      </c>
      <c r="G736" t="s">
        <v>33</v>
      </c>
      <c r="H736" t="s">
        <v>34</v>
      </c>
      <c r="I736">
        <v>22</v>
      </c>
      <c r="J736">
        <v>2926</v>
      </c>
      <c r="K736" t="s">
        <v>42</v>
      </c>
      <c r="L736">
        <v>3</v>
      </c>
      <c r="M736">
        <v>3</v>
      </c>
      <c r="N736">
        <v>0</v>
      </c>
      <c r="O736">
        <v>0</v>
      </c>
      <c r="P736">
        <v>0</v>
      </c>
      <c r="Q736" t="s">
        <v>42</v>
      </c>
    </row>
    <row r="737" spans="1:17" x14ac:dyDescent="0.25">
      <c r="A737">
        <v>1764</v>
      </c>
      <c r="B737">
        <v>42</v>
      </c>
      <c r="C737" t="s">
        <v>23</v>
      </c>
      <c r="D737" t="s">
        <v>17</v>
      </c>
      <c r="E737" t="s">
        <v>40</v>
      </c>
      <c r="F737" t="s">
        <v>36</v>
      </c>
      <c r="G737" t="s">
        <v>20</v>
      </c>
      <c r="H737" t="s">
        <v>34</v>
      </c>
      <c r="I737">
        <v>18</v>
      </c>
      <c r="J737">
        <v>6974</v>
      </c>
      <c r="K737" t="s">
        <v>22</v>
      </c>
      <c r="L737">
        <v>1</v>
      </c>
      <c r="M737">
        <v>3</v>
      </c>
      <c r="N737">
        <v>3</v>
      </c>
      <c r="O737">
        <v>3</v>
      </c>
      <c r="P737">
        <v>8</v>
      </c>
      <c r="Q737" t="s">
        <v>22</v>
      </c>
    </row>
    <row r="738" spans="1:17" x14ac:dyDescent="0.25">
      <c r="A738">
        <v>1211</v>
      </c>
      <c r="B738">
        <v>52</v>
      </c>
      <c r="C738" t="s">
        <v>16</v>
      </c>
      <c r="D738" t="s">
        <v>47</v>
      </c>
      <c r="E738" t="s">
        <v>50</v>
      </c>
      <c r="F738" t="s">
        <v>32</v>
      </c>
      <c r="G738" t="s">
        <v>33</v>
      </c>
      <c r="H738" t="s">
        <v>34</v>
      </c>
      <c r="I738">
        <v>4</v>
      </c>
      <c r="J738">
        <v>12017</v>
      </c>
      <c r="K738" t="s">
        <v>42</v>
      </c>
      <c r="L738">
        <v>4</v>
      </c>
      <c r="M738">
        <v>2</v>
      </c>
      <c r="N738">
        <v>5</v>
      </c>
      <c r="O738">
        <v>0</v>
      </c>
      <c r="P738">
        <v>32</v>
      </c>
      <c r="Q738" t="s">
        <v>22</v>
      </c>
    </row>
    <row r="739" spans="1:17" x14ac:dyDescent="0.25">
      <c r="A739">
        <v>1890</v>
      </c>
      <c r="B739">
        <v>52</v>
      </c>
      <c r="C739" t="s">
        <v>16</v>
      </c>
      <c r="D739" t="s">
        <v>17</v>
      </c>
      <c r="E739" t="s">
        <v>35</v>
      </c>
      <c r="F739" t="s">
        <v>26</v>
      </c>
      <c r="G739" t="s">
        <v>37</v>
      </c>
      <c r="H739" t="s">
        <v>21</v>
      </c>
      <c r="I739">
        <v>22</v>
      </c>
      <c r="J739">
        <v>10375</v>
      </c>
      <c r="K739" t="s">
        <v>22</v>
      </c>
      <c r="L739">
        <v>4</v>
      </c>
      <c r="M739">
        <v>4</v>
      </c>
      <c r="N739">
        <v>5</v>
      </c>
      <c r="O739">
        <v>2</v>
      </c>
      <c r="P739">
        <v>32</v>
      </c>
      <c r="Q739" t="s">
        <v>22</v>
      </c>
    </row>
    <row r="740" spans="1:17" x14ac:dyDescent="0.25">
      <c r="A740">
        <v>1654</v>
      </c>
      <c r="B740">
        <v>28</v>
      </c>
      <c r="C740" t="s">
        <v>16</v>
      </c>
      <c r="D740" t="s">
        <v>24</v>
      </c>
      <c r="E740" t="s">
        <v>25</v>
      </c>
      <c r="F740" t="s">
        <v>19</v>
      </c>
      <c r="G740" t="s">
        <v>33</v>
      </c>
      <c r="H740" t="s">
        <v>21</v>
      </c>
      <c r="I740">
        <v>8</v>
      </c>
      <c r="J740">
        <v>10148</v>
      </c>
      <c r="K740" t="s">
        <v>22</v>
      </c>
      <c r="L740">
        <v>1</v>
      </c>
      <c r="M740">
        <v>1</v>
      </c>
      <c r="N740">
        <v>0</v>
      </c>
      <c r="O740">
        <v>0</v>
      </c>
      <c r="P740">
        <v>0</v>
      </c>
      <c r="Q740" t="s">
        <v>22</v>
      </c>
    </row>
    <row r="741" spans="1:17" x14ac:dyDescent="0.25">
      <c r="A741">
        <v>1299</v>
      </c>
      <c r="B741">
        <v>43</v>
      </c>
      <c r="C741" t="s">
        <v>105</v>
      </c>
      <c r="D741" t="s">
        <v>38</v>
      </c>
      <c r="E741" t="s">
        <v>49</v>
      </c>
      <c r="F741" t="s">
        <v>26</v>
      </c>
      <c r="G741" t="s">
        <v>37</v>
      </c>
      <c r="H741" t="s">
        <v>30</v>
      </c>
      <c r="I741">
        <v>24</v>
      </c>
      <c r="J741">
        <v>10907</v>
      </c>
      <c r="K741" t="s">
        <v>22</v>
      </c>
      <c r="L741">
        <v>4</v>
      </c>
      <c r="M741">
        <v>3</v>
      </c>
      <c r="N741">
        <v>13</v>
      </c>
      <c r="O741">
        <v>3</v>
      </c>
      <c r="P741">
        <v>23</v>
      </c>
      <c r="Q741" t="s">
        <v>22</v>
      </c>
    </row>
    <row r="742" spans="1:17" x14ac:dyDescent="0.25">
      <c r="A742">
        <v>1741</v>
      </c>
      <c r="B742">
        <v>42</v>
      </c>
      <c r="C742" t="s">
        <v>16</v>
      </c>
      <c r="D742" t="s">
        <v>17</v>
      </c>
      <c r="E742" t="s">
        <v>40</v>
      </c>
      <c r="F742" t="s">
        <v>29</v>
      </c>
      <c r="G742" t="s">
        <v>20</v>
      </c>
      <c r="H742" t="s">
        <v>21</v>
      </c>
      <c r="I742">
        <v>12</v>
      </c>
      <c r="J742" t="s">
        <v>146</v>
      </c>
      <c r="K742" t="s">
        <v>22</v>
      </c>
      <c r="L742">
        <v>1</v>
      </c>
      <c r="M742">
        <v>2</v>
      </c>
      <c r="N742">
        <v>3</v>
      </c>
      <c r="O742">
        <v>2</v>
      </c>
      <c r="P742">
        <v>8</v>
      </c>
      <c r="Q742" t="s">
        <v>22</v>
      </c>
    </row>
    <row r="743" spans="1:17" x14ac:dyDescent="0.25">
      <c r="A743">
        <v>1121</v>
      </c>
      <c r="B743">
        <v>25</v>
      </c>
      <c r="C743" t="s">
        <v>23</v>
      </c>
      <c r="D743" t="s">
        <v>17</v>
      </c>
      <c r="E743" t="s">
        <v>40</v>
      </c>
      <c r="F743" t="s">
        <v>38</v>
      </c>
      <c r="G743" t="s">
        <v>20</v>
      </c>
      <c r="H743" t="s">
        <v>21</v>
      </c>
      <c r="I743">
        <v>21</v>
      </c>
      <c r="J743">
        <v>6665</v>
      </c>
      <c r="K743" t="s">
        <v>22</v>
      </c>
      <c r="L743">
        <v>4</v>
      </c>
      <c r="M743">
        <v>1</v>
      </c>
      <c r="N743">
        <v>4</v>
      </c>
      <c r="O743">
        <v>2</v>
      </c>
      <c r="P743">
        <v>5</v>
      </c>
      <c r="Q743" t="s">
        <v>22</v>
      </c>
    </row>
    <row r="744" spans="1:17" x14ac:dyDescent="0.25">
      <c r="A744">
        <v>1178</v>
      </c>
      <c r="B744">
        <v>47</v>
      </c>
      <c r="C744" t="s">
        <v>16</v>
      </c>
      <c r="D744" t="s">
        <v>17</v>
      </c>
      <c r="E744" t="s">
        <v>18</v>
      </c>
      <c r="F744" t="s">
        <v>38</v>
      </c>
      <c r="G744" t="s">
        <v>33</v>
      </c>
      <c r="H744" t="s">
        <v>30</v>
      </c>
      <c r="I744">
        <v>7</v>
      </c>
      <c r="J744">
        <v>12976</v>
      </c>
      <c r="K744" t="s">
        <v>22</v>
      </c>
      <c r="L744">
        <v>4</v>
      </c>
      <c r="M744">
        <v>1</v>
      </c>
      <c r="N744">
        <v>6</v>
      </c>
      <c r="O744">
        <v>3</v>
      </c>
      <c r="P744">
        <v>16</v>
      </c>
      <c r="Q744" t="s">
        <v>22</v>
      </c>
    </row>
    <row r="745" spans="1:17" x14ac:dyDescent="0.25">
      <c r="A745">
        <v>1533</v>
      </c>
      <c r="B745">
        <v>45</v>
      </c>
      <c r="C745" t="s">
        <v>113</v>
      </c>
      <c r="D745" t="s">
        <v>27</v>
      </c>
      <c r="E745" t="s">
        <v>44</v>
      </c>
      <c r="F745" t="s">
        <v>41</v>
      </c>
      <c r="G745" t="s">
        <v>20</v>
      </c>
      <c r="H745" t="s">
        <v>34</v>
      </c>
      <c r="I745">
        <v>28</v>
      </c>
      <c r="J745">
        <v>8117</v>
      </c>
      <c r="K745" t="s">
        <v>22</v>
      </c>
      <c r="L745">
        <v>4</v>
      </c>
      <c r="M745">
        <v>2</v>
      </c>
      <c r="N745">
        <v>0</v>
      </c>
      <c r="O745">
        <v>0</v>
      </c>
      <c r="P745">
        <v>16</v>
      </c>
      <c r="Q745" t="s">
        <v>22</v>
      </c>
    </row>
    <row r="746" spans="1:17" x14ac:dyDescent="0.25">
      <c r="A746">
        <v>1596</v>
      </c>
      <c r="B746">
        <v>32</v>
      </c>
      <c r="C746" t="s">
        <v>16</v>
      </c>
      <c r="D746" t="s">
        <v>47</v>
      </c>
      <c r="E746" t="s">
        <v>48</v>
      </c>
      <c r="F746" t="s">
        <v>32</v>
      </c>
      <c r="G746" t="s">
        <v>20</v>
      </c>
      <c r="H746" t="s">
        <v>34</v>
      </c>
      <c r="I746">
        <v>14</v>
      </c>
      <c r="J746">
        <v>4018</v>
      </c>
      <c r="K746" t="s">
        <v>22</v>
      </c>
      <c r="L746">
        <v>3</v>
      </c>
      <c r="M746">
        <v>1</v>
      </c>
      <c r="N746">
        <v>5</v>
      </c>
      <c r="O746">
        <v>4</v>
      </c>
      <c r="P746">
        <v>9</v>
      </c>
      <c r="Q746" t="s">
        <v>22</v>
      </c>
    </row>
    <row r="747" spans="1:17" x14ac:dyDescent="0.25">
      <c r="A747">
        <v>1474</v>
      </c>
      <c r="B747">
        <v>60</v>
      </c>
      <c r="C747" t="s">
        <v>16</v>
      </c>
      <c r="D747" t="s">
        <v>24</v>
      </c>
      <c r="E747" t="s">
        <v>46</v>
      </c>
      <c r="F747" t="s">
        <v>32</v>
      </c>
      <c r="G747" t="s">
        <v>20</v>
      </c>
      <c r="H747" t="s">
        <v>21</v>
      </c>
      <c r="I747">
        <v>5</v>
      </c>
      <c r="J747">
        <v>13642</v>
      </c>
      <c r="K747" t="s">
        <v>42</v>
      </c>
      <c r="L747">
        <v>2</v>
      </c>
      <c r="M747">
        <v>4</v>
      </c>
      <c r="N747">
        <v>9</v>
      </c>
      <c r="O747">
        <v>2</v>
      </c>
      <c r="P747">
        <v>37</v>
      </c>
      <c r="Q747" t="s">
        <v>42</v>
      </c>
    </row>
    <row r="748" spans="1:17" x14ac:dyDescent="0.25">
      <c r="A748">
        <v>1210</v>
      </c>
      <c r="B748">
        <v>48</v>
      </c>
      <c r="C748" t="s">
        <v>23</v>
      </c>
      <c r="D748" t="s">
        <v>47</v>
      </c>
      <c r="E748" t="s">
        <v>48</v>
      </c>
      <c r="F748" t="s">
        <v>36</v>
      </c>
      <c r="G748" t="s">
        <v>37</v>
      </c>
      <c r="H748" t="s">
        <v>34</v>
      </c>
      <c r="I748">
        <v>28</v>
      </c>
      <c r="J748">
        <v>10885</v>
      </c>
      <c r="K748" t="s">
        <v>42</v>
      </c>
      <c r="L748">
        <v>3</v>
      </c>
      <c r="M748">
        <v>1</v>
      </c>
      <c r="N748">
        <v>3</v>
      </c>
      <c r="O748">
        <v>0</v>
      </c>
      <c r="P748">
        <v>22</v>
      </c>
      <c r="Q748" t="s">
        <v>22</v>
      </c>
    </row>
    <row r="749" spans="1:17" x14ac:dyDescent="0.25">
      <c r="A749">
        <v>1867</v>
      </c>
      <c r="B749">
        <v>59</v>
      </c>
      <c r="C749" t="s">
        <v>23</v>
      </c>
      <c r="D749" t="s">
        <v>27</v>
      </c>
      <c r="E749" t="s">
        <v>43</v>
      </c>
      <c r="F749" t="s">
        <v>36</v>
      </c>
      <c r="G749" t="s">
        <v>37</v>
      </c>
      <c r="H749" t="s">
        <v>21</v>
      </c>
      <c r="I749">
        <v>24</v>
      </c>
      <c r="J749">
        <v>10548</v>
      </c>
      <c r="K749" t="s">
        <v>22</v>
      </c>
      <c r="L749">
        <v>2</v>
      </c>
      <c r="M749">
        <v>3</v>
      </c>
      <c r="N749">
        <v>3</v>
      </c>
      <c r="O749">
        <v>0</v>
      </c>
      <c r="P749">
        <v>25</v>
      </c>
      <c r="Q749" t="s">
        <v>22</v>
      </c>
    </row>
    <row r="750" spans="1:17" x14ac:dyDescent="0.25">
      <c r="A750">
        <v>1903</v>
      </c>
      <c r="B750">
        <v>47</v>
      </c>
      <c r="C750" t="s">
        <v>23</v>
      </c>
      <c r="D750" t="s">
        <v>47</v>
      </c>
      <c r="E750" t="s">
        <v>53</v>
      </c>
      <c r="F750" t="s">
        <v>38</v>
      </c>
      <c r="G750" t="s">
        <v>20</v>
      </c>
      <c r="H750" t="s">
        <v>21</v>
      </c>
      <c r="I750">
        <v>14</v>
      </c>
      <c r="J750">
        <v>13081</v>
      </c>
      <c r="K750" t="s">
        <v>22</v>
      </c>
      <c r="L750">
        <v>3</v>
      </c>
      <c r="M750">
        <v>1</v>
      </c>
      <c r="N750">
        <v>18</v>
      </c>
      <c r="O750">
        <v>5</v>
      </c>
      <c r="P750">
        <v>22</v>
      </c>
      <c r="Q750" t="s">
        <v>95</v>
      </c>
    </row>
    <row r="751" spans="1:17" x14ac:dyDescent="0.25">
      <c r="A751">
        <v>1556</v>
      </c>
      <c r="B751">
        <v>49</v>
      </c>
      <c r="C751" t="s">
        <v>23</v>
      </c>
      <c r="D751" t="s">
        <v>24</v>
      </c>
      <c r="E751" t="s">
        <v>46</v>
      </c>
      <c r="F751" t="s">
        <v>38</v>
      </c>
      <c r="G751" t="s">
        <v>20</v>
      </c>
      <c r="H751" t="s">
        <v>30</v>
      </c>
      <c r="I751">
        <v>7</v>
      </c>
      <c r="J751">
        <v>8659</v>
      </c>
      <c r="K751" t="s">
        <v>22</v>
      </c>
      <c r="L751">
        <v>2</v>
      </c>
      <c r="M751">
        <v>2</v>
      </c>
      <c r="N751">
        <v>15</v>
      </c>
      <c r="O751">
        <v>7</v>
      </c>
      <c r="P751">
        <v>29</v>
      </c>
      <c r="Q751" t="s">
        <v>22</v>
      </c>
    </row>
    <row r="752" spans="1:17" x14ac:dyDescent="0.25">
      <c r="A752">
        <v>1730</v>
      </c>
      <c r="B752">
        <v>29</v>
      </c>
      <c r="C752" t="s">
        <v>23</v>
      </c>
      <c r="D752" t="s">
        <v>47</v>
      </c>
      <c r="E752" t="s">
        <v>53</v>
      </c>
      <c r="F752" t="s">
        <v>19</v>
      </c>
      <c r="G752" t="s">
        <v>33</v>
      </c>
      <c r="H752" t="s">
        <v>30</v>
      </c>
      <c r="I752">
        <v>2</v>
      </c>
      <c r="J752">
        <v>10385</v>
      </c>
      <c r="K752" t="s">
        <v>22</v>
      </c>
      <c r="L752">
        <v>4</v>
      </c>
      <c r="M752">
        <v>1</v>
      </c>
      <c r="N752">
        <v>2</v>
      </c>
      <c r="O752">
        <v>2</v>
      </c>
      <c r="P752">
        <v>9</v>
      </c>
      <c r="Q752" t="s">
        <v>22</v>
      </c>
    </row>
    <row r="753" spans="1:17" x14ac:dyDescent="0.25">
      <c r="A753">
        <v>1876</v>
      </c>
      <c r="B753">
        <v>28</v>
      </c>
      <c r="C753" t="s">
        <v>16</v>
      </c>
      <c r="D753" t="s">
        <v>24</v>
      </c>
      <c r="E753" t="s">
        <v>46</v>
      </c>
      <c r="F753" t="s">
        <v>41</v>
      </c>
      <c r="G753" t="s">
        <v>20</v>
      </c>
      <c r="H753" t="s">
        <v>34</v>
      </c>
      <c r="I753">
        <v>7</v>
      </c>
      <c r="J753">
        <v>4732</v>
      </c>
      <c r="K753" t="s">
        <v>22</v>
      </c>
      <c r="L753">
        <v>3</v>
      </c>
      <c r="M753">
        <v>2</v>
      </c>
      <c r="N753">
        <v>0</v>
      </c>
      <c r="O753">
        <v>0</v>
      </c>
      <c r="P753">
        <v>0</v>
      </c>
      <c r="Q753" t="s">
        <v>22</v>
      </c>
    </row>
    <row r="754" spans="1:17" x14ac:dyDescent="0.25">
      <c r="A754">
        <v>1703</v>
      </c>
      <c r="B754">
        <v>51</v>
      </c>
      <c r="C754" t="s">
        <v>23</v>
      </c>
      <c r="D754" t="s">
        <v>55</v>
      </c>
      <c r="E754" t="s">
        <v>49</v>
      </c>
      <c r="F754" t="s">
        <v>26</v>
      </c>
      <c r="G754" t="s">
        <v>37</v>
      </c>
      <c r="H754" t="s">
        <v>21</v>
      </c>
      <c r="I754">
        <v>4</v>
      </c>
      <c r="J754" t="s">
        <v>147</v>
      </c>
      <c r="K754" t="s">
        <v>22</v>
      </c>
      <c r="L754">
        <v>2</v>
      </c>
      <c r="M754">
        <v>3</v>
      </c>
      <c r="N754">
        <v>6</v>
      </c>
      <c r="O754">
        <v>2</v>
      </c>
      <c r="P754">
        <v>15</v>
      </c>
      <c r="Q754" t="s">
        <v>22</v>
      </c>
    </row>
    <row r="755" spans="1:17" x14ac:dyDescent="0.25">
      <c r="A755">
        <v>1704</v>
      </c>
      <c r="B755">
        <v>51</v>
      </c>
      <c r="C755" t="s">
        <v>16</v>
      </c>
      <c r="D755" t="s">
        <v>17</v>
      </c>
      <c r="E755" t="s">
        <v>40</v>
      </c>
      <c r="F755" t="s">
        <v>38</v>
      </c>
      <c r="G755" t="s">
        <v>33</v>
      </c>
      <c r="H755" t="s">
        <v>21</v>
      </c>
      <c r="I755">
        <v>19</v>
      </c>
      <c r="J755">
        <v>9777</v>
      </c>
      <c r="K755" t="s">
        <v>22</v>
      </c>
      <c r="L755">
        <v>1</v>
      </c>
      <c r="M755">
        <v>4</v>
      </c>
      <c r="N755">
        <v>19</v>
      </c>
      <c r="O755">
        <v>8</v>
      </c>
      <c r="P755">
        <v>22</v>
      </c>
      <c r="Q755" t="s">
        <v>22</v>
      </c>
    </row>
    <row r="756" spans="1:17" x14ac:dyDescent="0.25">
      <c r="A756">
        <v>1195</v>
      </c>
      <c r="B756">
        <v>25</v>
      </c>
      <c r="C756" t="s">
        <v>16</v>
      </c>
      <c r="D756" t="s">
        <v>17</v>
      </c>
      <c r="E756" t="s">
        <v>18</v>
      </c>
      <c r="F756" t="s">
        <v>26</v>
      </c>
      <c r="G756" t="s">
        <v>33</v>
      </c>
      <c r="H756" t="s">
        <v>21</v>
      </c>
      <c r="I756">
        <v>10</v>
      </c>
      <c r="J756">
        <v>10777</v>
      </c>
      <c r="K756" t="s">
        <v>22</v>
      </c>
      <c r="L756">
        <v>2</v>
      </c>
      <c r="M756">
        <v>2</v>
      </c>
      <c r="N756">
        <v>1</v>
      </c>
      <c r="O756">
        <v>0</v>
      </c>
      <c r="P756">
        <v>1</v>
      </c>
      <c r="Q756" t="s">
        <v>22</v>
      </c>
    </row>
    <row r="757" spans="1:17" x14ac:dyDescent="0.25">
      <c r="A757">
        <v>1303</v>
      </c>
      <c r="B757">
        <v>27</v>
      </c>
      <c r="C757" t="s">
        <v>23</v>
      </c>
      <c r="D757" t="s">
        <v>17</v>
      </c>
      <c r="E757" t="s">
        <v>18</v>
      </c>
      <c r="F757" t="s">
        <v>38</v>
      </c>
      <c r="G757" t="s">
        <v>37</v>
      </c>
      <c r="H757" t="s">
        <v>30</v>
      </c>
      <c r="I757">
        <v>26</v>
      </c>
      <c r="J757">
        <v>7537</v>
      </c>
      <c r="K757" t="s">
        <v>22</v>
      </c>
      <c r="L757">
        <v>2</v>
      </c>
      <c r="M757">
        <v>4</v>
      </c>
      <c r="N757">
        <v>2</v>
      </c>
      <c r="O757">
        <v>0</v>
      </c>
      <c r="P757">
        <v>2</v>
      </c>
      <c r="Q757" t="s">
        <v>22</v>
      </c>
    </row>
    <row r="758" spans="1:17" x14ac:dyDescent="0.25">
      <c r="A758">
        <v>1807</v>
      </c>
      <c r="B758">
        <v>40</v>
      </c>
      <c r="C758" t="s">
        <v>16</v>
      </c>
      <c r="D758" t="s">
        <v>24</v>
      </c>
      <c r="E758" t="s">
        <v>45</v>
      </c>
      <c r="F758" t="s">
        <v>29</v>
      </c>
      <c r="G758" t="s">
        <v>33</v>
      </c>
      <c r="H758" t="s">
        <v>30</v>
      </c>
      <c r="I758">
        <v>27</v>
      </c>
      <c r="J758">
        <v>10177</v>
      </c>
      <c r="K758" t="s">
        <v>22</v>
      </c>
      <c r="L758">
        <v>4</v>
      </c>
      <c r="M758">
        <v>4</v>
      </c>
      <c r="N758">
        <v>3</v>
      </c>
      <c r="O758">
        <v>3</v>
      </c>
      <c r="P758">
        <v>13</v>
      </c>
      <c r="Q758" t="s">
        <v>22</v>
      </c>
    </row>
    <row r="759" spans="1:17" x14ac:dyDescent="0.25">
      <c r="A759">
        <v>1143</v>
      </c>
      <c r="B759">
        <v>24</v>
      </c>
      <c r="C759" t="s">
        <v>23</v>
      </c>
      <c r="D759" t="s">
        <v>24</v>
      </c>
      <c r="E759" t="s">
        <v>25</v>
      </c>
      <c r="F759" t="s">
        <v>38</v>
      </c>
      <c r="G759" t="s">
        <v>33</v>
      </c>
      <c r="H759" t="s">
        <v>30</v>
      </c>
      <c r="I759">
        <v>17</v>
      </c>
      <c r="J759">
        <v>9120</v>
      </c>
      <c r="K759" t="s">
        <v>22</v>
      </c>
      <c r="L759">
        <v>2</v>
      </c>
      <c r="M759">
        <v>2</v>
      </c>
      <c r="N759">
        <v>2</v>
      </c>
      <c r="O759">
        <v>2</v>
      </c>
      <c r="P759">
        <v>2</v>
      </c>
      <c r="Q759" t="s">
        <v>22</v>
      </c>
    </row>
    <row r="760" spans="1:17" x14ac:dyDescent="0.25">
      <c r="A760">
        <v>1628</v>
      </c>
      <c r="B760">
        <v>24</v>
      </c>
      <c r="C760" t="s">
        <v>16</v>
      </c>
      <c r="D760" t="s">
        <v>47</v>
      </c>
      <c r="E760" t="s">
        <v>48</v>
      </c>
      <c r="F760" t="s">
        <v>26</v>
      </c>
      <c r="G760" t="s">
        <v>20</v>
      </c>
      <c r="H760" t="s">
        <v>34</v>
      </c>
      <c r="I760">
        <v>12</v>
      </c>
      <c r="J760">
        <v>7610</v>
      </c>
      <c r="K760" t="s">
        <v>22</v>
      </c>
      <c r="L760">
        <v>1</v>
      </c>
      <c r="M760">
        <v>3</v>
      </c>
      <c r="N760">
        <v>0</v>
      </c>
      <c r="O760">
        <v>0</v>
      </c>
      <c r="P760">
        <v>0</v>
      </c>
      <c r="Q760" t="s">
        <v>22</v>
      </c>
    </row>
    <row r="761" spans="1:17" x14ac:dyDescent="0.25">
      <c r="A761">
        <v>1193</v>
      </c>
      <c r="B761">
        <v>28</v>
      </c>
      <c r="C761" t="s">
        <v>23</v>
      </c>
      <c r="D761" t="s">
        <v>24</v>
      </c>
      <c r="E761" t="s">
        <v>25</v>
      </c>
      <c r="F761" t="s">
        <v>32</v>
      </c>
      <c r="G761" t="s">
        <v>20</v>
      </c>
      <c r="H761" t="s">
        <v>21</v>
      </c>
      <c r="I761">
        <v>1</v>
      </c>
      <c r="J761">
        <v>10823</v>
      </c>
      <c r="K761" t="s">
        <v>22</v>
      </c>
      <c r="L761">
        <v>2</v>
      </c>
      <c r="M761">
        <v>1</v>
      </c>
      <c r="N761">
        <v>0</v>
      </c>
      <c r="O761">
        <v>0</v>
      </c>
      <c r="P761">
        <v>0</v>
      </c>
      <c r="Q761" t="s">
        <v>22</v>
      </c>
    </row>
    <row r="762" spans="1:17" x14ac:dyDescent="0.25">
      <c r="A762">
        <v>1675</v>
      </c>
      <c r="B762">
        <v>45</v>
      </c>
      <c r="C762" t="s">
        <v>16</v>
      </c>
      <c r="D762" t="s">
        <v>24</v>
      </c>
      <c r="E762" t="s">
        <v>25</v>
      </c>
      <c r="F762" t="s">
        <v>29</v>
      </c>
      <c r="G762" t="s">
        <v>33</v>
      </c>
      <c r="H762" t="s">
        <v>21</v>
      </c>
      <c r="I762">
        <v>26</v>
      </c>
      <c r="J762">
        <v>8604</v>
      </c>
      <c r="K762" t="s">
        <v>42</v>
      </c>
      <c r="L762">
        <v>1</v>
      </c>
      <c r="M762">
        <v>2</v>
      </c>
      <c r="N762">
        <v>3</v>
      </c>
      <c r="O762">
        <v>2</v>
      </c>
      <c r="P762">
        <v>18</v>
      </c>
      <c r="Q762" t="s">
        <v>22</v>
      </c>
    </row>
    <row r="763" spans="1:17" x14ac:dyDescent="0.25">
      <c r="A763">
        <v>1686</v>
      </c>
      <c r="B763">
        <v>30</v>
      </c>
      <c r="C763" t="s">
        <v>23</v>
      </c>
      <c r="D763" t="s">
        <v>24</v>
      </c>
      <c r="E763" t="s">
        <v>25</v>
      </c>
      <c r="F763" t="s">
        <v>36</v>
      </c>
      <c r="G763" t="s">
        <v>37</v>
      </c>
      <c r="H763" t="s">
        <v>30</v>
      </c>
      <c r="I763">
        <v>19</v>
      </c>
      <c r="J763">
        <v>13887</v>
      </c>
      <c r="K763" t="s">
        <v>22</v>
      </c>
      <c r="L763">
        <v>4</v>
      </c>
      <c r="M763">
        <v>3</v>
      </c>
      <c r="N763">
        <v>7</v>
      </c>
      <c r="O763">
        <v>7</v>
      </c>
      <c r="P763">
        <v>9</v>
      </c>
      <c r="Q763" t="s">
        <v>22</v>
      </c>
    </row>
    <row r="764" spans="1:17" x14ac:dyDescent="0.25">
      <c r="A764">
        <v>1435</v>
      </c>
      <c r="B764">
        <v>38</v>
      </c>
      <c r="C764" t="s">
        <v>16</v>
      </c>
      <c r="D764" t="s">
        <v>96</v>
      </c>
      <c r="E764" t="s">
        <v>46</v>
      </c>
      <c r="F764" t="s">
        <v>29</v>
      </c>
      <c r="G764" t="s">
        <v>37</v>
      </c>
      <c r="H764" t="s">
        <v>30</v>
      </c>
      <c r="I764">
        <v>26</v>
      </c>
      <c r="J764">
        <v>8394</v>
      </c>
      <c r="K764" t="s">
        <v>22</v>
      </c>
      <c r="L764">
        <v>4</v>
      </c>
      <c r="M764">
        <v>3</v>
      </c>
      <c r="N764">
        <v>12</v>
      </c>
      <c r="O764">
        <v>3</v>
      </c>
      <c r="P764">
        <v>14</v>
      </c>
      <c r="Q764" t="s">
        <v>22</v>
      </c>
    </row>
    <row r="765" spans="1:17" x14ac:dyDescent="0.25">
      <c r="A765">
        <v>1613</v>
      </c>
      <c r="B765">
        <v>40</v>
      </c>
      <c r="C765" t="s">
        <v>16</v>
      </c>
      <c r="D765" t="s">
        <v>24</v>
      </c>
      <c r="E765" t="s">
        <v>45</v>
      </c>
      <c r="F765" t="s">
        <v>26</v>
      </c>
      <c r="G765" t="s">
        <v>37</v>
      </c>
      <c r="H765" t="s">
        <v>34</v>
      </c>
      <c r="I765">
        <v>22</v>
      </c>
      <c r="J765">
        <v>11843</v>
      </c>
      <c r="K765" t="s">
        <v>42</v>
      </c>
      <c r="L765">
        <v>2</v>
      </c>
      <c r="M765">
        <v>3</v>
      </c>
      <c r="N765">
        <v>7</v>
      </c>
      <c r="O765">
        <v>7</v>
      </c>
      <c r="P765">
        <v>20</v>
      </c>
      <c r="Q765" t="s">
        <v>22</v>
      </c>
    </row>
    <row r="766" spans="1:17" x14ac:dyDescent="0.25">
      <c r="A766">
        <v>1271</v>
      </c>
      <c r="B766">
        <v>23</v>
      </c>
      <c r="C766" t="s">
        <v>23</v>
      </c>
      <c r="D766" t="s">
        <v>27</v>
      </c>
      <c r="E766" t="s">
        <v>43</v>
      </c>
      <c r="F766" t="s">
        <v>29</v>
      </c>
      <c r="G766" t="s">
        <v>33</v>
      </c>
      <c r="H766" t="s">
        <v>30</v>
      </c>
      <c r="I766">
        <v>28</v>
      </c>
      <c r="J766">
        <v>5009</v>
      </c>
      <c r="K766" t="s">
        <v>42</v>
      </c>
      <c r="L766">
        <v>3</v>
      </c>
      <c r="M766">
        <v>4</v>
      </c>
      <c r="N766">
        <v>0</v>
      </c>
      <c r="O766">
        <v>0</v>
      </c>
      <c r="P766">
        <v>0</v>
      </c>
      <c r="Q766" t="s">
        <v>22</v>
      </c>
    </row>
    <row r="767" spans="1:17" x14ac:dyDescent="0.25">
      <c r="A767">
        <v>1989</v>
      </c>
      <c r="B767">
        <v>54</v>
      </c>
      <c r="C767" t="s">
        <v>105</v>
      </c>
      <c r="D767" t="s">
        <v>27</v>
      </c>
      <c r="E767" t="s">
        <v>28</v>
      </c>
      <c r="F767" t="s">
        <v>26</v>
      </c>
      <c r="G767" t="s">
        <v>37</v>
      </c>
      <c r="H767" t="s">
        <v>30</v>
      </c>
      <c r="I767">
        <v>21</v>
      </c>
      <c r="J767">
        <v>14974</v>
      </c>
      <c r="K767" t="s">
        <v>22</v>
      </c>
      <c r="L767">
        <v>2</v>
      </c>
      <c r="M767">
        <v>3</v>
      </c>
      <c r="N767">
        <v>2</v>
      </c>
      <c r="O767">
        <v>2</v>
      </c>
      <c r="P767">
        <v>19</v>
      </c>
      <c r="Q767" t="s">
        <v>95</v>
      </c>
    </row>
    <row r="768" spans="1:17" x14ac:dyDescent="0.25">
      <c r="A768">
        <v>1422</v>
      </c>
      <c r="B768">
        <v>31</v>
      </c>
      <c r="C768" t="s">
        <v>23</v>
      </c>
      <c r="D768" t="s">
        <v>17</v>
      </c>
      <c r="E768" t="s">
        <v>18</v>
      </c>
      <c r="F768" t="s">
        <v>19</v>
      </c>
      <c r="G768" t="s">
        <v>33</v>
      </c>
      <c r="H768" t="s">
        <v>34</v>
      </c>
      <c r="I768">
        <v>24</v>
      </c>
      <c r="J768">
        <v>10244</v>
      </c>
      <c r="K768" t="s">
        <v>22</v>
      </c>
      <c r="L768">
        <v>4</v>
      </c>
      <c r="M768">
        <v>3</v>
      </c>
      <c r="N768">
        <v>1</v>
      </c>
      <c r="O768">
        <v>0</v>
      </c>
      <c r="P768">
        <v>7</v>
      </c>
      <c r="Q768" t="s">
        <v>22</v>
      </c>
    </row>
    <row r="769" spans="1:17" x14ac:dyDescent="0.25">
      <c r="A769">
        <v>1693</v>
      </c>
      <c r="B769">
        <v>46</v>
      </c>
      <c r="C769" t="s">
        <v>16</v>
      </c>
      <c r="D769" t="s">
        <v>47</v>
      </c>
      <c r="E769" t="s">
        <v>50</v>
      </c>
      <c r="F769" t="s">
        <v>38</v>
      </c>
      <c r="G769" t="s">
        <v>20</v>
      </c>
      <c r="H769" t="s">
        <v>21</v>
      </c>
      <c r="I769">
        <v>17</v>
      </c>
      <c r="J769">
        <v>9479</v>
      </c>
      <c r="K769" t="s">
        <v>22</v>
      </c>
      <c r="L769">
        <v>1</v>
      </c>
      <c r="M769">
        <v>3</v>
      </c>
      <c r="N769">
        <v>25</v>
      </c>
      <c r="O769">
        <v>23</v>
      </c>
      <c r="P769">
        <v>26</v>
      </c>
      <c r="Q769" t="s">
        <v>22</v>
      </c>
    </row>
    <row r="770" spans="1:17" x14ac:dyDescent="0.25">
      <c r="A770">
        <v>1531</v>
      </c>
      <c r="B770">
        <v>30</v>
      </c>
      <c r="C770" t="s">
        <v>23</v>
      </c>
      <c r="D770" t="s">
        <v>17</v>
      </c>
      <c r="E770" t="s">
        <v>40</v>
      </c>
      <c r="F770" t="s">
        <v>36</v>
      </c>
      <c r="G770" t="s">
        <v>37</v>
      </c>
      <c r="H770" t="s">
        <v>30</v>
      </c>
      <c r="I770">
        <v>18</v>
      </c>
      <c r="J770">
        <v>4161</v>
      </c>
      <c r="K770" t="s">
        <v>22</v>
      </c>
      <c r="L770">
        <v>1</v>
      </c>
      <c r="M770">
        <v>2</v>
      </c>
      <c r="N770">
        <v>2</v>
      </c>
      <c r="O770">
        <v>2</v>
      </c>
      <c r="P770">
        <v>4</v>
      </c>
      <c r="Q770" t="s">
        <v>22</v>
      </c>
    </row>
    <row r="771" spans="1:17" x14ac:dyDescent="0.25">
      <c r="A771">
        <v>1344</v>
      </c>
      <c r="B771">
        <v>20</v>
      </c>
      <c r="C771" t="s">
        <v>16</v>
      </c>
      <c r="D771" t="s">
        <v>17</v>
      </c>
      <c r="E771" t="s">
        <v>35</v>
      </c>
      <c r="F771" t="s">
        <v>29</v>
      </c>
      <c r="G771" t="s">
        <v>33</v>
      </c>
      <c r="H771" t="s">
        <v>34</v>
      </c>
      <c r="I771">
        <v>17</v>
      </c>
      <c r="J771">
        <v>6142</v>
      </c>
      <c r="K771" t="s">
        <v>22</v>
      </c>
      <c r="L771">
        <v>1</v>
      </c>
      <c r="M771">
        <v>3</v>
      </c>
      <c r="N771">
        <v>0</v>
      </c>
      <c r="O771">
        <v>0</v>
      </c>
      <c r="P771">
        <v>0</v>
      </c>
      <c r="Q771" t="s">
        <v>95</v>
      </c>
    </row>
    <row r="772" spans="1:17" x14ac:dyDescent="0.25">
      <c r="A772">
        <v>1197</v>
      </c>
      <c r="B772">
        <v>24</v>
      </c>
      <c r="C772" t="s">
        <v>23</v>
      </c>
      <c r="D772" t="s">
        <v>17</v>
      </c>
      <c r="E772" t="s">
        <v>35</v>
      </c>
      <c r="F772" t="s">
        <v>26</v>
      </c>
      <c r="G772" t="s">
        <v>20</v>
      </c>
      <c r="H772" t="s">
        <v>21</v>
      </c>
      <c r="I772">
        <v>21</v>
      </c>
      <c r="J772">
        <v>5434</v>
      </c>
      <c r="K772" t="s">
        <v>22</v>
      </c>
      <c r="L772">
        <v>1</v>
      </c>
      <c r="M772">
        <v>4</v>
      </c>
      <c r="N772">
        <v>1</v>
      </c>
      <c r="O772">
        <v>0</v>
      </c>
      <c r="P772">
        <v>1</v>
      </c>
      <c r="Q772" t="s">
        <v>22</v>
      </c>
    </row>
    <row r="773" spans="1:17" x14ac:dyDescent="0.25">
      <c r="A773">
        <v>1314</v>
      </c>
      <c r="B773">
        <v>20</v>
      </c>
      <c r="C773" t="s">
        <v>23</v>
      </c>
      <c r="D773" t="s">
        <v>24</v>
      </c>
      <c r="E773" t="s">
        <v>25</v>
      </c>
      <c r="F773" t="s">
        <v>19</v>
      </c>
      <c r="G773" t="s">
        <v>33</v>
      </c>
      <c r="H773" t="s">
        <v>21</v>
      </c>
      <c r="I773">
        <v>9</v>
      </c>
      <c r="J773">
        <v>9171</v>
      </c>
      <c r="K773" t="s">
        <v>22</v>
      </c>
      <c r="L773">
        <v>3</v>
      </c>
      <c r="M773">
        <v>3</v>
      </c>
      <c r="N773">
        <v>0</v>
      </c>
      <c r="O773">
        <v>0</v>
      </c>
      <c r="P773">
        <v>0</v>
      </c>
      <c r="Q773" t="s">
        <v>42</v>
      </c>
    </row>
    <row r="774" spans="1:17" x14ac:dyDescent="0.25">
      <c r="A774">
        <v>1357</v>
      </c>
      <c r="B774">
        <v>44</v>
      </c>
      <c r="C774" t="s">
        <v>23</v>
      </c>
      <c r="D774" t="s">
        <v>17</v>
      </c>
      <c r="E774" t="s">
        <v>18</v>
      </c>
      <c r="F774" t="s">
        <v>29</v>
      </c>
      <c r="G774" t="s">
        <v>20</v>
      </c>
      <c r="H774" t="s">
        <v>21</v>
      </c>
      <c r="I774">
        <v>14</v>
      </c>
      <c r="J774">
        <v>10586</v>
      </c>
      <c r="K774" t="s">
        <v>22</v>
      </c>
      <c r="L774">
        <v>4</v>
      </c>
      <c r="M774">
        <v>2</v>
      </c>
      <c r="N774">
        <v>10</v>
      </c>
      <c r="O774">
        <v>10</v>
      </c>
      <c r="P774">
        <v>12</v>
      </c>
      <c r="Q774" t="s">
        <v>22</v>
      </c>
    </row>
    <row r="775" spans="1:17" x14ac:dyDescent="0.25">
      <c r="A775">
        <v>1196</v>
      </c>
      <c r="B775">
        <v>51</v>
      </c>
      <c r="C775" t="s">
        <v>16</v>
      </c>
      <c r="D775" t="s">
        <v>24</v>
      </c>
      <c r="E775" t="s">
        <v>52</v>
      </c>
      <c r="F775" t="s">
        <v>19</v>
      </c>
      <c r="G775" t="s">
        <v>37</v>
      </c>
      <c r="H775" t="s">
        <v>30</v>
      </c>
      <c r="I775">
        <v>27</v>
      </c>
      <c r="J775">
        <v>9690</v>
      </c>
      <c r="K775" t="s">
        <v>22</v>
      </c>
      <c r="L775">
        <v>3</v>
      </c>
      <c r="M775">
        <v>2</v>
      </c>
      <c r="N775">
        <v>0</v>
      </c>
      <c r="O775">
        <v>0</v>
      </c>
      <c r="P775">
        <v>25</v>
      </c>
      <c r="Q775" t="s">
        <v>22</v>
      </c>
    </row>
    <row r="776" spans="1:17" x14ac:dyDescent="0.25">
      <c r="A776">
        <v>1884</v>
      </c>
      <c r="B776">
        <v>58</v>
      </c>
      <c r="C776" t="s">
        <v>16</v>
      </c>
      <c r="D776" t="s">
        <v>17</v>
      </c>
      <c r="E776" t="s">
        <v>35</v>
      </c>
      <c r="F776" t="s">
        <v>41</v>
      </c>
      <c r="G776" t="s">
        <v>20</v>
      </c>
      <c r="H776" t="s">
        <v>21</v>
      </c>
      <c r="I776">
        <v>3</v>
      </c>
      <c r="J776">
        <v>10298</v>
      </c>
      <c r="K776" t="s">
        <v>22</v>
      </c>
      <c r="L776">
        <v>2</v>
      </c>
      <c r="M776">
        <v>1</v>
      </c>
      <c r="N776">
        <v>3</v>
      </c>
      <c r="O776">
        <v>0</v>
      </c>
      <c r="P776">
        <v>33</v>
      </c>
      <c r="Q776" t="s">
        <v>42</v>
      </c>
    </row>
    <row r="777" spans="1:17" x14ac:dyDescent="0.25">
      <c r="A777">
        <v>1246</v>
      </c>
      <c r="B777">
        <v>49</v>
      </c>
      <c r="C777" t="s">
        <v>107</v>
      </c>
      <c r="D777" t="s">
        <v>17</v>
      </c>
      <c r="E777" t="s">
        <v>35</v>
      </c>
      <c r="F777" t="s">
        <v>29</v>
      </c>
      <c r="G777" t="s">
        <v>20</v>
      </c>
      <c r="H777" t="s">
        <v>21</v>
      </c>
      <c r="I777">
        <v>28</v>
      </c>
      <c r="J777">
        <v>8969</v>
      </c>
      <c r="K777" t="s">
        <v>22</v>
      </c>
      <c r="L777">
        <v>4</v>
      </c>
      <c r="M777">
        <v>2</v>
      </c>
      <c r="N777">
        <v>20</v>
      </c>
      <c r="O777">
        <v>18</v>
      </c>
      <c r="P777">
        <v>28</v>
      </c>
      <c r="Q777" t="s">
        <v>22</v>
      </c>
    </row>
    <row r="778" spans="1:17" x14ac:dyDescent="0.25">
      <c r="A778">
        <v>1332</v>
      </c>
      <c r="B778">
        <v>39</v>
      </c>
      <c r="C778" t="s">
        <v>23</v>
      </c>
      <c r="D778" t="s">
        <v>17</v>
      </c>
      <c r="E778" t="s">
        <v>18</v>
      </c>
      <c r="F778" t="s">
        <v>36</v>
      </c>
      <c r="G778" t="s">
        <v>20</v>
      </c>
      <c r="H778" t="s">
        <v>34</v>
      </c>
      <c r="I778">
        <v>26</v>
      </c>
      <c r="J778">
        <v>14716</v>
      </c>
      <c r="K778" t="s">
        <v>42</v>
      </c>
      <c r="L778">
        <v>4</v>
      </c>
      <c r="M778">
        <v>3</v>
      </c>
      <c r="N778">
        <v>6</v>
      </c>
      <c r="O778">
        <v>0</v>
      </c>
      <c r="P778">
        <v>18</v>
      </c>
      <c r="Q778" t="s">
        <v>22</v>
      </c>
    </row>
    <row r="779" spans="1:17" x14ac:dyDescent="0.25">
      <c r="A779">
        <v>1321</v>
      </c>
      <c r="B779">
        <v>46</v>
      </c>
      <c r="C779" t="s">
        <v>16</v>
      </c>
      <c r="D779" t="s">
        <v>24</v>
      </c>
      <c r="E779" t="s">
        <v>45</v>
      </c>
      <c r="F779" t="s">
        <v>41</v>
      </c>
      <c r="G779" t="s">
        <v>37</v>
      </c>
      <c r="H779" t="s">
        <v>34</v>
      </c>
      <c r="I779">
        <v>4</v>
      </c>
      <c r="J779">
        <v>12664</v>
      </c>
      <c r="K779" t="s">
        <v>42</v>
      </c>
      <c r="L779">
        <v>1</v>
      </c>
      <c r="M779">
        <v>2</v>
      </c>
      <c r="N779">
        <v>4</v>
      </c>
      <c r="O779">
        <v>1</v>
      </c>
      <c r="P779">
        <v>26</v>
      </c>
      <c r="Q779" t="s">
        <v>42</v>
      </c>
    </row>
    <row r="780" spans="1:17" x14ac:dyDescent="0.25">
      <c r="A780">
        <v>1234</v>
      </c>
      <c r="B780">
        <v>36</v>
      </c>
      <c r="C780" t="s">
        <v>23</v>
      </c>
      <c r="D780" t="s">
        <v>47</v>
      </c>
      <c r="E780" t="s">
        <v>50</v>
      </c>
      <c r="F780" t="s">
        <v>41</v>
      </c>
      <c r="G780" t="s">
        <v>33</v>
      </c>
      <c r="H780" t="s">
        <v>21</v>
      </c>
      <c r="I780">
        <v>20</v>
      </c>
      <c r="J780">
        <v>8242</v>
      </c>
      <c r="K780" t="s">
        <v>42</v>
      </c>
      <c r="L780">
        <v>3</v>
      </c>
      <c r="M780">
        <v>4</v>
      </c>
      <c r="N780">
        <v>7</v>
      </c>
      <c r="O780">
        <v>0</v>
      </c>
      <c r="P780">
        <v>7</v>
      </c>
      <c r="Q780" t="s">
        <v>22</v>
      </c>
    </row>
    <row r="781" spans="1:17" x14ac:dyDescent="0.25">
      <c r="A781">
        <v>1886</v>
      </c>
      <c r="B781">
        <v>26</v>
      </c>
      <c r="C781" t="s">
        <v>23</v>
      </c>
      <c r="D781" t="s">
        <v>47</v>
      </c>
      <c r="E781" t="s">
        <v>53</v>
      </c>
      <c r="F781" t="s">
        <v>32</v>
      </c>
      <c r="G781" t="s">
        <v>37</v>
      </c>
      <c r="H781" t="s">
        <v>34</v>
      </c>
      <c r="I781">
        <v>26</v>
      </c>
      <c r="J781">
        <v>9723</v>
      </c>
      <c r="K781" t="s">
        <v>22</v>
      </c>
      <c r="L781">
        <v>2</v>
      </c>
      <c r="M781">
        <v>2</v>
      </c>
      <c r="N781">
        <v>0</v>
      </c>
      <c r="O781">
        <v>0</v>
      </c>
      <c r="P781">
        <v>0</v>
      </c>
      <c r="Q781" t="s">
        <v>22</v>
      </c>
    </row>
    <row r="782" spans="1:17" x14ac:dyDescent="0.25">
      <c r="A782">
        <v>1609</v>
      </c>
      <c r="B782">
        <v>25</v>
      </c>
      <c r="C782" t="s">
        <v>23</v>
      </c>
      <c r="D782" t="s">
        <v>17</v>
      </c>
      <c r="E782" t="s">
        <v>18</v>
      </c>
      <c r="F782" t="s">
        <v>38</v>
      </c>
      <c r="G782" t="s">
        <v>20</v>
      </c>
      <c r="H782" t="s">
        <v>30</v>
      </c>
      <c r="I782">
        <v>8</v>
      </c>
      <c r="J782">
        <v>12327</v>
      </c>
      <c r="K782" t="s">
        <v>22</v>
      </c>
      <c r="L782">
        <v>3</v>
      </c>
      <c r="M782">
        <v>4</v>
      </c>
      <c r="N782">
        <v>0</v>
      </c>
      <c r="O782">
        <v>0</v>
      </c>
      <c r="P782">
        <v>5</v>
      </c>
      <c r="Q782" t="s">
        <v>22</v>
      </c>
    </row>
    <row r="783" spans="1:17" x14ac:dyDescent="0.25">
      <c r="A783">
        <v>1296</v>
      </c>
      <c r="B783">
        <v>25</v>
      </c>
      <c r="C783" t="s">
        <v>23</v>
      </c>
      <c r="D783" t="s">
        <v>55</v>
      </c>
      <c r="E783" t="s">
        <v>49</v>
      </c>
      <c r="F783" t="s">
        <v>26</v>
      </c>
      <c r="G783" t="s">
        <v>33</v>
      </c>
      <c r="H783" t="s">
        <v>30</v>
      </c>
      <c r="I783">
        <v>26</v>
      </c>
      <c r="J783">
        <v>10530</v>
      </c>
      <c r="K783" t="s">
        <v>22</v>
      </c>
      <c r="L783">
        <v>2</v>
      </c>
      <c r="M783">
        <v>4</v>
      </c>
      <c r="N783">
        <v>1</v>
      </c>
      <c r="O783">
        <v>1</v>
      </c>
      <c r="P783">
        <v>2</v>
      </c>
      <c r="Q783" t="s">
        <v>22</v>
      </c>
    </row>
    <row r="784" spans="1:17" x14ac:dyDescent="0.25">
      <c r="A784">
        <v>1278</v>
      </c>
      <c r="B784">
        <v>51</v>
      </c>
      <c r="C784" t="s">
        <v>23</v>
      </c>
      <c r="D784" t="s">
        <v>24</v>
      </c>
      <c r="E784" t="s">
        <v>45</v>
      </c>
      <c r="F784" t="s">
        <v>36</v>
      </c>
      <c r="G784" t="s">
        <v>37</v>
      </c>
      <c r="H784" t="s">
        <v>34</v>
      </c>
      <c r="I784">
        <v>25</v>
      </c>
      <c r="J784">
        <v>11994</v>
      </c>
      <c r="K784" t="s">
        <v>22</v>
      </c>
      <c r="L784">
        <v>1</v>
      </c>
      <c r="M784">
        <v>2</v>
      </c>
      <c r="N784">
        <v>6</v>
      </c>
      <c r="O784">
        <v>2</v>
      </c>
      <c r="P784">
        <v>31</v>
      </c>
      <c r="Q784" t="s">
        <v>22</v>
      </c>
    </row>
    <row r="785" spans="1:17" x14ac:dyDescent="0.25">
      <c r="A785">
        <v>1275</v>
      </c>
      <c r="B785">
        <v>51</v>
      </c>
      <c r="C785" t="s">
        <v>16</v>
      </c>
      <c r="D785" t="s">
        <v>38</v>
      </c>
      <c r="E785" t="s">
        <v>49</v>
      </c>
      <c r="F785" t="s">
        <v>41</v>
      </c>
      <c r="G785" t="s">
        <v>37</v>
      </c>
      <c r="H785" t="s">
        <v>30</v>
      </c>
      <c r="I785">
        <v>26</v>
      </c>
      <c r="J785">
        <v>11625</v>
      </c>
      <c r="K785" t="s">
        <v>22</v>
      </c>
      <c r="L785">
        <v>2</v>
      </c>
      <c r="M785">
        <v>2</v>
      </c>
      <c r="N785">
        <v>2</v>
      </c>
      <c r="O785">
        <v>2</v>
      </c>
      <c r="P785">
        <v>28</v>
      </c>
      <c r="Q785" t="s">
        <v>22</v>
      </c>
    </row>
    <row r="786" spans="1:17" x14ac:dyDescent="0.25">
      <c r="A786">
        <v>1645</v>
      </c>
      <c r="B786">
        <v>60</v>
      </c>
      <c r="C786" t="s">
        <v>23</v>
      </c>
      <c r="D786" t="s">
        <v>24</v>
      </c>
      <c r="E786" t="s">
        <v>25</v>
      </c>
      <c r="F786" t="s">
        <v>19</v>
      </c>
      <c r="G786" t="s">
        <v>37</v>
      </c>
      <c r="H786" t="s">
        <v>21</v>
      </c>
      <c r="I786">
        <v>9</v>
      </c>
      <c r="J786">
        <v>15996</v>
      </c>
      <c r="K786" t="s">
        <v>22</v>
      </c>
      <c r="L786">
        <v>4</v>
      </c>
      <c r="M786">
        <v>1</v>
      </c>
      <c r="N786">
        <v>13</v>
      </c>
      <c r="O786">
        <v>7</v>
      </c>
      <c r="P786">
        <v>39</v>
      </c>
      <c r="Q786" t="s">
        <v>95</v>
      </c>
    </row>
    <row r="787" spans="1:17" x14ac:dyDescent="0.25">
      <c r="A787">
        <v>1258</v>
      </c>
      <c r="B787">
        <v>46</v>
      </c>
      <c r="C787" t="s">
        <v>23</v>
      </c>
      <c r="D787" t="s">
        <v>27</v>
      </c>
      <c r="E787" t="s">
        <v>28</v>
      </c>
      <c r="F787" t="s">
        <v>29</v>
      </c>
      <c r="G787" t="s">
        <v>37</v>
      </c>
      <c r="H787" t="s">
        <v>21</v>
      </c>
      <c r="I787">
        <v>19</v>
      </c>
      <c r="J787">
        <v>10468</v>
      </c>
      <c r="K787" t="s">
        <v>22</v>
      </c>
      <c r="L787">
        <v>2</v>
      </c>
      <c r="M787">
        <v>1</v>
      </c>
      <c r="N787">
        <v>3</v>
      </c>
      <c r="O787">
        <v>1</v>
      </c>
      <c r="P787">
        <v>16</v>
      </c>
      <c r="Q787" t="s">
        <v>95</v>
      </c>
    </row>
    <row r="788" spans="1:17" x14ac:dyDescent="0.25">
      <c r="A788">
        <v>1065</v>
      </c>
      <c r="B788">
        <v>56</v>
      </c>
      <c r="C788" t="s">
        <v>16</v>
      </c>
      <c r="D788" t="s">
        <v>17</v>
      </c>
      <c r="E788" t="s">
        <v>35</v>
      </c>
      <c r="F788" t="s">
        <v>38</v>
      </c>
      <c r="G788" t="s">
        <v>20</v>
      </c>
      <c r="H788" t="s">
        <v>21</v>
      </c>
      <c r="I788">
        <v>5</v>
      </c>
      <c r="J788">
        <v>9797</v>
      </c>
      <c r="K788" t="s">
        <v>22</v>
      </c>
      <c r="L788">
        <v>2</v>
      </c>
      <c r="M788">
        <v>4</v>
      </c>
      <c r="N788">
        <v>5</v>
      </c>
      <c r="O788">
        <v>0</v>
      </c>
      <c r="P788">
        <v>30</v>
      </c>
      <c r="Q788" t="s">
        <v>22</v>
      </c>
    </row>
    <row r="789" spans="1:17" x14ac:dyDescent="0.25">
      <c r="A789">
        <v>1647</v>
      </c>
      <c r="B789">
        <v>26</v>
      </c>
      <c r="C789" t="s">
        <v>23</v>
      </c>
      <c r="D789" t="s">
        <v>24</v>
      </c>
      <c r="E789" t="s">
        <v>46</v>
      </c>
      <c r="F789" t="s">
        <v>29</v>
      </c>
      <c r="G789" t="s">
        <v>37</v>
      </c>
      <c r="H789" t="s">
        <v>30</v>
      </c>
      <c r="I789">
        <v>12</v>
      </c>
      <c r="J789">
        <v>3747</v>
      </c>
      <c r="K789" t="s">
        <v>22</v>
      </c>
      <c r="L789">
        <v>3</v>
      </c>
      <c r="M789">
        <v>3</v>
      </c>
      <c r="N789">
        <v>0</v>
      </c>
      <c r="O789">
        <v>0</v>
      </c>
      <c r="P789">
        <v>0</v>
      </c>
      <c r="Q789" t="s">
        <v>22</v>
      </c>
    </row>
    <row r="790" spans="1:17" x14ac:dyDescent="0.25">
      <c r="A790">
        <v>1632</v>
      </c>
      <c r="B790">
        <v>58</v>
      </c>
      <c r="C790" t="s">
        <v>16</v>
      </c>
      <c r="D790" t="s">
        <v>27</v>
      </c>
      <c r="E790" t="s">
        <v>43</v>
      </c>
      <c r="F790" t="s">
        <v>26</v>
      </c>
      <c r="G790" t="s">
        <v>33</v>
      </c>
      <c r="H790" t="s">
        <v>21</v>
      </c>
      <c r="I790">
        <v>17</v>
      </c>
      <c r="J790">
        <v>12081</v>
      </c>
      <c r="K790" t="s">
        <v>22</v>
      </c>
      <c r="L790">
        <v>3</v>
      </c>
      <c r="M790">
        <v>3</v>
      </c>
      <c r="N790">
        <v>14</v>
      </c>
      <c r="O790">
        <v>5</v>
      </c>
      <c r="P790">
        <v>29</v>
      </c>
      <c r="Q790" t="s">
        <v>22</v>
      </c>
    </row>
    <row r="791" spans="1:17" x14ac:dyDescent="0.25">
      <c r="A791">
        <v>1530</v>
      </c>
      <c r="B791">
        <v>48</v>
      </c>
      <c r="C791" t="s">
        <v>16</v>
      </c>
      <c r="D791" t="s">
        <v>148</v>
      </c>
      <c r="E791" t="s">
        <v>49</v>
      </c>
      <c r="F791" t="s">
        <v>38</v>
      </c>
      <c r="G791" t="s">
        <v>20</v>
      </c>
      <c r="H791" t="s">
        <v>30</v>
      </c>
      <c r="I791">
        <v>11</v>
      </c>
      <c r="J791">
        <v>15158</v>
      </c>
      <c r="K791" t="s">
        <v>22</v>
      </c>
      <c r="L791">
        <v>4</v>
      </c>
      <c r="M791">
        <v>2</v>
      </c>
      <c r="N791">
        <v>2</v>
      </c>
      <c r="O791">
        <v>2</v>
      </c>
      <c r="P791">
        <v>28</v>
      </c>
      <c r="Q791" t="s">
        <v>22</v>
      </c>
    </row>
    <row r="792" spans="1:17" x14ac:dyDescent="0.25">
      <c r="A792">
        <v>1546</v>
      </c>
      <c r="B792">
        <v>32</v>
      </c>
      <c r="C792" t="s">
        <v>16</v>
      </c>
      <c r="D792" t="s">
        <v>27</v>
      </c>
      <c r="E792" t="s">
        <v>44</v>
      </c>
      <c r="F792" t="s">
        <v>19</v>
      </c>
      <c r="G792" t="s">
        <v>20</v>
      </c>
      <c r="H792" t="s">
        <v>21</v>
      </c>
      <c r="I792">
        <v>21</v>
      </c>
      <c r="J792">
        <v>7292</v>
      </c>
      <c r="K792" t="s">
        <v>22</v>
      </c>
      <c r="L792">
        <v>1</v>
      </c>
      <c r="M792">
        <v>4</v>
      </c>
      <c r="N792">
        <v>8</v>
      </c>
      <c r="O792">
        <v>4</v>
      </c>
      <c r="P792">
        <v>8</v>
      </c>
      <c r="Q792" t="s">
        <v>42</v>
      </c>
    </row>
    <row r="793" spans="1:17" x14ac:dyDescent="0.25">
      <c r="A793">
        <v>1351</v>
      </c>
      <c r="B793">
        <v>30</v>
      </c>
      <c r="C793" t="s">
        <v>16</v>
      </c>
      <c r="D793" t="s">
        <v>17</v>
      </c>
      <c r="E793" t="s">
        <v>35</v>
      </c>
      <c r="F793" t="s">
        <v>38</v>
      </c>
      <c r="G793" t="s">
        <v>33</v>
      </c>
      <c r="H793" t="s">
        <v>34</v>
      </c>
      <c r="I793">
        <v>12</v>
      </c>
      <c r="J793">
        <v>6849</v>
      </c>
      <c r="K793" t="s">
        <v>42</v>
      </c>
      <c r="L793">
        <v>1</v>
      </c>
      <c r="M793">
        <v>2</v>
      </c>
      <c r="N793">
        <v>7</v>
      </c>
      <c r="O793">
        <v>2</v>
      </c>
      <c r="P793">
        <v>10</v>
      </c>
      <c r="Q793" t="s">
        <v>42</v>
      </c>
    </row>
    <row r="794" spans="1:17" x14ac:dyDescent="0.25">
      <c r="A794">
        <v>1502</v>
      </c>
      <c r="B794">
        <v>53</v>
      </c>
      <c r="C794" t="s">
        <v>23</v>
      </c>
      <c r="D794" t="s">
        <v>47</v>
      </c>
      <c r="E794" t="s">
        <v>48</v>
      </c>
      <c r="F794" t="s">
        <v>29</v>
      </c>
      <c r="G794" t="s">
        <v>20</v>
      </c>
      <c r="H794" t="s">
        <v>21</v>
      </c>
      <c r="I794">
        <v>15</v>
      </c>
      <c r="J794">
        <v>10836</v>
      </c>
      <c r="K794" t="s">
        <v>22</v>
      </c>
      <c r="L794">
        <v>1</v>
      </c>
      <c r="M794">
        <v>4</v>
      </c>
      <c r="N794">
        <v>17</v>
      </c>
      <c r="O794">
        <v>2</v>
      </c>
      <c r="P794">
        <v>23</v>
      </c>
      <c r="Q794" t="s">
        <v>22</v>
      </c>
    </row>
    <row r="795" spans="1:17" x14ac:dyDescent="0.25">
      <c r="A795">
        <v>1709</v>
      </c>
      <c r="B795">
        <v>22</v>
      </c>
      <c r="C795" t="s">
        <v>16</v>
      </c>
      <c r="D795" t="s">
        <v>17</v>
      </c>
      <c r="E795" t="s">
        <v>35</v>
      </c>
      <c r="F795" t="s">
        <v>38</v>
      </c>
      <c r="G795" t="s">
        <v>20</v>
      </c>
      <c r="H795" t="s">
        <v>21</v>
      </c>
      <c r="I795">
        <v>27</v>
      </c>
      <c r="J795">
        <v>3653</v>
      </c>
      <c r="K795" t="s">
        <v>22</v>
      </c>
      <c r="L795">
        <v>1</v>
      </c>
      <c r="M795">
        <v>1</v>
      </c>
      <c r="N795">
        <v>0</v>
      </c>
      <c r="O795">
        <v>0</v>
      </c>
      <c r="P795">
        <v>2</v>
      </c>
      <c r="Q795" t="s">
        <v>22</v>
      </c>
    </row>
    <row r="796" spans="1:17" x14ac:dyDescent="0.25">
      <c r="A796">
        <v>1094</v>
      </c>
      <c r="B796">
        <v>24</v>
      </c>
      <c r="C796" t="s">
        <v>23</v>
      </c>
      <c r="D796" t="s">
        <v>24</v>
      </c>
      <c r="E796" t="s">
        <v>25</v>
      </c>
      <c r="F796" t="s">
        <v>36</v>
      </c>
      <c r="G796" t="s">
        <v>20</v>
      </c>
      <c r="H796" t="s">
        <v>30</v>
      </c>
      <c r="I796">
        <v>26</v>
      </c>
      <c r="J796">
        <v>6059</v>
      </c>
      <c r="K796" t="s">
        <v>22</v>
      </c>
      <c r="L796">
        <v>4</v>
      </c>
      <c r="M796">
        <v>4</v>
      </c>
      <c r="N796">
        <v>0</v>
      </c>
      <c r="O796">
        <v>0</v>
      </c>
      <c r="P796">
        <v>0</v>
      </c>
      <c r="Q796" t="s">
        <v>22</v>
      </c>
    </row>
    <row r="797" spans="1:17" x14ac:dyDescent="0.25">
      <c r="A797">
        <v>1346</v>
      </c>
      <c r="B797">
        <v>31</v>
      </c>
      <c r="C797" t="s">
        <v>23</v>
      </c>
      <c r="D797" t="s">
        <v>24</v>
      </c>
      <c r="E797" t="s">
        <v>45</v>
      </c>
      <c r="F797" t="s">
        <v>26</v>
      </c>
      <c r="G797" t="s">
        <v>33</v>
      </c>
      <c r="H797" t="s">
        <v>21</v>
      </c>
      <c r="I797">
        <v>19</v>
      </c>
      <c r="J797">
        <v>5820</v>
      </c>
      <c r="K797" t="s">
        <v>22</v>
      </c>
      <c r="L797">
        <v>3</v>
      </c>
      <c r="M797">
        <v>1</v>
      </c>
      <c r="N797">
        <v>0</v>
      </c>
      <c r="O797">
        <v>0</v>
      </c>
      <c r="P797">
        <v>0</v>
      </c>
      <c r="Q797" t="s">
        <v>22</v>
      </c>
    </row>
    <row r="798" spans="1:17" x14ac:dyDescent="0.25">
      <c r="A798">
        <v>1481</v>
      </c>
      <c r="B798">
        <v>39</v>
      </c>
      <c r="C798" t="s">
        <v>16</v>
      </c>
      <c r="D798" t="s">
        <v>54</v>
      </c>
      <c r="E798" t="s">
        <v>48</v>
      </c>
      <c r="F798" t="s">
        <v>41</v>
      </c>
      <c r="G798" t="s">
        <v>20</v>
      </c>
      <c r="H798" t="s">
        <v>30</v>
      </c>
      <c r="I798">
        <v>3</v>
      </c>
      <c r="J798">
        <v>11812</v>
      </c>
      <c r="K798" t="s">
        <v>42</v>
      </c>
      <c r="L798">
        <v>4</v>
      </c>
      <c r="M798">
        <v>1</v>
      </c>
      <c r="N798">
        <v>14</v>
      </c>
      <c r="O798">
        <v>10</v>
      </c>
      <c r="P798">
        <v>17</v>
      </c>
      <c r="Q798" t="s">
        <v>22</v>
      </c>
    </row>
    <row r="799" spans="1:17" x14ac:dyDescent="0.25">
      <c r="A799">
        <v>1919</v>
      </c>
      <c r="B799">
        <v>43</v>
      </c>
      <c r="C799" t="s">
        <v>23</v>
      </c>
      <c r="D799" t="s">
        <v>47</v>
      </c>
      <c r="E799" t="s">
        <v>48</v>
      </c>
      <c r="F799" t="s">
        <v>29</v>
      </c>
      <c r="G799" t="s">
        <v>20</v>
      </c>
      <c r="H799" t="s">
        <v>34</v>
      </c>
      <c r="I799">
        <v>26</v>
      </c>
      <c r="J799">
        <v>9366</v>
      </c>
      <c r="K799" t="s">
        <v>22</v>
      </c>
      <c r="L799">
        <v>3</v>
      </c>
      <c r="M799">
        <v>4</v>
      </c>
      <c r="N799">
        <v>16</v>
      </c>
      <c r="O799">
        <v>0</v>
      </c>
      <c r="P799">
        <v>19</v>
      </c>
      <c r="Q799" t="s">
        <v>22</v>
      </c>
    </row>
    <row r="800" spans="1:17" x14ac:dyDescent="0.25">
      <c r="A800">
        <v>1588</v>
      </c>
      <c r="B800">
        <v>23</v>
      </c>
      <c r="C800" t="s">
        <v>23</v>
      </c>
      <c r="D800" t="s">
        <v>27</v>
      </c>
      <c r="E800" t="s">
        <v>31</v>
      </c>
      <c r="F800" t="s">
        <v>29</v>
      </c>
      <c r="G800" t="s">
        <v>20</v>
      </c>
      <c r="H800" t="s">
        <v>30</v>
      </c>
      <c r="I800">
        <v>8</v>
      </c>
      <c r="J800">
        <v>7711</v>
      </c>
      <c r="K800" t="s">
        <v>22</v>
      </c>
      <c r="L800">
        <v>4</v>
      </c>
      <c r="M800">
        <v>2</v>
      </c>
      <c r="N800">
        <v>0</v>
      </c>
      <c r="O800">
        <v>0</v>
      </c>
      <c r="P800">
        <v>2</v>
      </c>
      <c r="Q800" t="s">
        <v>22</v>
      </c>
    </row>
    <row r="801" spans="1:17" x14ac:dyDescent="0.25">
      <c r="A801">
        <v>1677</v>
      </c>
      <c r="B801">
        <v>48</v>
      </c>
      <c r="C801" t="s">
        <v>16</v>
      </c>
      <c r="D801" t="s">
        <v>24</v>
      </c>
      <c r="E801" t="s">
        <v>25</v>
      </c>
      <c r="F801" t="s">
        <v>32</v>
      </c>
      <c r="G801" t="s">
        <v>37</v>
      </c>
      <c r="H801" t="s">
        <v>30</v>
      </c>
      <c r="I801">
        <v>20</v>
      </c>
      <c r="J801">
        <v>12357</v>
      </c>
      <c r="K801" t="s">
        <v>42</v>
      </c>
      <c r="L801">
        <v>1</v>
      </c>
      <c r="M801">
        <v>4</v>
      </c>
      <c r="N801">
        <v>11</v>
      </c>
      <c r="O801">
        <v>9</v>
      </c>
      <c r="P801">
        <v>25</v>
      </c>
      <c r="Q801" t="s">
        <v>22</v>
      </c>
    </row>
    <row r="802" spans="1:17" x14ac:dyDescent="0.25">
      <c r="A802">
        <v>1843</v>
      </c>
      <c r="B802">
        <v>46</v>
      </c>
      <c r="C802" t="s">
        <v>23</v>
      </c>
      <c r="D802" t="s">
        <v>24</v>
      </c>
      <c r="E802" t="s">
        <v>52</v>
      </c>
      <c r="F802" t="s">
        <v>41</v>
      </c>
      <c r="G802" t="s">
        <v>20</v>
      </c>
      <c r="H802" t="s">
        <v>21</v>
      </c>
      <c r="I802">
        <v>13</v>
      </c>
      <c r="J802">
        <v>9437</v>
      </c>
      <c r="K802" t="s">
        <v>42</v>
      </c>
      <c r="L802">
        <v>3</v>
      </c>
      <c r="M802">
        <v>4</v>
      </c>
      <c r="N802">
        <v>24</v>
      </c>
      <c r="O802">
        <v>11</v>
      </c>
      <c r="P802">
        <v>25</v>
      </c>
      <c r="Q802" t="s">
        <v>22</v>
      </c>
    </row>
    <row r="803" spans="1:17" x14ac:dyDescent="0.25">
      <c r="A803">
        <v>1815</v>
      </c>
      <c r="B803">
        <v>41</v>
      </c>
      <c r="C803" t="s">
        <v>23</v>
      </c>
      <c r="D803" t="s">
        <v>24</v>
      </c>
      <c r="E803" t="s">
        <v>46</v>
      </c>
      <c r="F803" t="s">
        <v>29</v>
      </c>
      <c r="G803" t="s">
        <v>37</v>
      </c>
      <c r="H803" t="s">
        <v>34</v>
      </c>
      <c r="I803">
        <v>3</v>
      </c>
      <c r="J803">
        <v>7420</v>
      </c>
      <c r="K803" t="s">
        <v>42</v>
      </c>
      <c r="L803">
        <v>1</v>
      </c>
      <c r="M803">
        <v>1</v>
      </c>
      <c r="N803">
        <v>1</v>
      </c>
      <c r="O803">
        <v>1</v>
      </c>
      <c r="P803">
        <v>7</v>
      </c>
      <c r="Q803" t="s">
        <v>42</v>
      </c>
    </row>
    <row r="804" spans="1:17" x14ac:dyDescent="0.25">
      <c r="A804">
        <v>1699</v>
      </c>
      <c r="B804">
        <v>27</v>
      </c>
      <c r="C804" t="s">
        <v>23</v>
      </c>
      <c r="D804" t="s">
        <v>17</v>
      </c>
      <c r="E804" t="s">
        <v>18</v>
      </c>
      <c r="F804" t="s">
        <v>41</v>
      </c>
      <c r="G804" t="s">
        <v>33</v>
      </c>
      <c r="H804" t="s">
        <v>21</v>
      </c>
      <c r="I804">
        <v>7</v>
      </c>
      <c r="J804">
        <v>10490</v>
      </c>
      <c r="K804" t="s">
        <v>22</v>
      </c>
      <c r="L804">
        <v>4</v>
      </c>
      <c r="M804">
        <v>3</v>
      </c>
      <c r="N804">
        <v>1</v>
      </c>
      <c r="O804">
        <v>0</v>
      </c>
      <c r="P804">
        <v>6</v>
      </c>
      <c r="Q804" t="s">
        <v>22</v>
      </c>
    </row>
    <row r="805" spans="1:17" x14ac:dyDescent="0.25">
      <c r="A805">
        <v>1945</v>
      </c>
      <c r="B805">
        <v>43</v>
      </c>
      <c r="C805" t="s">
        <v>16</v>
      </c>
      <c r="D805" t="s">
        <v>24</v>
      </c>
      <c r="E805" t="s">
        <v>46</v>
      </c>
      <c r="F805" t="s">
        <v>32</v>
      </c>
      <c r="G805" t="s">
        <v>33</v>
      </c>
      <c r="H805" t="s">
        <v>21</v>
      </c>
      <c r="I805">
        <v>26</v>
      </c>
      <c r="J805">
        <v>7447</v>
      </c>
      <c r="K805" t="s">
        <v>22</v>
      </c>
      <c r="L805">
        <v>2</v>
      </c>
      <c r="M805">
        <v>3</v>
      </c>
      <c r="N805">
        <v>14</v>
      </c>
      <c r="O805">
        <v>7</v>
      </c>
      <c r="P805">
        <v>15</v>
      </c>
      <c r="Q805" t="s">
        <v>22</v>
      </c>
    </row>
    <row r="806" spans="1:17" x14ac:dyDescent="0.25">
      <c r="A806">
        <v>1712</v>
      </c>
      <c r="B806">
        <v>23</v>
      </c>
      <c r="C806" t="s">
        <v>23</v>
      </c>
      <c r="D806" t="s">
        <v>47</v>
      </c>
      <c r="E806" t="s">
        <v>53</v>
      </c>
      <c r="F806" t="s">
        <v>26</v>
      </c>
      <c r="G806" t="s">
        <v>20</v>
      </c>
      <c r="H806" t="s">
        <v>21</v>
      </c>
      <c r="I806">
        <v>11</v>
      </c>
      <c r="J806">
        <v>11849</v>
      </c>
      <c r="K806" t="s">
        <v>42</v>
      </c>
      <c r="L806">
        <v>1</v>
      </c>
      <c r="M806">
        <v>3</v>
      </c>
      <c r="N806">
        <v>0</v>
      </c>
      <c r="O806">
        <v>0</v>
      </c>
      <c r="P806">
        <v>0</v>
      </c>
      <c r="Q806" t="s">
        <v>22</v>
      </c>
    </row>
    <row r="807" spans="1:17" x14ac:dyDescent="0.25">
      <c r="A807">
        <v>1604</v>
      </c>
      <c r="B807">
        <v>40</v>
      </c>
      <c r="C807" t="s">
        <v>23</v>
      </c>
      <c r="D807" t="s">
        <v>24</v>
      </c>
      <c r="E807" t="s">
        <v>25</v>
      </c>
      <c r="F807" t="s">
        <v>38</v>
      </c>
      <c r="G807" t="s">
        <v>20</v>
      </c>
      <c r="H807" t="s">
        <v>30</v>
      </c>
      <c r="I807">
        <v>1</v>
      </c>
      <c r="J807">
        <v>9658</v>
      </c>
      <c r="K807" t="s">
        <v>22</v>
      </c>
      <c r="L807">
        <v>3</v>
      </c>
      <c r="M807">
        <v>3</v>
      </c>
      <c r="N807">
        <v>12</v>
      </c>
      <c r="O807">
        <v>6</v>
      </c>
      <c r="P807">
        <v>20</v>
      </c>
      <c r="Q807" t="s">
        <v>22</v>
      </c>
    </row>
    <row r="808" spans="1:17" x14ac:dyDescent="0.25">
      <c r="A808">
        <v>1705</v>
      </c>
      <c r="B808">
        <v>52</v>
      </c>
      <c r="C808" t="s">
        <v>16</v>
      </c>
      <c r="D808" t="s">
        <v>17</v>
      </c>
      <c r="E808" t="s">
        <v>40</v>
      </c>
      <c r="F808" t="s">
        <v>26</v>
      </c>
      <c r="G808" t="s">
        <v>33</v>
      </c>
      <c r="H808" t="s">
        <v>21</v>
      </c>
      <c r="I808">
        <v>26</v>
      </c>
      <c r="J808">
        <v>11497</v>
      </c>
      <c r="K808" t="s">
        <v>42</v>
      </c>
      <c r="L808">
        <v>4</v>
      </c>
      <c r="M808">
        <v>1</v>
      </c>
      <c r="N808">
        <v>19</v>
      </c>
      <c r="O808">
        <v>16</v>
      </c>
      <c r="P808">
        <v>27</v>
      </c>
      <c r="Q808" t="s">
        <v>22</v>
      </c>
    </row>
    <row r="809" spans="1:17" x14ac:dyDescent="0.25">
      <c r="A809">
        <v>1776</v>
      </c>
      <c r="B809">
        <v>31</v>
      </c>
      <c r="C809" t="s">
        <v>23</v>
      </c>
      <c r="D809" t="s">
        <v>27</v>
      </c>
      <c r="E809" t="s">
        <v>43</v>
      </c>
      <c r="F809" t="s">
        <v>41</v>
      </c>
      <c r="G809" t="s">
        <v>33</v>
      </c>
      <c r="H809" t="s">
        <v>30</v>
      </c>
      <c r="I809">
        <v>15</v>
      </c>
      <c r="J809">
        <v>5157</v>
      </c>
      <c r="K809" t="s">
        <v>22</v>
      </c>
      <c r="M809">
        <v>3</v>
      </c>
      <c r="N809">
        <v>4</v>
      </c>
      <c r="O809">
        <v>0</v>
      </c>
      <c r="P809">
        <v>5</v>
      </c>
      <c r="Q809" t="s">
        <v>22</v>
      </c>
    </row>
    <row r="810" spans="1:17" x14ac:dyDescent="0.25">
      <c r="A810">
        <v>1396</v>
      </c>
      <c r="B810">
        <v>49</v>
      </c>
      <c r="C810" t="s">
        <v>16</v>
      </c>
      <c r="D810" t="s">
        <v>27</v>
      </c>
      <c r="E810" t="s">
        <v>44</v>
      </c>
      <c r="F810" t="s">
        <v>26</v>
      </c>
      <c r="G810" t="s">
        <v>33</v>
      </c>
      <c r="H810" t="s">
        <v>21</v>
      </c>
      <c r="I810">
        <v>29</v>
      </c>
      <c r="J810">
        <v>9158</v>
      </c>
      <c r="K810" t="s">
        <v>22</v>
      </c>
      <c r="L810">
        <v>1</v>
      </c>
      <c r="M810">
        <v>3</v>
      </c>
      <c r="N810">
        <v>2</v>
      </c>
      <c r="O810">
        <v>0</v>
      </c>
      <c r="P810">
        <v>18</v>
      </c>
      <c r="Q810" t="s">
        <v>22</v>
      </c>
    </row>
    <row r="811" spans="1:17" x14ac:dyDescent="0.25">
      <c r="A811">
        <v>1500</v>
      </c>
      <c r="B811">
        <v>37</v>
      </c>
      <c r="C811" t="s">
        <v>16</v>
      </c>
      <c r="D811" t="s">
        <v>47</v>
      </c>
      <c r="E811" t="s">
        <v>50</v>
      </c>
      <c r="F811" t="s">
        <v>19</v>
      </c>
      <c r="G811" t="s">
        <v>20</v>
      </c>
      <c r="H811" t="s">
        <v>30</v>
      </c>
      <c r="I811">
        <v>3</v>
      </c>
      <c r="J811">
        <v>6773</v>
      </c>
      <c r="K811" t="s">
        <v>22</v>
      </c>
      <c r="L811">
        <v>2</v>
      </c>
      <c r="M811">
        <v>4</v>
      </c>
      <c r="N811">
        <v>6</v>
      </c>
      <c r="O811">
        <v>6</v>
      </c>
      <c r="P811">
        <v>8</v>
      </c>
      <c r="Q811" t="s">
        <v>42</v>
      </c>
    </row>
    <row r="812" spans="1:17" x14ac:dyDescent="0.25">
      <c r="A812">
        <v>1524</v>
      </c>
      <c r="B812">
        <v>54</v>
      </c>
      <c r="C812" t="s">
        <v>23</v>
      </c>
      <c r="D812" t="s">
        <v>47</v>
      </c>
      <c r="E812" t="s">
        <v>53</v>
      </c>
      <c r="F812" t="s">
        <v>26</v>
      </c>
      <c r="G812" t="s">
        <v>20</v>
      </c>
      <c r="H812" t="s">
        <v>21</v>
      </c>
      <c r="I812">
        <v>17</v>
      </c>
      <c r="J812">
        <v>14313</v>
      </c>
      <c r="K812" t="s">
        <v>42</v>
      </c>
      <c r="L812">
        <v>4</v>
      </c>
      <c r="M812">
        <v>2</v>
      </c>
      <c r="N812">
        <v>9</v>
      </c>
      <c r="O812">
        <v>4</v>
      </c>
      <c r="P812">
        <v>32</v>
      </c>
      <c r="Q812" t="s">
        <v>22</v>
      </c>
    </row>
    <row r="813" spans="1:17" x14ac:dyDescent="0.25">
      <c r="A813">
        <v>1482</v>
      </c>
      <c r="B813">
        <v>47</v>
      </c>
      <c r="C813" t="s">
        <v>16</v>
      </c>
      <c r="D813" t="s">
        <v>24</v>
      </c>
      <c r="E813" t="s">
        <v>25</v>
      </c>
      <c r="F813" t="s">
        <v>38</v>
      </c>
      <c r="G813" t="s">
        <v>20</v>
      </c>
      <c r="H813" t="s">
        <v>21</v>
      </c>
      <c r="I813">
        <v>24</v>
      </c>
      <c r="J813">
        <v>12146</v>
      </c>
      <c r="K813" t="s">
        <v>22</v>
      </c>
      <c r="L813">
        <v>1</v>
      </c>
      <c r="M813">
        <v>3</v>
      </c>
      <c r="N813">
        <v>5</v>
      </c>
      <c r="O813">
        <v>5</v>
      </c>
      <c r="P813">
        <v>27</v>
      </c>
      <c r="Q813" t="s">
        <v>22</v>
      </c>
    </row>
    <row r="814" spans="1:17" x14ac:dyDescent="0.25">
      <c r="A814">
        <v>1316</v>
      </c>
      <c r="B814">
        <v>35</v>
      </c>
      <c r="C814" t="s">
        <v>23</v>
      </c>
      <c r="D814" t="s">
        <v>27</v>
      </c>
      <c r="E814" t="s">
        <v>44</v>
      </c>
      <c r="F814" t="s">
        <v>32</v>
      </c>
      <c r="G814" t="s">
        <v>37</v>
      </c>
      <c r="H814" t="s">
        <v>30</v>
      </c>
      <c r="I814">
        <v>6</v>
      </c>
      <c r="J814">
        <v>5340</v>
      </c>
      <c r="K814" t="s">
        <v>22</v>
      </c>
      <c r="L814">
        <v>2</v>
      </c>
      <c r="M814">
        <v>4</v>
      </c>
      <c r="N814">
        <v>0</v>
      </c>
      <c r="O814">
        <v>0</v>
      </c>
      <c r="P814">
        <v>1</v>
      </c>
      <c r="Q814" t="s">
        <v>22</v>
      </c>
    </row>
    <row r="815" spans="1:17" x14ac:dyDescent="0.25">
      <c r="A815">
        <v>1335</v>
      </c>
      <c r="B815">
        <v>44</v>
      </c>
      <c r="C815" t="s">
        <v>16</v>
      </c>
      <c r="D815" t="s">
        <v>17</v>
      </c>
      <c r="E815" t="s">
        <v>18</v>
      </c>
      <c r="F815" t="s">
        <v>19</v>
      </c>
      <c r="G815" t="s">
        <v>37</v>
      </c>
      <c r="H815" t="s">
        <v>21</v>
      </c>
      <c r="I815">
        <v>6</v>
      </c>
      <c r="J815">
        <v>12525</v>
      </c>
      <c r="K815" t="s">
        <v>42</v>
      </c>
      <c r="L815">
        <v>3</v>
      </c>
      <c r="M815">
        <v>4</v>
      </c>
      <c r="N815">
        <v>1</v>
      </c>
      <c r="O815">
        <v>1</v>
      </c>
      <c r="P815">
        <v>18</v>
      </c>
      <c r="Q815" t="s">
        <v>88</v>
      </c>
    </row>
    <row r="816" spans="1:17" x14ac:dyDescent="0.25">
      <c r="A816">
        <v>1143</v>
      </c>
      <c r="B816">
        <v>24</v>
      </c>
      <c r="C816" t="s">
        <v>23</v>
      </c>
      <c r="D816" t="s">
        <v>24</v>
      </c>
      <c r="E816" t="s">
        <v>25</v>
      </c>
      <c r="F816" t="s">
        <v>38</v>
      </c>
      <c r="G816" t="s">
        <v>33</v>
      </c>
      <c r="H816" t="s">
        <v>30</v>
      </c>
      <c r="I816">
        <v>17</v>
      </c>
      <c r="J816">
        <v>9120</v>
      </c>
      <c r="K816" t="s">
        <v>22</v>
      </c>
      <c r="L816">
        <v>2</v>
      </c>
      <c r="M816">
        <v>2</v>
      </c>
      <c r="N816">
        <v>2</v>
      </c>
      <c r="O816">
        <v>2</v>
      </c>
      <c r="P816">
        <v>2</v>
      </c>
      <c r="Q816" t="s">
        <v>22</v>
      </c>
    </row>
    <row r="817" spans="1:17" x14ac:dyDescent="0.25">
      <c r="A817">
        <v>1549</v>
      </c>
      <c r="B817">
        <v>36</v>
      </c>
      <c r="C817" t="s">
        <v>16</v>
      </c>
      <c r="D817" t="s">
        <v>27</v>
      </c>
      <c r="E817" t="s">
        <v>44</v>
      </c>
      <c r="G817" t="s">
        <v>37</v>
      </c>
      <c r="H817" t="s">
        <v>21</v>
      </c>
      <c r="I817">
        <v>20</v>
      </c>
      <c r="J817">
        <v>9845</v>
      </c>
      <c r="K817" t="s">
        <v>22</v>
      </c>
      <c r="L817">
        <v>2</v>
      </c>
      <c r="M817">
        <v>1</v>
      </c>
      <c r="N817">
        <v>5</v>
      </c>
      <c r="O817">
        <v>0</v>
      </c>
      <c r="P817">
        <v>12</v>
      </c>
      <c r="Q817" t="s">
        <v>22</v>
      </c>
    </row>
    <row r="818" spans="1:17" x14ac:dyDescent="0.25">
      <c r="A818">
        <v>1922</v>
      </c>
      <c r="B818">
        <v>59</v>
      </c>
      <c r="C818" t="s">
        <v>16</v>
      </c>
      <c r="D818" t="s">
        <v>24</v>
      </c>
      <c r="E818" t="s">
        <v>52</v>
      </c>
      <c r="F818" t="s">
        <v>19</v>
      </c>
      <c r="G818" t="s">
        <v>33</v>
      </c>
      <c r="H818" t="s">
        <v>34</v>
      </c>
      <c r="I818">
        <v>3</v>
      </c>
      <c r="J818">
        <v>11030</v>
      </c>
      <c r="K818" t="s">
        <v>22</v>
      </c>
      <c r="L818">
        <v>4</v>
      </c>
      <c r="M818">
        <v>1</v>
      </c>
      <c r="N818">
        <v>21</v>
      </c>
      <c r="O818">
        <v>17</v>
      </c>
      <c r="P818">
        <v>39</v>
      </c>
      <c r="Q818" t="s">
        <v>22</v>
      </c>
    </row>
    <row r="819" spans="1:17" x14ac:dyDescent="0.25">
      <c r="A819">
        <v>1350</v>
      </c>
      <c r="B819">
        <v>35</v>
      </c>
      <c r="C819" t="s">
        <v>23</v>
      </c>
      <c r="D819" t="s">
        <v>38</v>
      </c>
      <c r="E819" t="s">
        <v>39</v>
      </c>
      <c r="F819" t="s">
        <v>19</v>
      </c>
      <c r="G819" t="s">
        <v>37</v>
      </c>
      <c r="H819" t="s">
        <v>30</v>
      </c>
      <c r="I819">
        <v>12</v>
      </c>
      <c r="J819">
        <v>8554</v>
      </c>
      <c r="K819" t="s">
        <v>22</v>
      </c>
      <c r="L819">
        <v>1</v>
      </c>
      <c r="M819">
        <v>4</v>
      </c>
      <c r="N819">
        <v>10</v>
      </c>
      <c r="O819">
        <v>10</v>
      </c>
      <c r="P819">
        <v>15</v>
      </c>
      <c r="Q819" t="s">
        <v>42</v>
      </c>
    </row>
    <row r="820" spans="1:17" x14ac:dyDescent="0.25">
      <c r="A820">
        <v>1666</v>
      </c>
      <c r="B820">
        <v>53</v>
      </c>
      <c r="C820" t="s">
        <v>23</v>
      </c>
      <c r="D820" t="s">
        <v>51</v>
      </c>
      <c r="E820" t="s">
        <v>45</v>
      </c>
      <c r="F820" t="s">
        <v>29</v>
      </c>
      <c r="G820" t="s">
        <v>20</v>
      </c>
      <c r="H820" t="s">
        <v>34</v>
      </c>
      <c r="I820">
        <v>28</v>
      </c>
      <c r="J820">
        <v>8548</v>
      </c>
      <c r="K820" t="s">
        <v>42</v>
      </c>
      <c r="L820">
        <v>3</v>
      </c>
      <c r="M820">
        <v>1</v>
      </c>
      <c r="N820">
        <v>7</v>
      </c>
      <c r="O820">
        <v>1</v>
      </c>
      <c r="P820">
        <v>22</v>
      </c>
      <c r="Q820" t="s">
        <v>42</v>
      </c>
    </row>
    <row r="821" spans="1:17" x14ac:dyDescent="0.25">
      <c r="A821">
        <v>1476</v>
      </c>
      <c r="B821">
        <v>21</v>
      </c>
      <c r="C821" t="s">
        <v>23</v>
      </c>
      <c r="D821" t="s">
        <v>47</v>
      </c>
      <c r="E821" t="s">
        <v>50</v>
      </c>
      <c r="F821" t="s">
        <v>26</v>
      </c>
      <c r="G821" t="s">
        <v>37</v>
      </c>
      <c r="H821" t="s">
        <v>34</v>
      </c>
      <c r="I821">
        <v>29</v>
      </c>
      <c r="J821">
        <v>7095</v>
      </c>
      <c r="K821" t="s">
        <v>22</v>
      </c>
      <c r="L821">
        <v>4</v>
      </c>
      <c r="M821">
        <v>3</v>
      </c>
      <c r="N821">
        <v>1</v>
      </c>
      <c r="O821">
        <v>1</v>
      </c>
      <c r="P821">
        <v>1</v>
      </c>
      <c r="Q821" t="s">
        <v>42</v>
      </c>
    </row>
    <row r="822" spans="1:17" x14ac:dyDescent="0.25">
      <c r="A822">
        <v>1288</v>
      </c>
      <c r="B822">
        <v>54</v>
      </c>
      <c r="C822" t="s">
        <v>23</v>
      </c>
      <c r="D822" t="s">
        <v>27</v>
      </c>
      <c r="E822" t="s">
        <v>43</v>
      </c>
      <c r="F822" t="s">
        <v>29</v>
      </c>
      <c r="G822" t="s">
        <v>33</v>
      </c>
      <c r="H822" t="s">
        <v>34</v>
      </c>
      <c r="I822">
        <v>19</v>
      </c>
      <c r="J822">
        <v>14009</v>
      </c>
      <c r="K822" t="s">
        <v>22</v>
      </c>
      <c r="L822">
        <v>1</v>
      </c>
      <c r="M822">
        <v>1</v>
      </c>
      <c r="N822">
        <v>20</v>
      </c>
      <c r="O822">
        <v>2</v>
      </c>
      <c r="P822">
        <v>32</v>
      </c>
      <c r="Q822" t="s">
        <v>22</v>
      </c>
    </row>
    <row r="823" spans="1:17" x14ac:dyDescent="0.25">
      <c r="A823">
        <v>1403</v>
      </c>
      <c r="B823">
        <v>59</v>
      </c>
      <c r="C823" t="s">
        <v>16</v>
      </c>
      <c r="D823" t="s">
        <v>136</v>
      </c>
      <c r="E823" t="s">
        <v>49</v>
      </c>
      <c r="F823" t="s">
        <v>38</v>
      </c>
      <c r="G823" t="s">
        <v>37</v>
      </c>
      <c r="H823" t="s">
        <v>34</v>
      </c>
      <c r="I823">
        <v>13</v>
      </c>
      <c r="J823">
        <v>13956</v>
      </c>
      <c r="K823" t="s">
        <v>22</v>
      </c>
      <c r="L823">
        <v>1</v>
      </c>
      <c r="M823">
        <v>3</v>
      </c>
      <c r="N823">
        <v>10</v>
      </c>
      <c r="O823">
        <v>4</v>
      </c>
      <c r="P823">
        <v>39</v>
      </c>
      <c r="Q823" t="s">
        <v>22</v>
      </c>
    </row>
    <row r="824" spans="1:17" x14ac:dyDescent="0.25">
      <c r="A824">
        <v>1285</v>
      </c>
      <c r="B824">
        <v>26</v>
      </c>
      <c r="C824" t="s">
        <v>23</v>
      </c>
      <c r="D824" t="s">
        <v>27</v>
      </c>
      <c r="E824" t="s">
        <v>44</v>
      </c>
      <c r="F824" t="s">
        <v>19</v>
      </c>
      <c r="G824" t="s">
        <v>20</v>
      </c>
      <c r="H824" t="s">
        <v>21</v>
      </c>
      <c r="I824">
        <v>3</v>
      </c>
      <c r="J824" t="s">
        <v>149</v>
      </c>
      <c r="K824" t="s">
        <v>22</v>
      </c>
      <c r="L824">
        <v>2</v>
      </c>
      <c r="M824">
        <v>1</v>
      </c>
      <c r="N824">
        <v>2</v>
      </c>
      <c r="O824">
        <v>1</v>
      </c>
      <c r="P824">
        <v>4</v>
      </c>
      <c r="Q824" t="s">
        <v>22</v>
      </c>
    </row>
    <row r="825" spans="1:17" x14ac:dyDescent="0.25">
      <c r="A825">
        <v>1379</v>
      </c>
      <c r="B825">
        <v>52</v>
      </c>
      <c r="C825" t="s">
        <v>23</v>
      </c>
      <c r="D825" t="s">
        <v>47</v>
      </c>
      <c r="E825" t="s">
        <v>50</v>
      </c>
      <c r="F825" t="s">
        <v>19</v>
      </c>
      <c r="G825" t="s">
        <v>33</v>
      </c>
      <c r="H825" t="s">
        <v>34</v>
      </c>
      <c r="I825">
        <v>17</v>
      </c>
      <c r="J825">
        <v>11910</v>
      </c>
      <c r="K825" t="s">
        <v>22</v>
      </c>
      <c r="L825">
        <v>3</v>
      </c>
      <c r="M825">
        <v>4</v>
      </c>
      <c r="N825">
        <v>16</v>
      </c>
      <c r="O825">
        <v>4</v>
      </c>
      <c r="P825">
        <v>32</v>
      </c>
      <c r="Q825" t="s">
        <v>22</v>
      </c>
    </row>
    <row r="826" spans="1:17" x14ac:dyDescent="0.25">
      <c r="A826">
        <v>1944</v>
      </c>
      <c r="B826">
        <v>26</v>
      </c>
      <c r="C826" t="s">
        <v>23</v>
      </c>
      <c r="D826" t="s">
        <v>38</v>
      </c>
      <c r="E826" t="s">
        <v>39</v>
      </c>
      <c r="F826" t="s">
        <v>38</v>
      </c>
      <c r="G826" t="s">
        <v>33</v>
      </c>
      <c r="H826" t="s">
        <v>34</v>
      </c>
      <c r="I826">
        <v>29</v>
      </c>
      <c r="J826">
        <v>4583</v>
      </c>
      <c r="K826" t="s">
        <v>22</v>
      </c>
      <c r="L826">
        <v>3</v>
      </c>
      <c r="M826">
        <v>1</v>
      </c>
      <c r="N826">
        <v>0</v>
      </c>
      <c r="O826">
        <v>0</v>
      </c>
      <c r="P826">
        <v>2</v>
      </c>
      <c r="Q826" t="s">
        <v>22</v>
      </c>
    </row>
    <row r="827" spans="1:17" x14ac:dyDescent="0.25">
      <c r="A827">
        <v>1657</v>
      </c>
      <c r="B827">
        <v>31</v>
      </c>
      <c r="C827" t="s">
        <v>23</v>
      </c>
      <c r="D827" t="s">
        <v>17</v>
      </c>
      <c r="E827" t="s">
        <v>40</v>
      </c>
      <c r="F827" t="s">
        <v>36</v>
      </c>
      <c r="G827" t="s">
        <v>37</v>
      </c>
      <c r="H827" t="s">
        <v>30</v>
      </c>
      <c r="I827">
        <v>21</v>
      </c>
      <c r="J827">
        <v>5054</v>
      </c>
      <c r="K827" t="s">
        <v>42</v>
      </c>
      <c r="L827">
        <v>1</v>
      </c>
      <c r="M827">
        <v>4</v>
      </c>
      <c r="N827">
        <v>3</v>
      </c>
      <c r="O827">
        <v>0</v>
      </c>
      <c r="P827">
        <v>10</v>
      </c>
      <c r="Q827" t="s">
        <v>22</v>
      </c>
    </row>
    <row r="828" spans="1:17" x14ac:dyDescent="0.25">
      <c r="A828">
        <v>1839</v>
      </c>
      <c r="B828">
        <v>57</v>
      </c>
      <c r="C828" t="s">
        <v>16</v>
      </c>
      <c r="D828" t="s">
        <v>38</v>
      </c>
      <c r="E828" t="s">
        <v>49</v>
      </c>
      <c r="F828" t="s">
        <v>32</v>
      </c>
      <c r="G828" t="s">
        <v>20</v>
      </c>
      <c r="H828" t="s">
        <v>30</v>
      </c>
      <c r="I828">
        <v>12</v>
      </c>
      <c r="J828">
        <v>14059</v>
      </c>
      <c r="K828" t="s">
        <v>22</v>
      </c>
      <c r="L828">
        <v>1</v>
      </c>
      <c r="M828">
        <v>3</v>
      </c>
      <c r="N828">
        <v>17</v>
      </c>
      <c r="O828">
        <v>12</v>
      </c>
      <c r="P828">
        <v>27</v>
      </c>
      <c r="Q828" t="s">
        <v>22</v>
      </c>
    </row>
    <row r="829" spans="1:17" x14ac:dyDescent="0.25">
      <c r="A829">
        <v>1896</v>
      </c>
      <c r="B829">
        <v>45</v>
      </c>
      <c r="C829" t="s">
        <v>23</v>
      </c>
      <c r="D829" t="s">
        <v>27</v>
      </c>
      <c r="E829" t="s">
        <v>28</v>
      </c>
      <c r="F829" t="s">
        <v>29</v>
      </c>
      <c r="G829" t="s">
        <v>37</v>
      </c>
      <c r="H829" t="s">
        <v>34</v>
      </c>
      <c r="I829">
        <v>4</v>
      </c>
      <c r="J829">
        <v>12084</v>
      </c>
      <c r="K829" t="s">
        <v>22</v>
      </c>
      <c r="L829">
        <v>3</v>
      </c>
      <c r="M829">
        <v>2</v>
      </c>
      <c r="N829">
        <v>11</v>
      </c>
      <c r="O829">
        <v>1</v>
      </c>
      <c r="P829">
        <v>17</v>
      </c>
      <c r="Q829" t="s">
        <v>22</v>
      </c>
    </row>
    <row r="830" spans="1:17" x14ac:dyDescent="0.25">
      <c r="A830">
        <v>1796</v>
      </c>
      <c r="B830">
        <v>45</v>
      </c>
      <c r="C830" t="s">
        <v>16</v>
      </c>
      <c r="D830" t="s">
        <v>47</v>
      </c>
      <c r="E830" t="s">
        <v>53</v>
      </c>
      <c r="F830" t="s">
        <v>41</v>
      </c>
      <c r="G830" t="s">
        <v>37</v>
      </c>
      <c r="H830" t="s">
        <v>34</v>
      </c>
      <c r="I830">
        <v>8</v>
      </c>
      <c r="J830">
        <v>13186</v>
      </c>
      <c r="K830" t="s">
        <v>22</v>
      </c>
      <c r="L830">
        <v>2</v>
      </c>
      <c r="M830">
        <v>1</v>
      </c>
      <c r="N830">
        <v>22</v>
      </c>
      <c r="O830">
        <v>3</v>
      </c>
      <c r="P830">
        <v>25</v>
      </c>
      <c r="Q830" t="s">
        <v>22</v>
      </c>
    </row>
    <row r="831" spans="1:17" x14ac:dyDescent="0.25">
      <c r="A831">
        <v>1722</v>
      </c>
      <c r="B831">
        <v>31</v>
      </c>
      <c r="C831" t="s">
        <v>16</v>
      </c>
      <c r="D831" t="s">
        <v>27</v>
      </c>
      <c r="E831" t="s">
        <v>43</v>
      </c>
      <c r="F831" t="s">
        <v>32</v>
      </c>
      <c r="G831" t="s">
        <v>37</v>
      </c>
      <c r="H831" t="s">
        <v>34</v>
      </c>
      <c r="I831">
        <v>9</v>
      </c>
      <c r="J831" t="s">
        <v>150</v>
      </c>
      <c r="K831" t="s">
        <v>42</v>
      </c>
      <c r="L831">
        <v>4</v>
      </c>
      <c r="M831">
        <v>3</v>
      </c>
      <c r="N831">
        <v>0</v>
      </c>
      <c r="O831">
        <v>0</v>
      </c>
      <c r="P831">
        <v>4</v>
      </c>
      <c r="Q831" t="s">
        <v>22</v>
      </c>
    </row>
    <row r="832" spans="1:17" x14ac:dyDescent="0.25">
      <c r="A832">
        <v>1087</v>
      </c>
      <c r="B832">
        <v>42</v>
      </c>
      <c r="C832" t="s">
        <v>16</v>
      </c>
      <c r="D832" t="s">
        <v>27</v>
      </c>
      <c r="E832" t="s">
        <v>31</v>
      </c>
      <c r="F832" t="s">
        <v>32</v>
      </c>
      <c r="G832" t="s">
        <v>20</v>
      </c>
      <c r="H832" t="s">
        <v>34</v>
      </c>
      <c r="I832">
        <v>20</v>
      </c>
      <c r="J832">
        <v>9107</v>
      </c>
      <c r="K832" t="s">
        <v>42</v>
      </c>
      <c r="L832">
        <v>3</v>
      </c>
      <c r="M832">
        <v>1</v>
      </c>
      <c r="N832">
        <v>10</v>
      </c>
      <c r="O832">
        <v>9</v>
      </c>
      <c r="P832">
        <v>14</v>
      </c>
      <c r="Q832" t="s">
        <v>42</v>
      </c>
    </row>
    <row r="833" spans="1:17" x14ac:dyDescent="0.25">
      <c r="A833">
        <v>1576</v>
      </c>
      <c r="B833">
        <v>45</v>
      </c>
      <c r="C833" t="s">
        <v>23</v>
      </c>
      <c r="D833" t="s">
        <v>24</v>
      </c>
      <c r="E833" t="s">
        <v>25</v>
      </c>
      <c r="F833" t="s">
        <v>29</v>
      </c>
      <c r="G833" t="s">
        <v>33</v>
      </c>
      <c r="H833" t="s">
        <v>21</v>
      </c>
      <c r="I833">
        <v>22</v>
      </c>
      <c r="J833">
        <v>9956</v>
      </c>
      <c r="K833" t="s">
        <v>22</v>
      </c>
      <c r="L833">
        <v>2</v>
      </c>
      <c r="M833">
        <v>4</v>
      </c>
      <c r="N833">
        <v>2</v>
      </c>
      <c r="O833">
        <v>1</v>
      </c>
      <c r="P833">
        <v>14</v>
      </c>
      <c r="Q833" t="s">
        <v>22</v>
      </c>
    </row>
    <row r="834" spans="1:17" x14ac:dyDescent="0.25">
      <c r="A834">
        <v>1068</v>
      </c>
      <c r="B834">
        <v>51</v>
      </c>
      <c r="C834" t="s">
        <v>16</v>
      </c>
      <c r="D834" t="s">
        <v>47</v>
      </c>
      <c r="E834" t="s">
        <v>53</v>
      </c>
      <c r="F834" t="s">
        <v>26</v>
      </c>
      <c r="G834" t="s">
        <v>37</v>
      </c>
      <c r="H834" t="s">
        <v>30</v>
      </c>
      <c r="I834">
        <v>22</v>
      </c>
      <c r="J834">
        <v>12356</v>
      </c>
      <c r="K834" t="s">
        <v>22</v>
      </c>
      <c r="L834">
        <v>2</v>
      </c>
      <c r="M834">
        <v>2</v>
      </c>
      <c r="N834">
        <v>24</v>
      </c>
      <c r="O834">
        <v>7</v>
      </c>
      <c r="P834">
        <v>31</v>
      </c>
      <c r="Q834" t="s">
        <v>22</v>
      </c>
    </row>
    <row r="835" spans="1:17" x14ac:dyDescent="0.25">
      <c r="A835">
        <v>1428</v>
      </c>
      <c r="B835">
        <v>46</v>
      </c>
      <c r="C835" t="s">
        <v>23</v>
      </c>
      <c r="D835" t="s">
        <v>17</v>
      </c>
      <c r="E835" t="s">
        <v>40</v>
      </c>
      <c r="F835" t="s">
        <v>26</v>
      </c>
      <c r="G835" t="s">
        <v>37</v>
      </c>
      <c r="H835" t="s">
        <v>30</v>
      </c>
      <c r="I835">
        <v>6</v>
      </c>
      <c r="J835">
        <v>9288</v>
      </c>
      <c r="K835" t="s">
        <v>22</v>
      </c>
      <c r="L835">
        <v>1</v>
      </c>
      <c r="M835">
        <v>4</v>
      </c>
      <c r="N835">
        <v>9</v>
      </c>
      <c r="O835">
        <v>3</v>
      </c>
      <c r="P835">
        <v>24</v>
      </c>
      <c r="Q835" t="s">
        <v>22</v>
      </c>
    </row>
    <row r="836" spans="1:17" x14ac:dyDescent="0.25">
      <c r="A836">
        <v>1032</v>
      </c>
      <c r="B836">
        <v>35</v>
      </c>
      <c r="C836" t="s">
        <v>16</v>
      </c>
      <c r="D836" t="s">
        <v>17</v>
      </c>
      <c r="E836" t="s">
        <v>40</v>
      </c>
      <c r="F836" t="s">
        <v>38</v>
      </c>
      <c r="G836" t="s">
        <v>33</v>
      </c>
      <c r="H836" t="s">
        <v>34</v>
      </c>
      <c r="I836">
        <v>8</v>
      </c>
      <c r="J836">
        <v>7706</v>
      </c>
      <c r="K836" t="s">
        <v>22</v>
      </c>
      <c r="L836">
        <v>2</v>
      </c>
      <c r="M836">
        <v>4</v>
      </c>
      <c r="N836">
        <v>2</v>
      </c>
      <c r="O836">
        <v>1</v>
      </c>
      <c r="P836">
        <v>15</v>
      </c>
      <c r="Q836" t="s">
        <v>22</v>
      </c>
    </row>
    <row r="837" spans="1:17" x14ac:dyDescent="0.25">
      <c r="A837">
        <v>1615</v>
      </c>
      <c r="B837">
        <v>34</v>
      </c>
      <c r="C837" t="s">
        <v>113</v>
      </c>
      <c r="D837" t="s">
        <v>27</v>
      </c>
      <c r="E837" t="s">
        <v>43</v>
      </c>
      <c r="F837" t="s">
        <v>41</v>
      </c>
      <c r="G837" t="s">
        <v>37</v>
      </c>
      <c r="H837" t="s">
        <v>21</v>
      </c>
      <c r="I837">
        <v>18</v>
      </c>
      <c r="J837">
        <v>7282</v>
      </c>
      <c r="K837" t="s">
        <v>22</v>
      </c>
      <c r="L837">
        <v>3</v>
      </c>
      <c r="M837">
        <v>2</v>
      </c>
      <c r="N837">
        <v>2</v>
      </c>
      <c r="O837">
        <v>1</v>
      </c>
      <c r="P837">
        <v>9</v>
      </c>
      <c r="Q837" t="s">
        <v>22</v>
      </c>
    </row>
    <row r="838" spans="1:17" x14ac:dyDescent="0.25">
      <c r="A838">
        <v>1444</v>
      </c>
      <c r="B838">
        <v>50</v>
      </c>
      <c r="C838" t="s">
        <v>16</v>
      </c>
      <c r="D838" t="s">
        <v>94</v>
      </c>
      <c r="E838" t="s">
        <v>35</v>
      </c>
      <c r="F838" t="s">
        <v>29</v>
      </c>
      <c r="G838" t="s">
        <v>20</v>
      </c>
      <c r="H838" t="s">
        <v>30</v>
      </c>
      <c r="I838">
        <v>9</v>
      </c>
      <c r="J838">
        <v>10475</v>
      </c>
      <c r="K838" t="s">
        <v>22</v>
      </c>
      <c r="L838">
        <v>1</v>
      </c>
      <c r="M838">
        <v>1</v>
      </c>
      <c r="N838">
        <v>10</v>
      </c>
      <c r="O838">
        <v>1</v>
      </c>
      <c r="P838">
        <v>30</v>
      </c>
      <c r="Q838" t="s">
        <v>22</v>
      </c>
    </row>
    <row r="839" spans="1:17" x14ac:dyDescent="0.25">
      <c r="A839">
        <v>1077</v>
      </c>
      <c r="B839">
        <v>36</v>
      </c>
      <c r="C839" t="s">
        <v>23</v>
      </c>
      <c r="D839" t="s">
        <v>47</v>
      </c>
      <c r="E839" t="s">
        <v>53</v>
      </c>
      <c r="F839" t="s">
        <v>36</v>
      </c>
      <c r="G839" t="s">
        <v>33</v>
      </c>
      <c r="H839" t="s">
        <v>21</v>
      </c>
      <c r="I839">
        <v>8</v>
      </c>
      <c r="J839">
        <v>10915</v>
      </c>
      <c r="K839" t="s">
        <v>22</v>
      </c>
      <c r="L839">
        <v>1</v>
      </c>
      <c r="M839">
        <v>3</v>
      </c>
      <c r="N839">
        <v>0</v>
      </c>
      <c r="O839">
        <v>0</v>
      </c>
      <c r="P839">
        <v>12</v>
      </c>
      <c r="Q839" t="s">
        <v>22</v>
      </c>
    </row>
    <row r="840" spans="1:17" x14ac:dyDescent="0.25">
      <c r="A840">
        <v>1792</v>
      </c>
      <c r="B840">
        <v>21</v>
      </c>
      <c r="C840" t="s">
        <v>16</v>
      </c>
      <c r="D840" t="s">
        <v>47</v>
      </c>
      <c r="E840" t="s">
        <v>48</v>
      </c>
      <c r="F840" t="s">
        <v>38</v>
      </c>
      <c r="G840" t="s">
        <v>37</v>
      </c>
      <c r="H840" t="s">
        <v>34</v>
      </c>
      <c r="I840">
        <v>10</v>
      </c>
      <c r="J840">
        <v>4188</v>
      </c>
      <c r="K840" t="s">
        <v>42</v>
      </c>
      <c r="L840">
        <v>4</v>
      </c>
      <c r="M840">
        <v>1</v>
      </c>
      <c r="N840">
        <v>0</v>
      </c>
      <c r="O840">
        <v>0</v>
      </c>
      <c r="P840">
        <v>0</v>
      </c>
      <c r="Q840" t="s">
        <v>42</v>
      </c>
    </row>
    <row r="841" spans="1:17" x14ac:dyDescent="0.25">
      <c r="A841">
        <v>1510</v>
      </c>
      <c r="B841">
        <v>50</v>
      </c>
      <c r="C841" t="s">
        <v>16</v>
      </c>
      <c r="D841" t="s">
        <v>47</v>
      </c>
      <c r="E841" t="s">
        <v>50</v>
      </c>
      <c r="F841" t="s">
        <v>19</v>
      </c>
      <c r="G841" t="s">
        <v>20</v>
      </c>
      <c r="H841" t="s">
        <v>34</v>
      </c>
      <c r="I841">
        <v>24</v>
      </c>
      <c r="J841">
        <v>12610</v>
      </c>
      <c r="K841" t="s">
        <v>42</v>
      </c>
      <c r="L841">
        <v>4</v>
      </c>
      <c r="M841">
        <v>1</v>
      </c>
      <c r="N841">
        <v>20</v>
      </c>
      <c r="O841">
        <v>11</v>
      </c>
      <c r="P841">
        <v>30</v>
      </c>
      <c r="Q841" t="s">
        <v>42</v>
      </c>
    </row>
    <row r="842" spans="1:17" x14ac:dyDescent="0.25">
      <c r="A842">
        <v>1295</v>
      </c>
      <c r="B842">
        <v>35</v>
      </c>
      <c r="C842" t="s">
        <v>23</v>
      </c>
      <c r="D842" t="s">
        <v>27</v>
      </c>
      <c r="E842" t="s">
        <v>31</v>
      </c>
      <c r="F842" t="s">
        <v>41</v>
      </c>
      <c r="G842" t="s">
        <v>37</v>
      </c>
      <c r="H842" t="s">
        <v>30</v>
      </c>
      <c r="I842">
        <v>6</v>
      </c>
      <c r="J842">
        <v>9289</v>
      </c>
      <c r="K842" t="s">
        <v>42</v>
      </c>
      <c r="L842">
        <v>2</v>
      </c>
      <c r="M842">
        <v>1</v>
      </c>
      <c r="N842">
        <v>5</v>
      </c>
      <c r="O842">
        <v>1</v>
      </c>
      <c r="P842">
        <v>15</v>
      </c>
      <c r="Q842" t="s">
        <v>22</v>
      </c>
    </row>
    <row r="843" spans="1:17" x14ac:dyDescent="0.25">
      <c r="A843">
        <v>1534</v>
      </c>
      <c r="B843">
        <v>54</v>
      </c>
      <c r="C843" t="s">
        <v>23</v>
      </c>
      <c r="D843" t="s">
        <v>17</v>
      </c>
      <c r="E843" t="s">
        <v>40</v>
      </c>
      <c r="F843" t="s">
        <v>19</v>
      </c>
      <c r="G843" t="s">
        <v>33</v>
      </c>
      <c r="H843" t="s">
        <v>34</v>
      </c>
      <c r="I843">
        <v>2</v>
      </c>
      <c r="J843">
        <v>11459</v>
      </c>
      <c r="K843" t="s">
        <v>22</v>
      </c>
      <c r="L843">
        <v>3</v>
      </c>
      <c r="M843">
        <v>4</v>
      </c>
      <c r="N843">
        <v>8</v>
      </c>
      <c r="O843">
        <v>1</v>
      </c>
      <c r="P843">
        <v>31</v>
      </c>
      <c r="Q843" t="s">
        <v>22</v>
      </c>
    </row>
    <row r="844" spans="1:17" x14ac:dyDescent="0.25">
      <c r="A844">
        <v>1614</v>
      </c>
      <c r="B844">
        <v>52</v>
      </c>
      <c r="C844" t="s">
        <v>16</v>
      </c>
      <c r="D844" t="s">
        <v>38</v>
      </c>
      <c r="E844" t="s">
        <v>49</v>
      </c>
      <c r="F844" t="s">
        <v>26</v>
      </c>
      <c r="G844" t="s">
        <v>20</v>
      </c>
      <c r="H844" t="s">
        <v>34</v>
      </c>
      <c r="I844">
        <v>13</v>
      </c>
      <c r="J844">
        <v>13656</v>
      </c>
      <c r="K844" t="s">
        <v>22</v>
      </c>
      <c r="L844">
        <v>2</v>
      </c>
      <c r="M844">
        <v>4</v>
      </c>
      <c r="N844">
        <v>22</v>
      </c>
      <c r="O844">
        <v>18</v>
      </c>
      <c r="P844">
        <v>30</v>
      </c>
      <c r="Q844" t="s">
        <v>42</v>
      </c>
    </row>
    <row r="845" spans="1:17" x14ac:dyDescent="0.25">
      <c r="A845">
        <v>1248</v>
      </c>
      <c r="B845">
        <v>33</v>
      </c>
      <c r="C845" t="s">
        <v>23</v>
      </c>
      <c r="D845" t="s">
        <v>17</v>
      </c>
      <c r="E845" t="s">
        <v>35</v>
      </c>
      <c r="F845" t="s">
        <v>41</v>
      </c>
      <c r="G845" t="s">
        <v>20</v>
      </c>
      <c r="H845" t="s">
        <v>34</v>
      </c>
      <c r="I845">
        <v>13</v>
      </c>
      <c r="J845">
        <v>5971</v>
      </c>
      <c r="K845" t="s">
        <v>22</v>
      </c>
      <c r="L845">
        <v>2</v>
      </c>
      <c r="M845">
        <v>4</v>
      </c>
      <c r="N845">
        <v>2</v>
      </c>
      <c r="O845">
        <v>1</v>
      </c>
      <c r="P845">
        <v>9</v>
      </c>
      <c r="Q845" t="s">
        <v>22</v>
      </c>
    </row>
    <row r="846" spans="1:17" x14ac:dyDescent="0.25">
      <c r="A846">
        <v>1162</v>
      </c>
      <c r="B846">
        <v>53</v>
      </c>
      <c r="C846" t="s">
        <v>16</v>
      </c>
      <c r="D846" t="s">
        <v>47</v>
      </c>
      <c r="E846" t="s">
        <v>48</v>
      </c>
      <c r="F846" t="s">
        <v>29</v>
      </c>
      <c r="G846" t="s">
        <v>37</v>
      </c>
      <c r="H846" t="s">
        <v>30</v>
      </c>
      <c r="I846">
        <v>22</v>
      </c>
      <c r="J846">
        <v>11167</v>
      </c>
      <c r="K846" t="s">
        <v>22</v>
      </c>
      <c r="L846">
        <v>3</v>
      </c>
      <c r="M846">
        <v>1</v>
      </c>
      <c r="N846">
        <v>22</v>
      </c>
      <c r="O846">
        <v>18</v>
      </c>
      <c r="P846">
        <v>32</v>
      </c>
      <c r="Q846" t="s">
        <v>22</v>
      </c>
    </row>
    <row r="847" spans="1:17" x14ac:dyDescent="0.25">
      <c r="A847">
        <v>1995</v>
      </c>
      <c r="B847">
        <v>43</v>
      </c>
      <c r="C847" t="s">
        <v>23</v>
      </c>
      <c r="D847" t="s">
        <v>24</v>
      </c>
      <c r="E847" t="s">
        <v>45</v>
      </c>
      <c r="F847" t="s">
        <v>38</v>
      </c>
      <c r="G847" t="s">
        <v>20</v>
      </c>
      <c r="H847" t="s">
        <v>21</v>
      </c>
      <c r="I847">
        <v>12</v>
      </c>
      <c r="J847">
        <v>10630</v>
      </c>
      <c r="K847" t="s">
        <v>22</v>
      </c>
      <c r="L847">
        <v>4</v>
      </c>
      <c r="M847">
        <v>1</v>
      </c>
      <c r="N847">
        <v>18</v>
      </c>
      <c r="O847">
        <v>15</v>
      </c>
      <c r="P847">
        <v>20</v>
      </c>
      <c r="Q847" t="s">
        <v>42</v>
      </c>
    </row>
    <row r="848" spans="1:17" x14ac:dyDescent="0.25">
      <c r="A848">
        <v>1774</v>
      </c>
      <c r="B848">
        <v>47</v>
      </c>
      <c r="C848" t="s">
        <v>16</v>
      </c>
      <c r="D848" t="s">
        <v>17</v>
      </c>
      <c r="E848" t="s">
        <v>40</v>
      </c>
      <c r="F848" t="s">
        <v>38</v>
      </c>
      <c r="G848" t="s">
        <v>20</v>
      </c>
      <c r="H848" t="s">
        <v>34</v>
      </c>
      <c r="I848">
        <v>23</v>
      </c>
      <c r="J848">
        <v>9826</v>
      </c>
      <c r="K848" t="s">
        <v>42</v>
      </c>
      <c r="L848">
        <v>4</v>
      </c>
      <c r="M848">
        <v>3</v>
      </c>
      <c r="N848">
        <v>2</v>
      </c>
      <c r="O848">
        <v>0</v>
      </c>
      <c r="P848">
        <v>25</v>
      </c>
      <c r="Q848" t="s">
        <v>95</v>
      </c>
    </row>
    <row r="849" spans="1:17" x14ac:dyDescent="0.25">
      <c r="A849">
        <v>1662</v>
      </c>
      <c r="B849">
        <v>43</v>
      </c>
      <c r="C849" t="s">
        <v>23</v>
      </c>
      <c r="D849" t="s">
        <v>38</v>
      </c>
      <c r="E849" t="s">
        <v>39</v>
      </c>
      <c r="F849" t="s">
        <v>38</v>
      </c>
      <c r="G849" t="s">
        <v>37</v>
      </c>
      <c r="H849" t="s">
        <v>21</v>
      </c>
      <c r="I849">
        <v>22</v>
      </c>
      <c r="J849">
        <v>7482</v>
      </c>
      <c r="K849" t="s">
        <v>22</v>
      </c>
      <c r="L849">
        <v>4</v>
      </c>
      <c r="M849">
        <v>3</v>
      </c>
      <c r="N849">
        <v>1</v>
      </c>
      <c r="O849">
        <v>0</v>
      </c>
      <c r="P849">
        <v>23</v>
      </c>
      <c r="Q849" t="s">
        <v>22</v>
      </c>
    </row>
    <row r="850" spans="1:17" x14ac:dyDescent="0.25">
      <c r="A850">
        <v>1872</v>
      </c>
      <c r="B850">
        <v>52</v>
      </c>
      <c r="C850" t="s">
        <v>16</v>
      </c>
      <c r="D850" t="s">
        <v>27</v>
      </c>
      <c r="E850" t="s">
        <v>31</v>
      </c>
      <c r="F850" t="s">
        <v>36</v>
      </c>
      <c r="G850" t="s">
        <v>37</v>
      </c>
      <c r="H850" t="s">
        <v>34</v>
      </c>
      <c r="I850">
        <v>24</v>
      </c>
      <c r="J850">
        <v>11530</v>
      </c>
      <c r="K850" t="s">
        <v>22</v>
      </c>
      <c r="L850">
        <v>3</v>
      </c>
      <c r="M850">
        <v>3</v>
      </c>
      <c r="N850">
        <v>1</v>
      </c>
      <c r="O850">
        <v>1</v>
      </c>
      <c r="P850">
        <v>23</v>
      </c>
      <c r="Q850" t="s">
        <v>42</v>
      </c>
    </row>
    <row r="851" spans="1:17" x14ac:dyDescent="0.25">
      <c r="A851">
        <v>1522</v>
      </c>
      <c r="B851">
        <v>60</v>
      </c>
      <c r="C851" t="s">
        <v>16</v>
      </c>
      <c r="D851" t="s">
        <v>96</v>
      </c>
      <c r="E851" t="s">
        <v>25</v>
      </c>
      <c r="F851" t="s">
        <v>36</v>
      </c>
      <c r="G851" t="s">
        <v>20</v>
      </c>
      <c r="H851" t="s">
        <v>21</v>
      </c>
      <c r="I851">
        <v>17</v>
      </c>
      <c r="J851">
        <v>15861</v>
      </c>
      <c r="K851" t="s">
        <v>22</v>
      </c>
      <c r="L851">
        <v>2</v>
      </c>
      <c r="M851">
        <v>3</v>
      </c>
      <c r="N851">
        <v>25</v>
      </c>
      <c r="O851">
        <v>17</v>
      </c>
      <c r="P851">
        <v>36</v>
      </c>
      <c r="Q851" t="s">
        <v>22</v>
      </c>
    </row>
    <row r="852" spans="1:17" x14ac:dyDescent="0.25">
      <c r="A852">
        <v>1810</v>
      </c>
      <c r="B852">
        <v>57</v>
      </c>
      <c r="C852" t="s">
        <v>23</v>
      </c>
      <c r="D852" t="s">
        <v>24</v>
      </c>
      <c r="E852" t="s">
        <v>46</v>
      </c>
      <c r="F852" t="s">
        <v>36</v>
      </c>
      <c r="G852" t="s">
        <v>37</v>
      </c>
      <c r="H852" t="s">
        <v>30</v>
      </c>
      <c r="I852">
        <v>21</v>
      </c>
      <c r="J852">
        <v>11938</v>
      </c>
      <c r="K852" t="s">
        <v>22</v>
      </c>
      <c r="L852">
        <v>3</v>
      </c>
      <c r="M852">
        <v>1</v>
      </c>
      <c r="N852">
        <v>11</v>
      </c>
      <c r="O852">
        <v>4</v>
      </c>
      <c r="P852">
        <v>32</v>
      </c>
      <c r="Q852" t="s">
        <v>22</v>
      </c>
    </row>
    <row r="853" spans="1:17" x14ac:dyDescent="0.25">
      <c r="A853">
        <v>1630</v>
      </c>
      <c r="B853">
        <v>55</v>
      </c>
      <c r="C853" t="s">
        <v>16</v>
      </c>
      <c r="D853" t="s">
        <v>24</v>
      </c>
      <c r="E853" t="s">
        <v>25</v>
      </c>
      <c r="F853" t="s">
        <v>26</v>
      </c>
      <c r="G853" t="s">
        <v>37</v>
      </c>
      <c r="H853" t="s">
        <v>30</v>
      </c>
      <c r="I853">
        <v>24</v>
      </c>
      <c r="J853">
        <v>15133</v>
      </c>
      <c r="K853" t="s">
        <v>22</v>
      </c>
      <c r="L853">
        <v>4</v>
      </c>
      <c r="M853">
        <v>2</v>
      </c>
      <c r="N853">
        <v>1</v>
      </c>
      <c r="O853">
        <v>0</v>
      </c>
      <c r="P853">
        <v>30</v>
      </c>
      <c r="Q853" t="s">
        <v>22</v>
      </c>
    </row>
    <row r="854" spans="1:17" x14ac:dyDescent="0.25">
      <c r="A854">
        <v>1908</v>
      </c>
      <c r="B854">
        <v>45</v>
      </c>
      <c r="C854" t="s">
        <v>16</v>
      </c>
      <c r="D854" t="s">
        <v>47</v>
      </c>
      <c r="E854" t="s">
        <v>53</v>
      </c>
      <c r="F854" t="s">
        <v>38</v>
      </c>
      <c r="G854" t="s">
        <v>20</v>
      </c>
      <c r="H854" t="s">
        <v>30</v>
      </c>
      <c r="I854">
        <v>4</v>
      </c>
      <c r="J854">
        <v>12730</v>
      </c>
      <c r="K854" t="s">
        <v>22</v>
      </c>
      <c r="L854">
        <v>4</v>
      </c>
      <c r="M854">
        <v>2</v>
      </c>
      <c r="N854">
        <v>10</v>
      </c>
      <c r="O854">
        <v>8</v>
      </c>
      <c r="P854">
        <v>22</v>
      </c>
      <c r="Q854" t="s">
        <v>22</v>
      </c>
    </row>
    <row r="855" spans="1:17" x14ac:dyDescent="0.25">
      <c r="A855">
        <v>1894</v>
      </c>
      <c r="B855">
        <v>47</v>
      </c>
      <c r="C855" t="s">
        <v>16</v>
      </c>
      <c r="D855" t="s">
        <v>17</v>
      </c>
      <c r="E855" t="s">
        <v>18</v>
      </c>
      <c r="F855" t="s">
        <v>19</v>
      </c>
      <c r="G855" t="s">
        <v>33</v>
      </c>
      <c r="H855" t="s">
        <v>34</v>
      </c>
      <c r="I855">
        <v>5</v>
      </c>
      <c r="J855">
        <v>12320</v>
      </c>
      <c r="K855" t="s">
        <v>22</v>
      </c>
      <c r="L855">
        <v>4</v>
      </c>
      <c r="M855">
        <v>4</v>
      </c>
      <c r="N855">
        <v>12</v>
      </c>
      <c r="O855">
        <v>4</v>
      </c>
      <c r="P855">
        <v>25</v>
      </c>
      <c r="Q855" t="s">
        <v>22</v>
      </c>
    </row>
    <row r="856" spans="1:17" x14ac:dyDescent="0.25">
      <c r="A856">
        <v>1767</v>
      </c>
      <c r="B856">
        <v>56</v>
      </c>
      <c r="C856" t="s">
        <v>16</v>
      </c>
      <c r="D856" t="s">
        <v>17</v>
      </c>
      <c r="E856" t="s">
        <v>35</v>
      </c>
      <c r="F856" t="s">
        <v>19</v>
      </c>
      <c r="G856" t="s">
        <v>20</v>
      </c>
      <c r="H856" t="s">
        <v>30</v>
      </c>
      <c r="I856">
        <v>20</v>
      </c>
      <c r="J856">
        <v>11582</v>
      </c>
      <c r="K856" t="s">
        <v>42</v>
      </c>
      <c r="L856">
        <v>3</v>
      </c>
      <c r="M856">
        <v>2</v>
      </c>
      <c r="N856">
        <v>13</v>
      </c>
      <c r="O856">
        <v>1</v>
      </c>
      <c r="P856">
        <v>25</v>
      </c>
      <c r="Q856" t="s">
        <v>22</v>
      </c>
    </row>
    <row r="857" spans="1:17" x14ac:dyDescent="0.25">
      <c r="A857">
        <v>1875</v>
      </c>
      <c r="B857">
        <v>34</v>
      </c>
      <c r="C857" t="s">
        <v>23</v>
      </c>
      <c r="D857" t="s">
        <v>24</v>
      </c>
      <c r="E857" t="s">
        <v>25</v>
      </c>
      <c r="F857" t="s">
        <v>32</v>
      </c>
      <c r="G857" t="s">
        <v>33</v>
      </c>
      <c r="H857" t="s">
        <v>34</v>
      </c>
      <c r="I857">
        <v>5</v>
      </c>
      <c r="J857">
        <v>8250</v>
      </c>
      <c r="K857" t="s">
        <v>42</v>
      </c>
      <c r="L857">
        <v>3</v>
      </c>
      <c r="M857">
        <v>2</v>
      </c>
      <c r="N857">
        <v>2</v>
      </c>
      <c r="O857">
        <v>1</v>
      </c>
      <c r="P857">
        <v>2</v>
      </c>
      <c r="Q857" t="s">
        <v>42</v>
      </c>
    </row>
    <row r="858" spans="1:17" x14ac:dyDescent="0.25">
      <c r="A858">
        <v>1621</v>
      </c>
      <c r="B858">
        <v>37</v>
      </c>
      <c r="C858" t="s">
        <v>105</v>
      </c>
      <c r="D858" t="s">
        <v>38</v>
      </c>
      <c r="E858" t="s">
        <v>49</v>
      </c>
      <c r="F858" t="s">
        <v>36</v>
      </c>
      <c r="G858" t="s">
        <v>37</v>
      </c>
      <c r="H858" t="s">
        <v>30</v>
      </c>
      <c r="I858">
        <v>5</v>
      </c>
      <c r="J858">
        <v>9874</v>
      </c>
      <c r="K858" t="s">
        <v>22</v>
      </c>
      <c r="L858">
        <v>4</v>
      </c>
      <c r="M858">
        <v>4</v>
      </c>
      <c r="N858">
        <v>9</v>
      </c>
      <c r="O858">
        <v>2</v>
      </c>
      <c r="P858">
        <v>12</v>
      </c>
      <c r="Q858" t="s">
        <v>42</v>
      </c>
    </row>
    <row r="859" spans="1:17" x14ac:dyDescent="0.25">
      <c r="A859">
        <v>1461</v>
      </c>
      <c r="B859">
        <v>50</v>
      </c>
      <c r="C859" t="s">
        <v>23</v>
      </c>
      <c r="D859" t="s">
        <v>47</v>
      </c>
      <c r="E859" t="s">
        <v>50</v>
      </c>
      <c r="F859" t="s">
        <v>38</v>
      </c>
      <c r="G859" t="s">
        <v>33</v>
      </c>
      <c r="H859" t="s">
        <v>34</v>
      </c>
      <c r="I859">
        <v>16</v>
      </c>
      <c r="J859">
        <v>6350</v>
      </c>
      <c r="K859" t="s">
        <v>42</v>
      </c>
      <c r="L859">
        <v>4</v>
      </c>
      <c r="M859">
        <v>1</v>
      </c>
      <c r="N859">
        <v>15</v>
      </c>
      <c r="O859">
        <v>8</v>
      </c>
      <c r="P859">
        <v>19</v>
      </c>
      <c r="Q859" t="s">
        <v>22</v>
      </c>
    </row>
    <row r="860" spans="1:17" x14ac:dyDescent="0.25">
      <c r="A860">
        <v>1936</v>
      </c>
      <c r="B860">
        <v>23</v>
      </c>
      <c r="C860" t="s">
        <v>23</v>
      </c>
      <c r="D860" t="s">
        <v>17</v>
      </c>
      <c r="E860" t="s">
        <v>35</v>
      </c>
      <c r="F860" t="s">
        <v>38</v>
      </c>
      <c r="G860" t="s">
        <v>33</v>
      </c>
      <c r="H860" t="s">
        <v>34</v>
      </c>
      <c r="I860">
        <v>5</v>
      </c>
      <c r="J860">
        <v>5530</v>
      </c>
      <c r="K860" t="s">
        <v>22</v>
      </c>
      <c r="L860">
        <v>2</v>
      </c>
      <c r="M860">
        <v>3</v>
      </c>
      <c r="N860">
        <v>0</v>
      </c>
      <c r="O860">
        <v>0</v>
      </c>
      <c r="P860">
        <v>0</v>
      </c>
      <c r="Q860" t="s">
        <v>22</v>
      </c>
    </row>
    <row r="861" spans="1:17" x14ac:dyDescent="0.25">
      <c r="A861">
        <v>1956</v>
      </c>
      <c r="B861">
        <v>31</v>
      </c>
      <c r="C861" t="s">
        <v>23</v>
      </c>
      <c r="D861" t="s">
        <v>47</v>
      </c>
      <c r="E861" t="s">
        <v>53</v>
      </c>
      <c r="F861" t="s">
        <v>32</v>
      </c>
      <c r="G861" t="s">
        <v>20</v>
      </c>
      <c r="H861" t="s">
        <v>34</v>
      </c>
      <c r="I861">
        <v>3</v>
      </c>
      <c r="J861">
        <v>9836</v>
      </c>
      <c r="K861" t="s">
        <v>22</v>
      </c>
      <c r="L861">
        <v>4</v>
      </c>
      <c r="M861">
        <v>2</v>
      </c>
      <c r="N861">
        <v>0</v>
      </c>
      <c r="O861">
        <v>0</v>
      </c>
      <c r="P861">
        <v>0</v>
      </c>
      <c r="Q861" t="s">
        <v>42</v>
      </c>
    </row>
    <row r="862" spans="1:17" x14ac:dyDescent="0.25">
      <c r="A862">
        <v>1744</v>
      </c>
      <c r="B862">
        <v>40</v>
      </c>
      <c r="C862" t="s">
        <v>23</v>
      </c>
      <c r="D862" t="s">
        <v>47</v>
      </c>
      <c r="E862" t="s">
        <v>50</v>
      </c>
      <c r="F862" t="s">
        <v>36</v>
      </c>
      <c r="G862" t="s">
        <v>33</v>
      </c>
      <c r="H862" t="s">
        <v>30</v>
      </c>
      <c r="I862">
        <v>2</v>
      </c>
      <c r="J862">
        <v>4837</v>
      </c>
      <c r="K862" t="s">
        <v>22</v>
      </c>
      <c r="L862">
        <v>4</v>
      </c>
      <c r="M862">
        <v>4</v>
      </c>
      <c r="N862">
        <v>7</v>
      </c>
      <c r="O862">
        <v>1</v>
      </c>
      <c r="P862">
        <v>16</v>
      </c>
      <c r="Q862" t="s">
        <v>22</v>
      </c>
    </row>
    <row r="863" spans="1:17" x14ac:dyDescent="0.25">
      <c r="A863">
        <v>1688</v>
      </c>
      <c r="B863">
        <v>48</v>
      </c>
      <c r="C863" t="s">
        <v>23</v>
      </c>
      <c r="D863" t="s">
        <v>24</v>
      </c>
      <c r="E863" t="s">
        <v>46</v>
      </c>
      <c r="F863" t="s">
        <v>29</v>
      </c>
      <c r="G863" t="s">
        <v>33</v>
      </c>
      <c r="H863" t="s">
        <v>30</v>
      </c>
      <c r="I863">
        <v>7</v>
      </c>
      <c r="J863">
        <v>9676</v>
      </c>
      <c r="K863" t="s">
        <v>22</v>
      </c>
      <c r="L863">
        <v>1</v>
      </c>
      <c r="M863">
        <v>2</v>
      </c>
      <c r="N863">
        <v>20</v>
      </c>
      <c r="O863">
        <v>14</v>
      </c>
      <c r="P863">
        <v>28</v>
      </c>
      <c r="Q863" t="s">
        <v>95</v>
      </c>
    </row>
    <row r="864" spans="1:17" x14ac:dyDescent="0.25">
      <c r="A864">
        <v>1198</v>
      </c>
      <c r="B864">
        <v>60</v>
      </c>
      <c r="C864" t="s">
        <v>16</v>
      </c>
      <c r="D864" t="s">
        <v>27</v>
      </c>
      <c r="E864" t="s">
        <v>31</v>
      </c>
      <c r="F864" t="s">
        <v>41</v>
      </c>
      <c r="G864" t="s">
        <v>37</v>
      </c>
      <c r="H864" t="s">
        <v>30</v>
      </c>
      <c r="I864">
        <v>5</v>
      </c>
      <c r="J864">
        <v>10878</v>
      </c>
      <c r="K864" t="s">
        <v>22</v>
      </c>
      <c r="L864">
        <v>1</v>
      </c>
      <c r="M864">
        <v>2</v>
      </c>
      <c r="N864">
        <v>8</v>
      </c>
      <c r="O864">
        <v>1</v>
      </c>
      <c r="P864">
        <v>29</v>
      </c>
      <c r="Q864" t="s">
        <v>22</v>
      </c>
    </row>
    <row r="865" spans="1:17" x14ac:dyDescent="0.25">
      <c r="A865">
        <v>1029</v>
      </c>
      <c r="B865">
        <v>43</v>
      </c>
      <c r="C865" t="s">
        <v>16</v>
      </c>
      <c r="D865" t="s">
        <v>27</v>
      </c>
      <c r="E865" t="s">
        <v>43</v>
      </c>
      <c r="F865" t="s">
        <v>41</v>
      </c>
      <c r="G865" t="s">
        <v>37</v>
      </c>
      <c r="H865" t="s">
        <v>21</v>
      </c>
      <c r="I865">
        <v>22</v>
      </c>
      <c r="J865">
        <v>8788</v>
      </c>
      <c r="K865" t="s">
        <v>22</v>
      </c>
      <c r="L865">
        <v>1</v>
      </c>
      <c r="M865">
        <v>3</v>
      </c>
      <c r="N865">
        <v>5</v>
      </c>
      <c r="O865">
        <v>4</v>
      </c>
      <c r="P865">
        <v>7</v>
      </c>
      <c r="Q865" t="s">
        <v>22</v>
      </c>
    </row>
    <row r="866" spans="1:17" x14ac:dyDescent="0.25">
      <c r="A866">
        <v>1405</v>
      </c>
      <c r="B866">
        <v>36</v>
      </c>
      <c r="C866" t="s">
        <v>23</v>
      </c>
      <c r="D866" t="s">
        <v>17</v>
      </c>
      <c r="E866" t="s">
        <v>35</v>
      </c>
      <c r="F866" t="s">
        <v>38</v>
      </c>
      <c r="G866" t="s">
        <v>37</v>
      </c>
      <c r="H866" t="s">
        <v>30</v>
      </c>
      <c r="I866">
        <v>20</v>
      </c>
      <c r="J866">
        <v>7647</v>
      </c>
      <c r="K866" t="s">
        <v>42</v>
      </c>
      <c r="L866">
        <v>1</v>
      </c>
      <c r="M866">
        <v>1</v>
      </c>
      <c r="N866">
        <v>1</v>
      </c>
      <c r="O866">
        <v>0</v>
      </c>
      <c r="P866">
        <v>12</v>
      </c>
      <c r="Q866" t="s">
        <v>42</v>
      </c>
    </row>
    <row r="867" spans="1:17" x14ac:dyDescent="0.25">
      <c r="A867">
        <v>1800</v>
      </c>
      <c r="B867">
        <v>27</v>
      </c>
      <c r="C867" t="s">
        <v>23</v>
      </c>
      <c r="D867" t="s">
        <v>17</v>
      </c>
      <c r="E867" t="s">
        <v>18</v>
      </c>
      <c r="F867" t="s">
        <v>32</v>
      </c>
      <c r="G867" t="s">
        <v>37</v>
      </c>
      <c r="H867" t="s">
        <v>30</v>
      </c>
      <c r="I867">
        <v>26</v>
      </c>
      <c r="J867">
        <v>10898</v>
      </c>
      <c r="K867" t="s">
        <v>42</v>
      </c>
      <c r="L867">
        <v>4</v>
      </c>
      <c r="M867">
        <v>4</v>
      </c>
      <c r="N867">
        <v>0</v>
      </c>
      <c r="O867">
        <v>0</v>
      </c>
      <c r="P867">
        <v>5</v>
      </c>
      <c r="Q867" t="s">
        <v>22</v>
      </c>
    </row>
    <row r="868" spans="1:17" x14ac:dyDescent="0.25">
      <c r="A868">
        <v>1329</v>
      </c>
      <c r="B868">
        <v>46</v>
      </c>
      <c r="C868" t="s">
        <v>23</v>
      </c>
      <c r="D868" t="s">
        <v>24</v>
      </c>
      <c r="E868" t="s">
        <v>25</v>
      </c>
      <c r="F868" t="s">
        <v>26</v>
      </c>
      <c r="G868" t="s">
        <v>20</v>
      </c>
      <c r="H868" t="s">
        <v>34</v>
      </c>
      <c r="I868">
        <v>5</v>
      </c>
      <c r="J868">
        <v>14664</v>
      </c>
      <c r="K868" t="s">
        <v>22</v>
      </c>
      <c r="L868">
        <v>3</v>
      </c>
      <c r="M868">
        <v>1</v>
      </c>
      <c r="N868">
        <v>11</v>
      </c>
      <c r="O868">
        <v>7</v>
      </c>
      <c r="P868">
        <v>18</v>
      </c>
      <c r="Q868" t="s">
        <v>42</v>
      </c>
    </row>
    <row r="869" spans="1:17" x14ac:dyDescent="0.25">
      <c r="A869">
        <v>1044</v>
      </c>
      <c r="B869">
        <v>37</v>
      </c>
      <c r="C869" t="s">
        <v>16</v>
      </c>
      <c r="D869" t="s">
        <v>27</v>
      </c>
      <c r="E869" t="s">
        <v>31</v>
      </c>
      <c r="F869" t="s">
        <v>32</v>
      </c>
      <c r="G869" t="s">
        <v>20</v>
      </c>
      <c r="H869" t="s">
        <v>21</v>
      </c>
      <c r="I869">
        <v>11</v>
      </c>
      <c r="J869">
        <v>8091</v>
      </c>
      <c r="K869" t="s">
        <v>22</v>
      </c>
      <c r="L869">
        <v>3</v>
      </c>
      <c r="M869">
        <v>1</v>
      </c>
      <c r="N869">
        <v>14</v>
      </c>
      <c r="O869">
        <v>9</v>
      </c>
      <c r="P869">
        <v>15</v>
      </c>
      <c r="Q869" t="s">
        <v>22</v>
      </c>
    </row>
    <row r="870" spans="1:17" x14ac:dyDescent="0.25">
      <c r="A870">
        <v>1443</v>
      </c>
      <c r="B870">
        <v>25</v>
      </c>
      <c r="C870" t="s">
        <v>16</v>
      </c>
      <c r="D870" t="s">
        <v>47</v>
      </c>
      <c r="E870" t="s">
        <v>53</v>
      </c>
      <c r="F870" t="s">
        <v>29</v>
      </c>
      <c r="G870" t="s">
        <v>37</v>
      </c>
      <c r="H870" t="s">
        <v>34</v>
      </c>
      <c r="I870">
        <v>14</v>
      </c>
      <c r="J870">
        <v>12800</v>
      </c>
      <c r="K870" t="s">
        <v>22</v>
      </c>
      <c r="L870">
        <v>2</v>
      </c>
      <c r="M870">
        <v>4</v>
      </c>
      <c r="N870">
        <v>3</v>
      </c>
      <c r="O870">
        <v>3</v>
      </c>
      <c r="P870">
        <v>3</v>
      </c>
      <c r="Q870" t="s">
        <v>42</v>
      </c>
    </row>
    <row r="871" spans="1:17" x14ac:dyDescent="0.25">
      <c r="A871">
        <v>1771</v>
      </c>
      <c r="B871">
        <v>35</v>
      </c>
      <c r="C871" t="s">
        <v>16</v>
      </c>
      <c r="D871" t="s">
        <v>24</v>
      </c>
      <c r="E871" t="s">
        <v>46</v>
      </c>
      <c r="F871" t="s">
        <v>19</v>
      </c>
      <c r="G871" t="s">
        <v>37</v>
      </c>
      <c r="H871" t="s">
        <v>21</v>
      </c>
      <c r="I871">
        <v>17</v>
      </c>
      <c r="J871">
        <v>6792</v>
      </c>
      <c r="K871" t="s">
        <v>22</v>
      </c>
      <c r="L871">
        <v>3</v>
      </c>
      <c r="M871">
        <v>1</v>
      </c>
      <c r="N871">
        <v>0</v>
      </c>
      <c r="O871">
        <v>0</v>
      </c>
      <c r="P871">
        <v>0</v>
      </c>
      <c r="Q871" t="s">
        <v>42</v>
      </c>
    </row>
    <row r="872" spans="1:17" x14ac:dyDescent="0.25">
      <c r="A872">
        <v>1933</v>
      </c>
      <c r="B872">
        <v>44</v>
      </c>
      <c r="C872" t="s">
        <v>16</v>
      </c>
      <c r="D872" t="s">
        <v>17</v>
      </c>
      <c r="E872" t="s">
        <v>40</v>
      </c>
      <c r="F872" t="s">
        <v>36</v>
      </c>
      <c r="G872" t="s">
        <v>37</v>
      </c>
      <c r="H872" t="s">
        <v>30</v>
      </c>
      <c r="I872">
        <v>15</v>
      </c>
      <c r="J872">
        <v>11515</v>
      </c>
      <c r="K872" t="s">
        <v>22</v>
      </c>
      <c r="L872">
        <v>3</v>
      </c>
      <c r="M872">
        <v>4</v>
      </c>
      <c r="N872">
        <v>2</v>
      </c>
      <c r="O872">
        <v>0</v>
      </c>
      <c r="P872">
        <v>23</v>
      </c>
      <c r="Q872" t="s">
        <v>22</v>
      </c>
    </row>
    <row r="873" spans="1:17" x14ac:dyDescent="0.25">
      <c r="A873">
        <v>1417</v>
      </c>
      <c r="B873">
        <v>37</v>
      </c>
      <c r="C873" t="s">
        <v>23</v>
      </c>
      <c r="D873" t="s">
        <v>24</v>
      </c>
      <c r="E873" t="s">
        <v>46</v>
      </c>
      <c r="F873" t="s">
        <v>26</v>
      </c>
      <c r="G873" t="s">
        <v>37</v>
      </c>
      <c r="H873" t="s">
        <v>30</v>
      </c>
      <c r="I873">
        <v>2</v>
      </c>
      <c r="J873">
        <v>9604</v>
      </c>
      <c r="K873" t="s">
        <v>22</v>
      </c>
      <c r="L873">
        <v>4</v>
      </c>
      <c r="M873">
        <v>2</v>
      </c>
      <c r="N873">
        <v>11</v>
      </c>
      <c r="O873">
        <v>8</v>
      </c>
      <c r="P873">
        <v>16</v>
      </c>
      <c r="Q873" t="s">
        <v>22</v>
      </c>
    </row>
    <row r="874" spans="1:17" x14ac:dyDescent="0.25">
      <c r="A874">
        <v>1269</v>
      </c>
      <c r="B874">
        <v>55</v>
      </c>
      <c r="C874" t="s">
        <v>16</v>
      </c>
      <c r="D874" t="s">
        <v>47</v>
      </c>
      <c r="E874" t="s">
        <v>53</v>
      </c>
      <c r="F874" t="s">
        <v>38</v>
      </c>
      <c r="G874" t="s">
        <v>33</v>
      </c>
      <c r="H874" t="s">
        <v>21</v>
      </c>
      <c r="I874">
        <v>23</v>
      </c>
      <c r="J874">
        <v>13746</v>
      </c>
      <c r="K874" t="s">
        <v>22</v>
      </c>
      <c r="L874">
        <v>2</v>
      </c>
      <c r="M874">
        <v>2</v>
      </c>
      <c r="N874">
        <v>19</v>
      </c>
      <c r="O874">
        <v>9</v>
      </c>
      <c r="P874">
        <v>28</v>
      </c>
      <c r="Q874" t="s">
        <v>22</v>
      </c>
    </row>
    <row r="875" spans="1:17" x14ac:dyDescent="0.25">
      <c r="A875">
        <v>1848</v>
      </c>
      <c r="B875">
        <v>58</v>
      </c>
      <c r="C875" t="s">
        <v>16</v>
      </c>
      <c r="D875" t="s">
        <v>104</v>
      </c>
      <c r="E875" t="s">
        <v>46</v>
      </c>
      <c r="F875" t="s">
        <v>26</v>
      </c>
      <c r="G875" t="s">
        <v>37</v>
      </c>
      <c r="H875" t="s">
        <v>21</v>
      </c>
      <c r="I875">
        <v>22</v>
      </c>
      <c r="J875">
        <v>10022</v>
      </c>
      <c r="K875" t="s">
        <v>22</v>
      </c>
      <c r="L875">
        <v>1</v>
      </c>
      <c r="M875">
        <v>1</v>
      </c>
      <c r="N875">
        <v>5</v>
      </c>
      <c r="O875">
        <v>1</v>
      </c>
      <c r="P875">
        <v>38</v>
      </c>
      <c r="Q875" t="s">
        <v>22</v>
      </c>
    </row>
    <row r="876" spans="1:17" x14ac:dyDescent="0.25">
      <c r="A876">
        <v>1231</v>
      </c>
      <c r="B876">
        <v>50</v>
      </c>
      <c r="C876" t="s">
        <v>23</v>
      </c>
      <c r="D876" t="s">
        <v>24</v>
      </c>
      <c r="E876" t="s">
        <v>52</v>
      </c>
      <c r="F876" t="s">
        <v>26</v>
      </c>
      <c r="G876" t="s">
        <v>33</v>
      </c>
      <c r="H876" t="s">
        <v>34</v>
      </c>
      <c r="I876">
        <v>6</v>
      </c>
      <c r="J876">
        <v>11257</v>
      </c>
      <c r="K876" t="s">
        <v>42</v>
      </c>
      <c r="L876">
        <v>1</v>
      </c>
      <c r="M876">
        <v>4</v>
      </c>
      <c r="N876">
        <v>22</v>
      </c>
      <c r="O876">
        <v>1</v>
      </c>
      <c r="P876">
        <v>24</v>
      </c>
      <c r="Q876" t="s">
        <v>22</v>
      </c>
    </row>
    <row r="877" spans="1:17" x14ac:dyDescent="0.25">
      <c r="A877">
        <v>1371</v>
      </c>
      <c r="B877">
        <v>24</v>
      </c>
      <c r="C877" t="s">
        <v>23</v>
      </c>
      <c r="D877" t="s">
        <v>104</v>
      </c>
      <c r="E877" t="s">
        <v>45</v>
      </c>
      <c r="F877" t="s">
        <v>19</v>
      </c>
      <c r="G877" t="s">
        <v>37</v>
      </c>
      <c r="H877" t="s">
        <v>21</v>
      </c>
      <c r="I877">
        <v>23</v>
      </c>
      <c r="J877">
        <v>2908</v>
      </c>
      <c r="K877" t="s">
        <v>42</v>
      </c>
      <c r="L877">
        <v>3</v>
      </c>
      <c r="M877">
        <v>4</v>
      </c>
      <c r="N877">
        <v>0</v>
      </c>
      <c r="O877">
        <v>0</v>
      </c>
      <c r="P877">
        <v>0</v>
      </c>
      <c r="Q877" t="s">
        <v>22</v>
      </c>
    </row>
    <row r="878" spans="1:17" x14ac:dyDescent="0.25">
      <c r="A878">
        <v>1641</v>
      </c>
      <c r="B878">
        <v>28</v>
      </c>
      <c r="C878" t="s">
        <v>16</v>
      </c>
      <c r="D878" t="s">
        <v>24</v>
      </c>
      <c r="E878" t="s">
        <v>45</v>
      </c>
      <c r="F878" t="s">
        <v>32</v>
      </c>
      <c r="G878" t="s">
        <v>33</v>
      </c>
      <c r="H878" t="s">
        <v>21</v>
      </c>
      <c r="I878">
        <v>4</v>
      </c>
      <c r="J878">
        <v>7721</v>
      </c>
      <c r="K878" t="s">
        <v>42</v>
      </c>
      <c r="L878">
        <v>4</v>
      </c>
      <c r="M878">
        <v>2</v>
      </c>
      <c r="N878">
        <v>0</v>
      </c>
      <c r="O878">
        <v>0</v>
      </c>
      <c r="P878">
        <v>0</v>
      </c>
      <c r="Q878" t="s">
        <v>22</v>
      </c>
    </row>
    <row r="879" spans="1:17" x14ac:dyDescent="0.25">
      <c r="A879">
        <v>1860</v>
      </c>
      <c r="B879">
        <v>39</v>
      </c>
      <c r="C879" t="s">
        <v>23</v>
      </c>
      <c r="D879" t="s">
        <v>17</v>
      </c>
      <c r="E879" t="s">
        <v>35</v>
      </c>
      <c r="F879" t="s">
        <v>41</v>
      </c>
      <c r="G879" t="s">
        <v>37</v>
      </c>
      <c r="H879" t="s">
        <v>34</v>
      </c>
      <c r="I879">
        <v>14</v>
      </c>
      <c r="J879">
        <v>6040</v>
      </c>
      <c r="K879" t="s">
        <v>42</v>
      </c>
      <c r="L879">
        <v>4</v>
      </c>
      <c r="M879">
        <v>1</v>
      </c>
      <c r="N879">
        <v>1</v>
      </c>
      <c r="O879">
        <v>1</v>
      </c>
      <c r="P879">
        <v>9</v>
      </c>
      <c r="Q879" t="s">
        <v>95</v>
      </c>
    </row>
    <row r="880" spans="1:17" x14ac:dyDescent="0.25">
      <c r="A880">
        <v>1947</v>
      </c>
      <c r="B880">
        <v>21</v>
      </c>
      <c r="C880" t="s">
        <v>16</v>
      </c>
      <c r="D880" t="s">
        <v>24</v>
      </c>
      <c r="E880" t="s">
        <v>52</v>
      </c>
      <c r="F880" t="s">
        <v>38</v>
      </c>
      <c r="G880" t="s">
        <v>37</v>
      </c>
      <c r="H880" t="s">
        <v>21</v>
      </c>
      <c r="I880">
        <v>1</v>
      </c>
      <c r="J880">
        <v>3458</v>
      </c>
      <c r="K880" t="s">
        <v>22</v>
      </c>
      <c r="L880">
        <v>4</v>
      </c>
      <c r="M880">
        <v>2</v>
      </c>
      <c r="N880">
        <v>0</v>
      </c>
      <c r="O880">
        <v>0</v>
      </c>
      <c r="P880">
        <v>0</v>
      </c>
      <c r="Q880" t="s">
        <v>22</v>
      </c>
    </row>
    <row r="881" spans="1:17" x14ac:dyDescent="0.25">
      <c r="A881">
        <v>1772</v>
      </c>
      <c r="B881">
        <v>46</v>
      </c>
      <c r="C881" t="s">
        <v>23</v>
      </c>
      <c r="D881" t="s">
        <v>38</v>
      </c>
      <c r="E881" t="s">
        <v>49</v>
      </c>
      <c r="F881" t="s">
        <v>19</v>
      </c>
      <c r="G881" t="s">
        <v>33</v>
      </c>
      <c r="H881" t="s">
        <v>34</v>
      </c>
      <c r="I881">
        <v>26</v>
      </c>
      <c r="J881">
        <v>15044</v>
      </c>
      <c r="K881" t="s">
        <v>22</v>
      </c>
      <c r="L881">
        <v>4</v>
      </c>
      <c r="M881">
        <v>2</v>
      </c>
      <c r="N881">
        <v>4</v>
      </c>
      <c r="O881">
        <v>4</v>
      </c>
      <c r="P881">
        <v>23</v>
      </c>
      <c r="Q881" t="s">
        <v>22</v>
      </c>
    </row>
    <row r="882" spans="1:17" x14ac:dyDescent="0.25">
      <c r="A882">
        <v>1642</v>
      </c>
      <c r="B882">
        <v>23</v>
      </c>
      <c r="C882" t="s">
        <v>23</v>
      </c>
      <c r="D882" t="s">
        <v>24</v>
      </c>
      <c r="E882" t="s">
        <v>52</v>
      </c>
      <c r="F882" t="s">
        <v>41</v>
      </c>
      <c r="G882" t="s">
        <v>33</v>
      </c>
      <c r="H882" t="s">
        <v>30</v>
      </c>
      <c r="I882">
        <v>16</v>
      </c>
      <c r="J882">
        <v>4446</v>
      </c>
      <c r="K882" t="s">
        <v>22</v>
      </c>
      <c r="L882">
        <v>4</v>
      </c>
      <c r="M882">
        <v>4</v>
      </c>
      <c r="N882">
        <v>0</v>
      </c>
      <c r="O882">
        <v>0</v>
      </c>
      <c r="P882">
        <v>0</v>
      </c>
      <c r="Q882" t="s">
        <v>42</v>
      </c>
    </row>
    <row r="883" spans="1:17" x14ac:dyDescent="0.25">
      <c r="A883">
        <v>1253</v>
      </c>
      <c r="B883">
        <v>60</v>
      </c>
      <c r="C883" t="s">
        <v>87</v>
      </c>
      <c r="D883" t="s">
        <v>17</v>
      </c>
      <c r="E883" t="s">
        <v>18</v>
      </c>
      <c r="F883" t="s">
        <v>36</v>
      </c>
      <c r="G883" t="s">
        <v>33</v>
      </c>
      <c r="H883" t="s">
        <v>21</v>
      </c>
      <c r="I883">
        <v>20</v>
      </c>
      <c r="J883">
        <v>15985</v>
      </c>
      <c r="K883" t="s">
        <v>22</v>
      </c>
      <c r="L883">
        <v>4</v>
      </c>
      <c r="M883">
        <v>1</v>
      </c>
      <c r="N883">
        <v>3</v>
      </c>
      <c r="O883">
        <v>2</v>
      </c>
      <c r="P883">
        <v>40</v>
      </c>
      <c r="Q883" t="s">
        <v>42</v>
      </c>
    </row>
    <row r="884" spans="1:17" x14ac:dyDescent="0.25">
      <c r="A884">
        <v>1169</v>
      </c>
      <c r="B884">
        <v>39</v>
      </c>
      <c r="C884" t="s">
        <v>16</v>
      </c>
      <c r="D884" t="s">
        <v>24</v>
      </c>
      <c r="E884" t="s">
        <v>45</v>
      </c>
      <c r="F884" t="s">
        <v>41</v>
      </c>
      <c r="G884" t="s">
        <v>20</v>
      </c>
      <c r="H884" t="s">
        <v>30</v>
      </c>
      <c r="I884">
        <v>10</v>
      </c>
      <c r="J884">
        <v>7995</v>
      </c>
      <c r="K884" t="s">
        <v>42</v>
      </c>
      <c r="L884">
        <v>2</v>
      </c>
      <c r="M884">
        <v>4</v>
      </c>
      <c r="N884">
        <v>4</v>
      </c>
      <c r="O884">
        <v>1</v>
      </c>
      <c r="P884">
        <v>13</v>
      </c>
      <c r="Q884" t="s">
        <v>42</v>
      </c>
    </row>
    <row r="885" spans="1:17" x14ac:dyDescent="0.25">
      <c r="A885">
        <v>1580</v>
      </c>
      <c r="B885">
        <v>30</v>
      </c>
      <c r="C885" t="s">
        <v>23</v>
      </c>
      <c r="D885" t="s">
        <v>17</v>
      </c>
      <c r="E885" t="s">
        <v>35</v>
      </c>
      <c r="F885" t="s">
        <v>38</v>
      </c>
      <c r="G885" t="s">
        <v>33</v>
      </c>
      <c r="H885" t="s">
        <v>30</v>
      </c>
      <c r="I885">
        <v>13</v>
      </c>
      <c r="J885">
        <v>6514</v>
      </c>
      <c r="K885" t="s">
        <v>22</v>
      </c>
      <c r="L885">
        <v>3</v>
      </c>
      <c r="M885">
        <v>1</v>
      </c>
      <c r="N885">
        <v>0</v>
      </c>
      <c r="O885">
        <v>0</v>
      </c>
      <c r="P885">
        <v>6</v>
      </c>
      <c r="Q885" t="s">
        <v>42</v>
      </c>
    </row>
    <row r="886" spans="1:17" x14ac:dyDescent="0.25">
      <c r="A886">
        <v>1075</v>
      </c>
      <c r="B886">
        <v>23</v>
      </c>
      <c r="C886" t="s">
        <v>23</v>
      </c>
      <c r="D886" t="s">
        <v>24</v>
      </c>
      <c r="E886" t="s">
        <v>25</v>
      </c>
      <c r="F886" t="s">
        <v>36</v>
      </c>
      <c r="G886" t="s">
        <v>33</v>
      </c>
      <c r="H886" t="s">
        <v>21</v>
      </c>
      <c r="I886">
        <v>21</v>
      </c>
      <c r="J886">
        <v>9642</v>
      </c>
      <c r="K886" t="s">
        <v>22</v>
      </c>
      <c r="L886">
        <v>4</v>
      </c>
      <c r="M886">
        <v>1</v>
      </c>
      <c r="N886">
        <v>0</v>
      </c>
      <c r="O886">
        <v>0</v>
      </c>
      <c r="P886">
        <v>0</v>
      </c>
      <c r="Q886" t="s">
        <v>22</v>
      </c>
    </row>
    <row r="887" spans="1:17" x14ac:dyDescent="0.25">
      <c r="A887">
        <v>1526</v>
      </c>
      <c r="B887">
        <v>36</v>
      </c>
      <c r="C887" t="s">
        <v>16</v>
      </c>
      <c r="D887" t="s">
        <v>24</v>
      </c>
      <c r="E887" t="s">
        <v>45</v>
      </c>
      <c r="F887" t="s">
        <v>32</v>
      </c>
      <c r="G887" t="s">
        <v>37</v>
      </c>
      <c r="H887" t="s">
        <v>30</v>
      </c>
      <c r="I887">
        <v>16</v>
      </c>
      <c r="J887">
        <v>5493</v>
      </c>
      <c r="K887" t="s">
        <v>22</v>
      </c>
      <c r="L887">
        <v>2</v>
      </c>
      <c r="M887">
        <v>2</v>
      </c>
      <c r="N887">
        <v>3</v>
      </c>
      <c r="O887">
        <v>3</v>
      </c>
      <c r="P887">
        <v>5</v>
      </c>
      <c r="Q887" t="s">
        <v>22</v>
      </c>
    </row>
    <row r="888" spans="1:17" x14ac:dyDescent="0.25">
      <c r="A888">
        <v>1909</v>
      </c>
      <c r="B888">
        <v>40</v>
      </c>
      <c r="C888" t="s">
        <v>23</v>
      </c>
      <c r="D888" t="s">
        <v>24</v>
      </c>
      <c r="E888" t="s">
        <v>46</v>
      </c>
      <c r="F888" t="s">
        <v>32</v>
      </c>
      <c r="G888" t="s">
        <v>33</v>
      </c>
      <c r="H888" t="s">
        <v>34</v>
      </c>
      <c r="I888">
        <v>27</v>
      </c>
      <c r="J888">
        <v>9194</v>
      </c>
      <c r="K888" t="s">
        <v>22</v>
      </c>
      <c r="L888">
        <v>3</v>
      </c>
      <c r="M888">
        <v>1</v>
      </c>
      <c r="N888">
        <v>1</v>
      </c>
      <c r="O888">
        <v>0</v>
      </c>
      <c r="P888">
        <v>20</v>
      </c>
      <c r="Q888" t="s">
        <v>22</v>
      </c>
    </row>
    <row r="889" spans="1:17" x14ac:dyDescent="0.25">
      <c r="A889">
        <v>1070</v>
      </c>
      <c r="B889">
        <v>53</v>
      </c>
      <c r="C889" t="s">
        <v>16</v>
      </c>
      <c r="D889" t="s">
        <v>27</v>
      </c>
      <c r="E889" t="s">
        <v>44</v>
      </c>
      <c r="F889" t="s">
        <v>32</v>
      </c>
      <c r="G889" t="s">
        <v>33</v>
      </c>
      <c r="H889" t="s">
        <v>30</v>
      </c>
      <c r="I889">
        <v>15</v>
      </c>
      <c r="J889">
        <v>10587</v>
      </c>
      <c r="K889" t="s">
        <v>22</v>
      </c>
      <c r="L889">
        <v>3</v>
      </c>
      <c r="M889">
        <v>3</v>
      </c>
      <c r="N889">
        <v>5</v>
      </c>
      <c r="O889">
        <v>2</v>
      </c>
      <c r="P889">
        <v>25</v>
      </c>
      <c r="Q889" t="s">
        <v>22</v>
      </c>
    </row>
    <row r="890" spans="1:17" x14ac:dyDescent="0.25">
      <c r="A890">
        <v>1779</v>
      </c>
      <c r="B890">
        <v>58</v>
      </c>
      <c r="C890" t="s">
        <v>107</v>
      </c>
      <c r="D890" t="s">
        <v>17</v>
      </c>
      <c r="E890" t="s">
        <v>35</v>
      </c>
      <c r="F890" t="s">
        <v>36</v>
      </c>
      <c r="G890" t="s">
        <v>37</v>
      </c>
      <c r="H890" t="s">
        <v>34</v>
      </c>
      <c r="I890">
        <v>17</v>
      </c>
      <c r="J890" t="s">
        <v>151</v>
      </c>
      <c r="K890" t="s">
        <v>22</v>
      </c>
      <c r="L890">
        <v>1</v>
      </c>
      <c r="M890">
        <v>2</v>
      </c>
      <c r="N890">
        <v>21</v>
      </c>
      <c r="O890">
        <v>8</v>
      </c>
      <c r="P890">
        <v>34</v>
      </c>
      <c r="Q890" t="s">
        <v>22</v>
      </c>
    </row>
    <row r="891" spans="1:17" x14ac:dyDescent="0.25">
      <c r="A891">
        <v>1916</v>
      </c>
      <c r="B891">
        <v>42</v>
      </c>
      <c r="C891" t="s">
        <v>16</v>
      </c>
      <c r="D891" t="s">
        <v>47</v>
      </c>
      <c r="E891" t="s">
        <v>48</v>
      </c>
      <c r="F891" t="s">
        <v>32</v>
      </c>
      <c r="G891" t="s">
        <v>33</v>
      </c>
      <c r="H891" t="s">
        <v>34</v>
      </c>
      <c r="I891">
        <v>20</v>
      </c>
      <c r="J891">
        <v>6437</v>
      </c>
      <c r="K891" t="s">
        <v>42</v>
      </c>
      <c r="L891">
        <v>2</v>
      </c>
      <c r="M891">
        <v>2</v>
      </c>
      <c r="N891">
        <v>1</v>
      </c>
      <c r="O891">
        <v>0</v>
      </c>
      <c r="P891">
        <v>10</v>
      </c>
      <c r="Q891" t="s">
        <v>22</v>
      </c>
    </row>
    <row r="892" spans="1:17" x14ac:dyDescent="0.25">
      <c r="A892">
        <v>1149</v>
      </c>
      <c r="B892">
        <v>45</v>
      </c>
      <c r="C892" t="s">
        <v>16</v>
      </c>
      <c r="D892" t="s">
        <v>17</v>
      </c>
      <c r="E892" t="s">
        <v>40</v>
      </c>
      <c r="F892" t="s">
        <v>19</v>
      </c>
      <c r="G892" t="s">
        <v>33</v>
      </c>
      <c r="H892" t="s">
        <v>21</v>
      </c>
      <c r="I892">
        <v>25</v>
      </c>
      <c r="J892">
        <v>8552</v>
      </c>
      <c r="K892" t="s">
        <v>22</v>
      </c>
      <c r="L892">
        <v>2</v>
      </c>
      <c r="M892">
        <v>3</v>
      </c>
      <c r="N892">
        <v>1</v>
      </c>
      <c r="O892">
        <v>0</v>
      </c>
      <c r="P892">
        <v>15</v>
      </c>
      <c r="Q892" t="s">
        <v>22</v>
      </c>
    </row>
    <row r="893" spans="1:17" x14ac:dyDescent="0.25">
      <c r="A893">
        <v>1932</v>
      </c>
      <c r="B893">
        <v>38</v>
      </c>
      <c r="C893" t="s">
        <v>23</v>
      </c>
      <c r="D893" t="s">
        <v>24</v>
      </c>
      <c r="E893" t="s">
        <v>25</v>
      </c>
      <c r="F893" t="s">
        <v>41</v>
      </c>
      <c r="G893" t="s">
        <v>20</v>
      </c>
      <c r="H893" t="s">
        <v>34</v>
      </c>
      <c r="I893">
        <v>17</v>
      </c>
      <c r="J893">
        <v>11120</v>
      </c>
      <c r="K893" t="s">
        <v>42</v>
      </c>
      <c r="L893">
        <v>1</v>
      </c>
      <c r="M893">
        <v>4</v>
      </c>
      <c r="N893">
        <v>3</v>
      </c>
      <c r="O893">
        <v>3</v>
      </c>
      <c r="P893">
        <v>16</v>
      </c>
      <c r="Q893" t="s">
        <v>22</v>
      </c>
    </row>
    <row r="894" spans="1:17" x14ac:dyDescent="0.25">
      <c r="A894">
        <v>1879</v>
      </c>
      <c r="B894">
        <v>46</v>
      </c>
      <c r="C894" t="s">
        <v>16</v>
      </c>
      <c r="D894" t="s">
        <v>27</v>
      </c>
      <c r="E894" t="s">
        <v>44</v>
      </c>
      <c r="F894" t="s">
        <v>41</v>
      </c>
      <c r="G894" t="s">
        <v>20</v>
      </c>
      <c r="H894" t="s">
        <v>21</v>
      </c>
      <c r="I894">
        <v>15</v>
      </c>
      <c r="J894">
        <v>14566</v>
      </c>
      <c r="K894" t="s">
        <v>22</v>
      </c>
      <c r="L894">
        <v>4</v>
      </c>
      <c r="M894">
        <v>3</v>
      </c>
      <c r="N894">
        <v>25</v>
      </c>
      <c r="O894">
        <v>16</v>
      </c>
      <c r="P894">
        <v>26</v>
      </c>
      <c r="Q894" t="s">
        <v>42</v>
      </c>
    </row>
    <row r="895" spans="1:17" x14ac:dyDescent="0.25">
      <c r="A895">
        <v>1131</v>
      </c>
      <c r="B895">
        <v>22</v>
      </c>
      <c r="C895" t="s">
        <v>23</v>
      </c>
      <c r="D895" t="s">
        <v>27</v>
      </c>
      <c r="E895" t="s">
        <v>43</v>
      </c>
      <c r="F895" t="s">
        <v>32</v>
      </c>
      <c r="G895" t="s">
        <v>20</v>
      </c>
      <c r="H895" t="s">
        <v>30</v>
      </c>
      <c r="I895">
        <v>5</v>
      </c>
      <c r="J895">
        <v>5142</v>
      </c>
      <c r="K895" t="s">
        <v>22</v>
      </c>
      <c r="L895">
        <v>1</v>
      </c>
      <c r="M895">
        <v>4</v>
      </c>
      <c r="N895">
        <v>0</v>
      </c>
      <c r="O895">
        <v>0</v>
      </c>
      <c r="P895">
        <v>0</v>
      </c>
      <c r="Q895" t="s">
        <v>42</v>
      </c>
    </row>
    <row r="896" spans="1:17" x14ac:dyDescent="0.25">
      <c r="A896">
        <v>1684</v>
      </c>
      <c r="B896">
        <v>44</v>
      </c>
      <c r="C896" t="s">
        <v>23</v>
      </c>
      <c r="D896" t="s">
        <v>17</v>
      </c>
      <c r="E896" t="s">
        <v>18</v>
      </c>
      <c r="F896" t="s">
        <v>19</v>
      </c>
      <c r="G896" t="s">
        <v>20</v>
      </c>
      <c r="H896" t="s">
        <v>30</v>
      </c>
      <c r="I896">
        <v>25</v>
      </c>
      <c r="J896" t="s">
        <v>152</v>
      </c>
      <c r="K896" t="s">
        <v>22</v>
      </c>
      <c r="L896">
        <v>1</v>
      </c>
      <c r="M896">
        <v>2</v>
      </c>
      <c r="N896">
        <v>13</v>
      </c>
      <c r="O896">
        <v>7</v>
      </c>
      <c r="P896">
        <v>24</v>
      </c>
      <c r="Q896" t="s">
        <v>22</v>
      </c>
    </row>
    <row r="897" spans="1:17" x14ac:dyDescent="0.25">
      <c r="A897">
        <v>1150</v>
      </c>
      <c r="B897">
        <v>53</v>
      </c>
      <c r="C897" t="s">
        <v>16</v>
      </c>
      <c r="D897" t="s">
        <v>47</v>
      </c>
      <c r="E897" t="s">
        <v>53</v>
      </c>
      <c r="F897" t="s">
        <v>26</v>
      </c>
      <c r="G897" t="s">
        <v>37</v>
      </c>
      <c r="H897" t="s">
        <v>21</v>
      </c>
      <c r="I897">
        <v>21</v>
      </c>
      <c r="J897">
        <v>15784</v>
      </c>
      <c r="K897" t="s">
        <v>22</v>
      </c>
      <c r="L897">
        <v>4</v>
      </c>
      <c r="M897">
        <v>1</v>
      </c>
      <c r="N897">
        <v>1</v>
      </c>
      <c r="O897">
        <v>0</v>
      </c>
      <c r="P897">
        <v>29</v>
      </c>
      <c r="Q897" t="s">
        <v>22</v>
      </c>
    </row>
    <row r="898" spans="1:17" x14ac:dyDescent="0.25">
      <c r="A898">
        <v>1073</v>
      </c>
      <c r="B898">
        <v>51</v>
      </c>
      <c r="C898" t="s">
        <v>16</v>
      </c>
      <c r="D898" t="s">
        <v>47</v>
      </c>
      <c r="E898" t="s">
        <v>50</v>
      </c>
      <c r="F898" t="s">
        <v>29</v>
      </c>
      <c r="G898" t="s">
        <v>20</v>
      </c>
      <c r="H898" t="s">
        <v>30</v>
      </c>
      <c r="I898">
        <v>24</v>
      </c>
      <c r="J898">
        <v>11802</v>
      </c>
      <c r="K898" t="s">
        <v>22</v>
      </c>
      <c r="L898">
        <v>4</v>
      </c>
      <c r="M898">
        <v>3</v>
      </c>
      <c r="N898">
        <v>17</v>
      </c>
      <c r="O898">
        <v>4</v>
      </c>
      <c r="P898">
        <v>29</v>
      </c>
      <c r="Q898" t="s">
        <v>22</v>
      </c>
    </row>
    <row r="899" spans="1:17" x14ac:dyDescent="0.25">
      <c r="A899">
        <v>1824</v>
      </c>
      <c r="B899">
        <v>49</v>
      </c>
      <c r="C899" t="s">
        <v>16</v>
      </c>
      <c r="D899" t="s">
        <v>24</v>
      </c>
      <c r="E899" t="s">
        <v>52</v>
      </c>
      <c r="F899" t="s">
        <v>38</v>
      </c>
      <c r="G899" t="s">
        <v>33</v>
      </c>
      <c r="H899" t="s">
        <v>34</v>
      </c>
      <c r="I899">
        <v>7</v>
      </c>
      <c r="J899">
        <v>10464</v>
      </c>
      <c r="K899" t="s">
        <v>42</v>
      </c>
      <c r="L899">
        <v>1</v>
      </c>
      <c r="M899">
        <v>2</v>
      </c>
      <c r="N899">
        <v>5</v>
      </c>
      <c r="O899">
        <v>2</v>
      </c>
      <c r="P899">
        <v>27</v>
      </c>
      <c r="Q899" t="s">
        <v>22</v>
      </c>
    </row>
    <row r="900" spans="1:17" x14ac:dyDescent="0.25">
      <c r="A900">
        <v>1880</v>
      </c>
      <c r="B900">
        <v>42</v>
      </c>
      <c r="C900" t="s">
        <v>16</v>
      </c>
      <c r="D900" t="s">
        <v>47</v>
      </c>
      <c r="E900" t="s">
        <v>48</v>
      </c>
      <c r="F900" t="s">
        <v>41</v>
      </c>
      <c r="G900" t="s">
        <v>33</v>
      </c>
      <c r="H900" t="s">
        <v>21</v>
      </c>
      <c r="I900">
        <v>26</v>
      </c>
      <c r="J900">
        <v>9527</v>
      </c>
      <c r="K900" t="s">
        <v>22</v>
      </c>
      <c r="L900">
        <v>2</v>
      </c>
      <c r="M900">
        <v>1</v>
      </c>
      <c r="N900">
        <v>2</v>
      </c>
      <c r="O900">
        <v>1</v>
      </c>
      <c r="P900">
        <v>15</v>
      </c>
      <c r="Q900" t="s">
        <v>22</v>
      </c>
    </row>
    <row r="901" spans="1:17" x14ac:dyDescent="0.25">
      <c r="A901">
        <v>1555</v>
      </c>
      <c r="B901">
        <v>60</v>
      </c>
      <c r="C901" t="s">
        <v>16</v>
      </c>
      <c r="D901" t="s">
        <v>94</v>
      </c>
      <c r="E901" t="s">
        <v>40</v>
      </c>
      <c r="F901" t="s">
        <v>29</v>
      </c>
      <c r="G901" t="s">
        <v>20</v>
      </c>
      <c r="H901" t="s">
        <v>21</v>
      </c>
      <c r="I901">
        <v>19</v>
      </c>
      <c r="J901">
        <v>11064</v>
      </c>
      <c r="K901" t="s">
        <v>22</v>
      </c>
      <c r="L901">
        <v>4</v>
      </c>
      <c r="M901">
        <v>3</v>
      </c>
      <c r="N901">
        <v>10</v>
      </c>
      <c r="O901">
        <v>3</v>
      </c>
      <c r="P901">
        <v>40</v>
      </c>
      <c r="Q901" t="s">
        <v>22</v>
      </c>
    </row>
    <row r="902" spans="1:17" x14ac:dyDescent="0.25">
      <c r="A902">
        <v>1643</v>
      </c>
      <c r="B902">
        <v>31</v>
      </c>
      <c r="C902" t="s">
        <v>16</v>
      </c>
      <c r="D902" t="s">
        <v>17</v>
      </c>
      <c r="E902" t="s">
        <v>18</v>
      </c>
      <c r="F902" t="s">
        <v>38</v>
      </c>
      <c r="G902" t="s">
        <v>37</v>
      </c>
      <c r="H902" t="s">
        <v>30</v>
      </c>
      <c r="I902">
        <v>26</v>
      </c>
      <c r="J902">
        <v>12348</v>
      </c>
      <c r="K902" t="s">
        <v>22</v>
      </c>
      <c r="L902">
        <v>2</v>
      </c>
      <c r="M902">
        <v>4</v>
      </c>
      <c r="N902">
        <v>4</v>
      </c>
      <c r="O902">
        <v>1</v>
      </c>
      <c r="P902">
        <v>7</v>
      </c>
      <c r="Q902" t="s">
        <v>22</v>
      </c>
    </row>
    <row r="903" spans="1:17" x14ac:dyDescent="0.25">
      <c r="A903">
        <v>1649</v>
      </c>
      <c r="B903">
        <v>32</v>
      </c>
      <c r="C903" t="s">
        <v>16</v>
      </c>
      <c r="D903" t="s">
        <v>24</v>
      </c>
      <c r="E903" t="s">
        <v>45</v>
      </c>
      <c r="F903" t="s">
        <v>36</v>
      </c>
      <c r="G903" t="s">
        <v>20</v>
      </c>
      <c r="H903" t="s">
        <v>34</v>
      </c>
      <c r="I903">
        <v>15</v>
      </c>
      <c r="J903">
        <v>6330</v>
      </c>
      <c r="K903" t="s">
        <v>22</v>
      </c>
      <c r="L903">
        <v>3</v>
      </c>
      <c r="M903">
        <v>3</v>
      </c>
      <c r="N903">
        <v>1</v>
      </c>
      <c r="O903">
        <v>0</v>
      </c>
      <c r="P903">
        <v>5</v>
      </c>
      <c r="Q903" t="s">
        <v>22</v>
      </c>
    </row>
    <row r="904" spans="1:17" x14ac:dyDescent="0.25">
      <c r="A904">
        <v>1567</v>
      </c>
      <c r="B904">
        <v>28</v>
      </c>
      <c r="C904" t="s">
        <v>23</v>
      </c>
      <c r="D904" t="s">
        <v>17</v>
      </c>
      <c r="E904" t="s">
        <v>18</v>
      </c>
      <c r="F904" t="s">
        <v>41</v>
      </c>
      <c r="G904" t="s">
        <v>37</v>
      </c>
      <c r="H904" t="s">
        <v>30</v>
      </c>
      <c r="I904">
        <v>26</v>
      </c>
      <c r="J904">
        <v>10116</v>
      </c>
      <c r="K904" t="s">
        <v>22</v>
      </c>
      <c r="L904">
        <v>3</v>
      </c>
      <c r="M904">
        <v>3</v>
      </c>
      <c r="N904">
        <v>8</v>
      </c>
      <c r="O904">
        <v>4</v>
      </c>
      <c r="P904">
        <v>8</v>
      </c>
      <c r="Q904" t="s">
        <v>22</v>
      </c>
    </row>
    <row r="905" spans="1:17" x14ac:dyDescent="0.25">
      <c r="A905">
        <v>1398</v>
      </c>
      <c r="B905">
        <v>57</v>
      </c>
      <c r="C905" t="s">
        <v>23</v>
      </c>
      <c r="D905" t="s">
        <v>17</v>
      </c>
      <c r="E905" t="s">
        <v>35</v>
      </c>
      <c r="F905" t="s">
        <v>26</v>
      </c>
      <c r="G905" t="s">
        <v>20</v>
      </c>
      <c r="H905" t="s">
        <v>21</v>
      </c>
      <c r="I905">
        <v>17</v>
      </c>
      <c r="J905">
        <v>11538</v>
      </c>
      <c r="K905" t="s">
        <v>42</v>
      </c>
      <c r="L905">
        <v>3</v>
      </c>
      <c r="M905">
        <v>4</v>
      </c>
      <c r="N905">
        <v>9</v>
      </c>
      <c r="O905">
        <v>9</v>
      </c>
      <c r="P905">
        <v>33</v>
      </c>
      <c r="Q905" t="s">
        <v>42</v>
      </c>
    </row>
    <row r="906" spans="1:17" x14ac:dyDescent="0.25">
      <c r="A906">
        <v>1177</v>
      </c>
      <c r="B906">
        <v>26</v>
      </c>
      <c r="C906" t="s">
        <v>23</v>
      </c>
      <c r="D906" t="s">
        <v>17</v>
      </c>
      <c r="E906" t="s">
        <v>35</v>
      </c>
      <c r="F906" t="s">
        <v>32</v>
      </c>
      <c r="G906" t="s">
        <v>20</v>
      </c>
      <c r="H906" t="s">
        <v>30</v>
      </c>
      <c r="I906">
        <v>14</v>
      </c>
      <c r="J906">
        <v>4447</v>
      </c>
      <c r="K906" t="s">
        <v>22</v>
      </c>
      <c r="L906">
        <v>2</v>
      </c>
      <c r="M906">
        <v>2</v>
      </c>
      <c r="N906">
        <v>0</v>
      </c>
      <c r="O906">
        <v>0</v>
      </c>
      <c r="P906">
        <v>0</v>
      </c>
      <c r="Q906" t="s">
        <v>22</v>
      </c>
    </row>
    <row r="907" spans="1:17" x14ac:dyDescent="0.25">
      <c r="A907">
        <v>1102</v>
      </c>
      <c r="B907">
        <v>25</v>
      </c>
      <c r="C907" t="s">
        <v>16</v>
      </c>
      <c r="D907" t="s">
        <v>27</v>
      </c>
      <c r="E907" t="s">
        <v>44</v>
      </c>
      <c r="F907" t="s">
        <v>36</v>
      </c>
      <c r="G907" t="s">
        <v>20</v>
      </c>
      <c r="H907" t="s">
        <v>34</v>
      </c>
      <c r="I907">
        <v>29</v>
      </c>
      <c r="J907">
        <v>5166</v>
      </c>
      <c r="K907" t="s">
        <v>22</v>
      </c>
      <c r="L907">
        <v>1</v>
      </c>
      <c r="M907">
        <v>2</v>
      </c>
      <c r="N907">
        <v>0</v>
      </c>
      <c r="O907">
        <v>0</v>
      </c>
      <c r="P907">
        <v>1</v>
      </c>
      <c r="Q907" t="s">
        <v>42</v>
      </c>
    </row>
    <row r="908" spans="1:17" x14ac:dyDescent="0.25">
      <c r="A908">
        <v>1220</v>
      </c>
      <c r="B908">
        <v>27</v>
      </c>
      <c r="C908" t="s">
        <v>16</v>
      </c>
      <c r="D908" t="s">
        <v>38</v>
      </c>
      <c r="E908" t="s">
        <v>39</v>
      </c>
      <c r="F908" t="s">
        <v>38</v>
      </c>
      <c r="G908" t="s">
        <v>20</v>
      </c>
      <c r="H908" t="s">
        <v>30</v>
      </c>
      <c r="I908">
        <v>5</v>
      </c>
      <c r="J908">
        <v>3775</v>
      </c>
      <c r="K908" t="s">
        <v>22</v>
      </c>
      <c r="L908">
        <v>1</v>
      </c>
      <c r="M908">
        <v>3</v>
      </c>
      <c r="N908">
        <v>1</v>
      </c>
      <c r="O908">
        <v>1</v>
      </c>
      <c r="P908">
        <v>7</v>
      </c>
      <c r="Q908" t="s">
        <v>22</v>
      </c>
    </row>
    <row r="909" spans="1:17" x14ac:dyDescent="0.25">
      <c r="A909">
        <v>1491</v>
      </c>
      <c r="B909">
        <v>41</v>
      </c>
      <c r="C909" t="s">
        <v>16</v>
      </c>
      <c r="D909" t="s">
        <v>17</v>
      </c>
      <c r="E909" t="s">
        <v>35</v>
      </c>
      <c r="F909" t="s">
        <v>41</v>
      </c>
      <c r="G909" t="s">
        <v>20</v>
      </c>
      <c r="H909" t="s">
        <v>30</v>
      </c>
      <c r="I909">
        <v>2</v>
      </c>
      <c r="J909">
        <v>7923</v>
      </c>
      <c r="K909" t="s">
        <v>42</v>
      </c>
      <c r="L909">
        <v>2</v>
      </c>
      <c r="M909">
        <v>3</v>
      </c>
      <c r="N909">
        <v>10</v>
      </c>
      <c r="O909">
        <v>8</v>
      </c>
      <c r="P909">
        <v>18</v>
      </c>
      <c r="Q909" t="s">
        <v>22</v>
      </c>
    </row>
    <row r="910" spans="1:17" x14ac:dyDescent="0.25">
      <c r="A910">
        <v>1953</v>
      </c>
      <c r="B910">
        <v>26</v>
      </c>
      <c r="C910" t="s">
        <v>23</v>
      </c>
      <c r="D910" t="s">
        <v>17</v>
      </c>
      <c r="E910" t="s">
        <v>40</v>
      </c>
      <c r="F910" t="s">
        <v>38</v>
      </c>
      <c r="G910" t="s">
        <v>20</v>
      </c>
      <c r="H910" t="s">
        <v>30</v>
      </c>
      <c r="I910">
        <v>1</v>
      </c>
      <c r="J910">
        <v>6433</v>
      </c>
      <c r="K910" t="s">
        <v>22</v>
      </c>
      <c r="L910">
        <v>2</v>
      </c>
      <c r="M910">
        <v>1</v>
      </c>
      <c r="N910">
        <v>0</v>
      </c>
      <c r="O910">
        <v>0</v>
      </c>
      <c r="P910">
        <v>2</v>
      </c>
      <c r="Q910" t="s">
        <v>22</v>
      </c>
    </row>
    <row r="911" spans="1:17" x14ac:dyDescent="0.25">
      <c r="A911">
        <v>1976</v>
      </c>
      <c r="B911">
        <v>36</v>
      </c>
      <c r="C911" t="s">
        <v>23</v>
      </c>
      <c r="D911" t="s">
        <v>24</v>
      </c>
      <c r="E911" t="s">
        <v>46</v>
      </c>
      <c r="G911" t="s">
        <v>33</v>
      </c>
      <c r="H911" t="s">
        <v>34</v>
      </c>
      <c r="I911">
        <v>2</v>
      </c>
      <c r="J911">
        <v>8232</v>
      </c>
      <c r="K911" t="s">
        <v>22</v>
      </c>
      <c r="L911">
        <v>1</v>
      </c>
      <c r="M911">
        <v>2</v>
      </c>
      <c r="N911">
        <v>10</v>
      </c>
      <c r="O911">
        <v>8</v>
      </c>
      <c r="P911">
        <v>12</v>
      </c>
      <c r="Q911" t="s">
        <v>42</v>
      </c>
    </row>
    <row r="912" spans="1:17" x14ac:dyDescent="0.25">
      <c r="A912">
        <v>1680</v>
      </c>
      <c r="B912">
        <v>45</v>
      </c>
      <c r="C912" t="s">
        <v>16</v>
      </c>
      <c r="D912" t="s">
        <v>24</v>
      </c>
      <c r="E912" t="s">
        <v>25</v>
      </c>
      <c r="F912" t="s">
        <v>19</v>
      </c>
      <c r="G912" t="s">
        <v>37</v>
      </c>
      <c r="H912" t="s">
        <v>34</v>
      </c>
      <c r="I912">
        <v>14</v>
      </c>
      <c r="J912">
        <v>12853</v>
      </c>
      <c r="K912" t="s">
        <v>42</v>
      </c>
      <c r="L912">
        <v>3</v>
      </c>
      <c r="M912">
        <v>3</v>
      </c>
      <c r="N912">
        <v>4</v>
      </c>
      <c r="O912">
        <v>3</v>
      </c>
      <c r="P912">
        <v>15</v>
      </c>
      <c r="Q912" t="s">
        <v>22</v>
      </c>
    </row>
    <row r="913" spans="1:17" x14ac:dyDescent="0.25">
      <c r="A913">
        <v>1194</v>
      </c>
      <c r="B913">
        <v>46</v>
      </c>
      <c r="C913" t="s">
        <v>23</v>
      </c>
      <c r="D913" t="s">
        <v>27</v>
      </c>
      <c r="E913" t="s">
        <v>43</v>
      </c>
      <c r="F913" t="s">
        <v>41</v>
      </c>
      <c r="G913" t="s">
        <v>20</v>
      </c>
      <c r="H913" t="s">
        <v>34</v>
      </c>
      <c r="I913">
        <v>13</v>
      </c>
      <c r="J913">
        <v>8151</v>
      </c>
      <c r="K913" t="s">
        <v>22</v>
      </c>
      <c r="M913">
        <v>1</v>
      </c>
      <c r="N913">
        <v>6</v>
      </c>
      <c r="O913">
        <v>0</v>
      </c>
      <c r="P913">
        <v>17</v>
      </c>
      <c r="Q913" t="s">
        <v>22</v>
      </c>
    </row>
    <row r="914" spans="1:17" x14ac:dyDescent="0.25">
      <c r="A914">
        <v>1219</v>
      </c>
      <c r="B914">
        <v>53</v>
      </c>
      <c r="C914" t="s">
        <v>23</v>
      </c>
      <c r="D914" t="s">
        <v>38</v>
      </c>
      <c r="E914" t="s">
        <v>39</v>
      </c>
      <c r="F914" t="s">
        <v>36</v>
      </c>
      <c r="G914" t="s">
        <v>33</v>
      </c>
      <c r="H914" t="s">
        <v>34</v>
      </c>
      <c r="I914">
        <v>28</v>
      </c>
      <c r="J914">
        <v>9293</v>
      </c>
      <c r="K914" t="s">
        <v>22</v>
      </c>
      <c r="L914">
        <v>3</v>
      </c>
      <c r="M914">
        <v>2</v>
      </c>
      <c r="N914">
        <v>19</v>
      </c>
      <c r="O914">
        <v>6</v>
      </c>
      <c r="P914">
        <v>24</v>
      </c>
      <c r="Q914" t="s">
        <v>22</v>
      </c>
    </row>
    <row r="915" spans="1:17" x14ac:dyDescent="0.25">
      <c r="A915">
        <v>1821</v>
      </c>
      <c r="B915">
        <v>31</v>
      </c>
      <c r="C915" t="s">
        <v>23</v>
      </c>
      <c r="D915" t="s">
        <v>38</v>
      </c>
      <c r="E915" t="s">
        <v>39</v>
      </c>
      <c r="F915" t="s">
        <v>41</v>
      </c>
      <c r="G915" t="s">
        <v>20</v>
      </c>
      <c r="H915" t="s">
        <v>34</v>
      </c>
      <c r="I915">
        <v>23</v>
      </c>
      <c r="J915">
        <v>5978</v>
      </c>
      <c r="K915" t="s">
        <v>22</v>
      </c>
      <c r="L915">
        <v>4</v>
      </c>
      <c r="M915">
        <v>4</v>
      </c>
      <c r="N915">
        <v>7</v>
      </c>
      <c r="O915">
        <v>2</v>
      </c>
      <c r="P915">
        <v>10</v>
      </c>
      <c r="Q915" t="s">
        <v>22</v>
      </c>
    </row>
    <row r="916" spans="1:17" x14ac:dyDescent="0.25">
      <c r="A916">
        <v>1492</v>
      </c>
      <c r="B916">
        <v>38</v>
      </c>
      <c r="C916" t="s">
        <v>113</v>
      </c>
      <c r="D916" t="s">
        <v>24</v>
      </c>
      <c r="E916" t="s">
        <v>45</v>
      </c>
      <c r="F916" t="s">
        <v>32</v>
      </c>
      <c r="G916" t="s">
        <v>37</v>
      </c>
      <c r="H916" t="s">
        <v>30</v>
      </c>
      <c r="I916">
        <v>16</v>
      </c>
      <c r="J916">
        <v>8032</v>
      </c>
      <c r="K916" t="s">
        <v>22</v>
      </c>
      <c r="L916">
        <v>4</v>
      </c>
      <c r="M916">
        <v>2</v>
      </c>
      <c r="N916">
        <v>8</v>
      </c>
      <c r="O916">
        <v>8</v>
      </c>
      <c r="P916">
        <v>17</v>
      </c>
      <c r="Q916" t="s">
        <v>22</v>
      </c>
    </row>
    <row r="917" spans="1:17" x14ac:dyDescent="0.25">
      <c r="A917">
        <v>1882</v>
      </c>
      <c r="B917">
        <v>38</v>
      </c>
      <c r="C917" t="s">
        <v>23</v>
      </c>
      <c r="D917" t="s">
        <v>47</v>
      </c>
      <c r="E917" t="s">
        <v>53</v>
      </c>
      <c r="F917" t="s">
        <v>19</v>
      </c>
      <c r="G917" t="s">
        <v>33</v>
      </c>
      <c r="H917" t="s">
        <v>34</v>
      </c>
      <c r="I917">
        <v>26</v>
      </c>
      <c r="J917">
        <v>12245</v>
      </c>
      <c r="K917" t="s">
        <v>22</v>
      </c>
      <c r="L917">
        <v>2</v>
      </c>
      <c r="M917">
        <v>2</v>
      </c>
      <c r="N917">
        <v>2</v>
      </c>
      <c r="O917">
        <v>1</v>
      </c>
      <c r="P917">
        <v>10</v>
      </c>
      <c r="Q917" t="s">
        <v>22</v>
      </c>
    </row>
    <row r="918" spans="1:17" x14ac:dyDescent="0.25">
      <c r="A918">
        <v>1979</v>
      </c>
      <c r="B918">
        <v>52</v>
      </c>
      <c r="C918" t="s">
        <v>16</v>
      </c>
      <c r="D918" t="s">
        <v>17</v>
      </c>
      <c r="E918" t="s">
        <v>35</v>
      </c>
      <c r="F918" t="s">
        <v>19</v>
      </c>
      <c r="G918" t="s">
        <v>20</v>
      </c>
      <c r="H918" t="s">
        <v>34</v>
      </c>
      <c r="I918">
        <v>13</v>
      </c>
      <c r="J918">
        <v>10513</v>
      </c>
      <c r="K918" t="s">
        <v>22</v>
      </c>
      <c r="L918">
        <v>2</v>
      </c>
      <c r="M918">
        <v>3</v>
      </c>
      <c r="N918">
        <v>19</v>
      </c>
      <c r="O918">
        <v>8</v>
      </c>
      <c r="P918">
        <v>20</v>
      </c>
      <c r="Q918" t="s">
        <v>22</v>
      </c>
    </row>
    <row r="919" spans="1:17" x14ac:dyDescent="0.25">
      <c r="A919">
        <v>1328</v>
      </c>
      <c r="B919">
        <v>29</v>
      </c>
      <c r="C919" t="s">
        <v>113</v>
      </c>
      <c r="D919" t="s">
        <v>17</v>
      </c>
      <c r="E919" t="s">
        <v>40</v>
      </c>
      <c r="F919" t="s">
        <v>36</v>
      </c>
      <c r="G919" t="s">
        <v>33</v>
      </c>
      <c r="H919" t="s">
        <v>34</v>
      </c>
      <c r="I919">
        <v>24</v>
      </c>
      <c r="J919">
        <v>7351</v>
      </c>
      <c r="K919" t="s">
        <v>22</v>
      </c>
      <c r="L919">
        <v>3</v>
      </c>
      <c r="M919">
        <v>2</v>
      </c>
      <c r="N919">
        <v>2</v>
      </c>
      <c r="O919">
        <v>0</v>
      </c>
      <c r="P919">
        <v>9</v>
      </c>
      <c r="Q919" t="s">
        <v>42</v>
      </c>
    </row>
    <row r="920" spans="1:17" x14ac:dyDescent="0.25">
      <c r="A920">
        <v>1968</v>
      </c>
      <c r="B920">
        <v>59</v>
      </c>
      <c r="C920" t="s">
        <v>16</v>
      </c>
      <c r="D920" t="s">
        <v>24</v>
      </c>
      <c r="E920" t="s">
        <v>52</v>
      </c>
      <c r="F920" t="s">
        <v>19</v>
      </c>
      <c r="G920" t="s">
        <v>37</v>
      </c>
      <c r="H920" t="s">
        <v>34</v>
      </c>
      <c r="I920">
        <v>7</v>
      </c>
      <c r="J920">
        <v>12907</v>
      </c>
      <c r="K920" t="s">
        <v>22</v>
      </c>
      <c r="L920">
        <v>1</v>
      </c>
      <c r="M920">
        <v>4</v>
      </c>
      <c r="N920">
        <v>14</v>
      </c>
      <c r="O920">
        <v>9</v>
      </c>
      <c r="P920">
        <v>32</v>
      </c>
      <c r="Q920" t="s">
        <v>22</v>
      </c>
    </row>
    <row r="921" spans="1:17" x14ac:dyDescent="0.25">
      <c r="A921">
        <v>1831</v>
      </c>
      <c r="B921">
        <v>41</v>
      </c>
      <c r="C921" t="s">
        <v>16</v>
      </c>
      <c r="D921" t="s">
        <v>24</v>
      </c>
      <c r="E921" t="s">
        <v>45</v>
      </c>
      <c r="F921" t="s">
        <v>38</v>
      </c>
      <c r="G921" t="s">
        <v>37</v>
      </c>
      <c r="H921" t="s">
        <v>21</v>
      </c>
      <c r="I921">
        <v>11</v>
      </c>
      <c r="J921">
        <v>6276</v>
      </c>
      <c r="K921" t="s">
        <v>42</v>
      </c>
      <c r="L921">
        <v>4</v>
      </c>
      <c r="M921">
        <v>1</v>
      </c>
      <c r="N921">
        <v>3</v>
      </c>
      <c r="O921">
        <v>1</v>
      </c>
      <c r="P921">
        <v>21</v>
      </c>
      <c r="Q921" t="s">
        <v>22</v>
      </c>
    </row>
    <row r="922" spans="1:17" x14ac:dyDescent="0.25">
      <c r="A922">
        <v>1902</v>
      </c>
      <c r="B922">
        <v>43</v>
      </c>
      <c r="C922" t="s">
        <v>113</v>
      </c>
      <c r="D922" t="s">
        <v>17</v>
      </c>
      <c r="E922" t="s">
        <v>40</v>
      </c>
      <c r="F922" t="s">
        <v>29</v>
      </c>
      <c r="G922" t="s">
        <v>37</v>
      </c>
      <c r="H922" t="s">
        <v>34</v>
      </c>
      <c r="I922">
        <v>15</v>
      </c>
      <c r="J922">
        <v>6298</v>
      </c>
      <c r="K922" t="s">
        <v>22</v>
      </c>
      <c r="L922">
        <v>1</v>
      </c>
      <c r="M922">
        <v>3</v>
      </c>
      <c r="N922">
        <v>9</v>
      </c>
      <c r="O922">
        <v>6</v>
      </c>
      <c r="P922">
        <v>12</v>
      </c>
      <c r="Q922" t="s">
        <v>22</v>
      </c>
    </row>
    <row r="923" spans="1:17" x14ac:dyDescent="0.25">
      <c r="A923">
        <v>1311</v>
      </c>
      <c r="B923">
        <v>40</v>
      </c>
      <c r="C923" t="s">
        <v>23</v>
      </c>
      <c r="D923" t="s">
        <v>47</v>
      </c>
      <c r="E923" t="s">
        <v>50</v>
      </c>
      <c r="F923" t="s">
        <v>32</v>
      </c>
      <c r="G923" t="s">
        <v>33</v>
      </c>
      <c r="H923" t="s">
        <v>34</v>
      </c>
      <c r="I923">
        <v>8</v>
      </c>
      <c r="J923">
        <v>9881</v>
      </c>
      <c r="K923" t="s">
        <v>42</v>
      </c>
      <c r="L923">
        <v>4</v>
      </c>
      <c r="M923">
        <v>2</v>
      </c>
      <c r="N923">
        <v>4</v>
      </c>
      <c r="O923">
        <v>1</v>
      </c>
      <c r="P923">
        <v>9</v>
      </c>
      <c r="Q923" t="s">
        <v>22</v>
      </c>
    </row>
    <row r="924" spans="1:17" x14ac:dyDescent="0.25">
      <c r="A924">
        <v>1010</v>
      </c>
      <c r="B924">
        <v>54</v>
      </c>
      <c r="C924" t="s">
        <v>16</v>
      </c>
      <c r="D924" t="s">
        <v>17</v>
      </c>
      <c r="E924" t="s">
        <v>40</v>
      </c>
      <c r="F924" t="s">
        <v>26</v>
      </c>
      <c r="G924" t="s">
        <v>20</v>
      </c>
      <c r="H924" t="s">
        <v>34</v>
      </c>
      <c r="I924">
        <v>12</v>
      </c>
      <c r="J924">
        <v>10408</v>
      </c>
      <c r="K924" t="s">
        <v>42</v>
      </c>
      <c r="L924">
        <v>4</v>
      </c>
      <c r="M924">
        <v>1</v>
      </c>
      <c r="N924">
        <v>0</v>
      </c>
      <c r="O924">
        <v>0</v>
      </c>
      <c r="P924">
        <v>34</v>
      </c>
      <c r="Q924" t="s">
        <v>22</v>
      </c>
    </row>
    <row r="925" spans="1:17" x14ac:dyDescent="0.25">
      <c r="A925">
        <v>1544</v>
      </c>
      <c r="B925">
        <v>60</v>
      </c>
      <c r="C925" t="s">
        <v>16</v>
      </c>
      <c r="D925" t="s">
        <v>17</v>
      </c>
      <c r="E925" t="s">
        <v>18</v>
      </c>
      <c r="F925" t="s">
        <v>32</v>
      </c>
      <c r="G925" t="s">
        <v>33</v>
      </c>
      <c r="H925" t="s">
        <v>34</v>
      </c>
      <c r="I925">
        <v>23</v>
      </c>
      <c r="J925">
        <v>16743</v>
      </c>
      <c r="K925" t="s">
        <v>22</v>
      </c>
      <c r="L925">
        <v>1</v>
      </c>
      <c r="M925">
        <v>3</v>
      </c>
      <c r="N925">
        <v>7</v>
      </c>
      <c r="O925">
        <v>7</v>
      </c>
      <c r="P925">
        <v>33</v>
      </c>
      <c r="Q925" t="s">
        <v>22</v>
      </c>
    </row>
    <row r="926" spans="1:17" x14ac:dyDescent="0.25">
      <c r="A926">
        <v>1600</v>
      </c>
      <c r="B926">
        <v>51</v>
      </c>
      <c r="C926" t="s">
        <v>16</v>
      </c>
      <c r="D926" t="s">
        <v>17</v>
      </c>
      <c r="E926" t="s">
        <v>40</v>
      </c>
      <c r="F926" t="s">
        <v>32</v>
      </c>
      <c r="G926" t="s">
        <v>33</v>
      </c>
      <c r="H926" t="s">
        <v>21</v>
      </c>
      <c r="I926">
        <v>12</v>
      </c>
      <c r="J926">
        <v>10245</v>
      </c>
      <c r="K926" t="s">
        <v>42</v>
      </c>
      <c r="L926">
        <v>3</v>
      </c>
      <c r="M926">
        <v>4</v>
      </c>
      <c r="N926">
        <v>22</v>
      </c>
      <c r="O926">
        <v>13</v>
      </c>
      <c r="P926">
        <v>28</v>
      </c>
      <c r="Q926" t="s">
        <v>42</v>
      </c>
    </row>
    <row r="927" spans="1:17" x14ac:dyDescent="0.25">
      <c r="A927">
        <v>1273</v>
      </c>
      <c r="B927">
        <v>32</v>
      </c>
      <c r="C927" t="s">
        <v>16</v>
      </c>
      <c r="D927" t="s">
        <v>17</v>
      </c>
      <c r="E927" t="s">
        <v>35</v>
      </c>
      <c r="F927" t="s">
        <v>36</v>
      </c>
      <c r="G927" t="s">
        <v>33</v>
      </c>
      <c r="H927" t="s">
        <v>34</v>
      </c>
      <c r="I927">
        <v>6</v>
      </c>
      <c r="J927">
        <v>3703</v>
      </c>
      <c r="K927" t="s">
        <v>22</v>
      </c>
      <c r="L927">
        <v>2</v>
      </c>
      <c r="M927">
        <v>2</v>
      </c>
      <c r="N927">
        <v>1</v>
      </c>
      <c r="O927">
        <v>0</v>
      </c>
      <c r="P927">
        <v>1</v>
      </c>
      <c r="Q927" t="s">
        <v>22</v>
      </c>
    </row>
    <row r="928" spans="1:17" x14ac:dyDescent="0.25">
      <c r="A928">
        <v>1682</v>
      </c>
      <c r="B928">
        <v>49</v>
      </c>
      <c r="C928" t="s">
        <v>23</v>
      </c>
      <c r="D928" t="s">
        <v>17</v>
      </c>
      <c r="E928" t="s">
        <v>35</v>
      </c>
      <c r="F928" t="s">
        <v>32</v>
      </c>
      <c r="G928" t="s">
        <v>20</v>
      </c>
      <c r="H928" t="s">
        <v>21</v>
      </c>
      <c r="I928">
        <v>13</v>
      </c>
      <c r="J928">
        <v>6094</v>
      </c>
      <c r="K928" t="s">
        <v>22</v>
      </c>
      <c r="L928">
        <v>2</v>
      </c>
      <c r="M928">
        <v>1</v>
      </c>
      <c r="N928">
        <v>14</v>
      </c>
      <c r="O928">
        <v>1</v>
      </c>
      <c r="P928">
        <v>18</v>
      </c>
      <c r="Q928" t="s">
        <v>22</v>
      </c>
    </row>
    <row r="929" spans="1:17" x14ac:dyDescent="0.25">
      <c r="A929">
        <v>1999</v>
      </c>
      <c r="B929">
        <v>36</v>
      </c>
      <c r="C929" t="s">
        <v>16</v>
      </c>
      <c r="D929" t="s">
        <v>55</v>
      </c>
      <c r="E929" t="s">
        <v>39</v>
      </c>
      <c r="F929" t="s">
        <v>36</v>
      </c>
      <c r="G929" t="s">
        <v>37</v>
      </c>
      <c r="H929" t="s">
        <v>34</v>
      </c>
      <c r="I929">
        <v>20</v>
      </c>
      <c r="J929">
        <v>4589</v>
      </c>
      <c r="K929" t="s">
        <v>42</v>
      </c>
      <c r="L929">
        <v>3</v>
      </c>
      <c r="M929">
        <v>2</v>
      </c>
      <c r="N929">
        <v>3</v>
      </c>
      <c r="O929">
        <v>1</v>
      </c>
      <c r="P929">
        <v>5</v>
      </c>
      <c r="Q929" t="s">
        <v>22</v>
      </c>
    </row>
    <row r="930" spans="1:17" x14ac:dyDescent="0.25">
      <c r="A930">
        <v>1116</v>
      </c>
      <c r="B930">
        <v>40</v>
      </c>
      <c r="C930" t="s">
        <v>16</v>
      </c>
      <c r="D930" t="s">
        <v>96</v>
      </c>
      <c r="E930" t="s">
        <v>46</v>
      </c>
      <c r="F930" t="s">
        <v>26</v>
      </c>
      <c r="G930" t="s">
        <v>20</v>
      </c>
      <c r="H930" t="s">
        <v>30</v>
      </c>
      <c r="I930">
        <v>23</v>
      </c>
      <c r="J930">
        <v>5845</v>
      </c>
      <c r="K930" t="s">
        <v>22</v>
      </c>
      <c r="L930">
        <v>3</v>
      </c>
      <c r="M930">
        <v>2</v>
      </c>
      <c r="N930">
        <v>8</v>
      </c>
      <c r="O930">
        <v>8</v>
      </c>
      <c r="P930">
        <v>12</v>
      </c>
      <c r="Q930" t="s">
        <v>22</v>
      </c>
    </row>
    <row r="931" spans="1:17" x14ac:dyDescent="0.25">
      <c r="A931">
        <v>1013</v>
      </c>
      <c r="B931">
        <v>20</v>
      </c>
      <c r="C931" t="s">
        <v>23</v>
      </c>
      <c r="D931" t="s">
        <v>17</v>
      </c>
      <c r="E931" t="s">
        <v>40</v>
      </c>
      <c r="F931" t="s">
        <v>19</v>
      </c>
      <c r="G931" t="s">
        <v>37</v>
      </c>
      <c r="H931" t="s">
        <v>21</v>
      </c>
      <c r="I931">
        <v>3</v>
      </c>
      <c r="J931">
        <v>6052</v>
      </c>
      <c r="K931" t="s">
        <v>22</v>
      </c>
      <c r="L931">
        <v>1</v>
      </c>
      <c r="M931">
        <v>1</v>
      </c>
      <c r="N931">
        <v>0</v>
      </c>
      <c r="O931">
        <v>0</v>
      </c>
      <c r="P931">
        <v>0</v>
      </c>
      <c r="Q931" t="s">
        <v>42</v>
      </c>
    </row>
    <row r="932" spans="1:17" x14ac:dyDescent="0.25">
      <c r="A932">
        <v>1808</v>
      </c>
      <c r="B932">
        <v>60</v>
      </c>
      <c r="C932" t="s">
        <v>16</v>
      </c>
      <c r="D932" t="s">
        <v>27</v>
      </c>
      <c r="E932" t="s">
        <v>43</v>
      </c>
      <c r="F932" t="s">
        <v>38</v>
      </c>
      <c r="G932" t="s">
        <v>20</v>
      </c>
      <c r="H932" t="s">
        <v>34</v>
      </c>
      <c r="I932">
        <v>18</v>
      </c>
      <c r="J932">
        <v>11210</v>
      </c>
      <c r="K932" t="s">
        <v>22</v>
      </c>
      <c r="L932">
        <v>4</v>
      </c>
      <c r="M932">
        <v>3</v>
      </c>
      <c r="N932">
        <v>13</v>
      </c>
      <c r="O932">
        <v>8</v>
      </c>
      <c r="P932">
        <v>39</v>
      </c>
      <c r="Q932" t="s">
        <v>22</v>
      </c>
    </row>
    <row r="933" spans="1:17" x14ac:dyDescent="0.25">
      <c r="A933">
        <v>1523</v>
      </c>
      <c r="B933">
        <v>27</v>
      </c>
      <c r="C933" t="s">
        <v>16</v>
      </c>
      <c r="D933" t="s">
        <v>38</v>
      </c>
      <c r="E933" t="s">
        <v>49</v>
      </c>
      <c r="F933" t="s">
        <v>29</v>
      </c>
      <c r="G933" t="s">
        <v>37</v>
      </c>
      <c r="H933" t="s">
        <v>30</v>
      </c>
      <c r="I933">
        <v>8</v>
      </c>
      <c r="J933">
        <v>10160</v>
      </c>
      <c r="K933" t="s">
        <v>22</v>
      </c>
      <c r="L933">
        <v>1</v>
      </c>
      <c r="M933">
        <v>4</v>
      </c>
      <c r="N933">
        <v>1</v>
      </c>
      <c r="O933">
        <v>1</v>
      </c>
      <c r="P933">
        <v>7</v>
      </c>
      <c r="Q933" t="s">
        <v>22</v>
      </c>
    </row>
    <row r="934" spans="1:17" x14ac:dyDescent="0.25">
      <c r="A934">
        <v>1062</v>
      </c>
      <c r="B934">
        <v>26</v>
      </c>
      <c r="C934" t="s">
        <v>23</v>
      </c>
      <c r="D934" t="s">
        <v>47</v>
      </c>
      <c r="E934" t="s">
        <v>50</v>
      </c>
      <c r="F934" t="s">
        <v>19</v>
      </c>
      <c r="G934" t="s">
        <v>37</v>
      </c>
      <c r="H934" t="s">
        <v>30</v>
      </c>
      <c r="I934">
        <v>26</v>
      </c>
      <c r="J934">
        <v>5648</v>
      </c>
      <c r="K934" t="s">
        <v>42</v>
      </c>
      <c r="L934">
        <v>4</v>
      </c>
      <c r="M934">
        <v>2</v>
      </c>
      <c r="N934">
        <v>0</v>
      </c>
      <c r="O934">
        <v>0</v>
      </c>
      <c r="P934">
        <v>0</v>
      </c>
      <c r="Q934" t="s">
        <v>22</v>
      </c>
    </row>
    <row r="935" spans="1:17" x14ac:dyDescent="0.25">
      <c r="A935">
        <v>1381</v>
      </c>
      <c r="B935">
        <v>39</v>
      </c>
      <c r="C935" t="s">
        <v>23</v>
      </c>
      <c r="D935" t="s">
        <v>17</v>
      </c>
      <c r="E935" t="s">
        <v>18</v>
      </c>
      <c r="F935" t="s">
        <v>38</v>
      </c>
      <c r="G935" t="s">
        <v>33</v>
      </c>
      <c r="H935" t="s">
        <v>21</v>
      </c>
      <c r="I935">
        <v>11</v>
      </c>
      <c r="J935">
        <v>12452</v>
      </c>
      <c r="K935" t="s">
        <v>42</v>
      </c>
      <c r="L935">
        <v>2</v>
      </c>
      <c r="M935">
        <v>3</v>
      </c>
      <c r="N935">
        <v>6</v>
      </c>
      <c r="O935">
        <v>2</v>
      </c>
      <c r="P935">
        <v>19</v>
      </c>
      <c r="Q935" t="s">
        <v>22</v>
      </c>
    </row>
    <row r="936" spans="1:17" x14ac:dyDescent="0.25">
      <c r="A936">
        <v>1012</v>
      </c>
      <c r="B936">
        <v>32</v>
      </c>
      <c r="C936" t="s">
        <v>16</v>
      </c>
      <c r="D936" t="s">
        <v>47</v>
      </c>
      <c r="E936" t="s">
        <v>53</v>
      </c>
      <c r="F936" t="s">
        <v>36</v>
      </c>
      <c r="G936" t="s">
        <v>37</v>
      </c>
      <c r="H936" t="s">
        <v>30</v>
      </c>
      <c r="I936">
        <v>8</v>
      </c>
      <c r="J936">
        <v>9105</v>
      </c>
      <c r="K936" t="s">
        <v>42</v>
      </c>
      <c r="L936">
        <v>4</v>
      </c>
      <c r="M936">
        <v>4</v>
      </c>
      <c r="N936">
        <v>5</v>
      </c>
      <c r="O936">
        <v>5</v>
      </c>
      <c r="P936">
        <v>6</v>
      </c>
      <c r="Q936" t="s">
        <v>42</v>
      </c>
    </row>
    <row r="937" spans="1:17" x14ac:dyDescent="0.25">
      <c r="A937">
        <v>1401</v>
      </c>
      <c r="B937">
        <v>23</v>
      </c>
      <c r="C937" t="s">
        <v>23</v>
      </c>
      <c r="D937" t="s">
        <v>27</v>
      </c>
      <c r="E937" t="s">
        <v>44</v>
      </c>
      <c r="F937" t="s">
        <v>38</v>
      </c>
      <c r="G937" t="s">
        <v>37</v>
      </c>
      <c r="H937" t="s">
        <v>34</v>
      </c>
      <c r="I937">
        <v>16</v>
      </c>
      <c r="J937">
        <v>4268</v>
      </c>
      <c r="K937" t="s">
        <v>22</v>
      </c>
      <c r="L937">
        <v>1</v>
      </c>
      <c r="M937">
        <v>2</v>
      </c>
      <c r="N937">
        <v>0</v>
      </c>
      <c r="O937">
        <v>0</v>
      </c>
      <c r="P937">
        <v>0</v>
      </c>
      <c r="Q937" t="s">
        <v>42</v>
      </c>
    </row>
    <row r="938" spans="1:17" x14ac:dyDescent="0.25">
      <c r="A938">
        <v>1986</v>
      </c>
      <c r="B938">
        <v>56</v>
      </c>
      <c r="C938" t="s">
        <v>16</v>
      </c>
      <c r="D938" t="s">
        <v>96</v>
      </c>
      <c r="E938" t="s">
        <v>46</v>
      </c>
      <c r="F938" t="s">
        <v>26</v>
      </c>
      <c r="G938" t="s">
        <v>33</v>
      </c>
      <c r="H938" t="s">
        <v>34</v>
      </c>
      <c r="I938">
        <v>1</v>
      </c>
      <c r="J938">
        <v>10850</v>
      </c>
      <c r="K938" t="s">
        <v>22</v>
      </c>
      <c r="L938">
        <v>4</v>
      </c>
      <c r="M938">
        <v>2</v>
      </c>
      <c r="N938">
        <v>24</v>
      </c>
      <c r="O938">
        <v>8</v>
      </c>
      <c r="P938">
        <v>36</v>
      </c>
      <c r="Q938" t="s">
        <v>22</v>
      </c>
    </row>
    <row r="939" spans="1:17" x14ac:dyDescent="0.25">
      <c r="A939">
        <v>1765</v>
      </c>
      <c r="B939">
        <v>36</v>
      </c>
      <c r="C939" t="s">
        <v>23</v>
      </c>
      <c r="D939" t="s">
        <v>17</v>
      </c>
      <c r="E939" t="s">
        <v>35</v>
      </c>
      <c r="F939" t="s">
        <v>29</v>
      </c>
      <c r="G939" t="s">
        <v>20</v>
      </c>
      <c r="H939" t="s">
        <v>30</v>
      </c>
      <c r="I939">
        <v>2</v>
      </c>
      <c r="J939">
        <v>7004</v>
      </c>
      <c r="K939" t="s">
        <v>42</v>
      </c>
      <c r="L939">
        <v>1</v>
      </c>
      <c r="M939">
        <v>2</v>
      </c>
      <c r="N939">
        <v>10</v>
      </c>
      <c r="O939">
        <v>2</v>
      </c>
      <c r="P939">
        <v>13</v>
      </c>
      <c r="Q939" t="s">
        <v>42</v>
      </c>
    </row>
    <row r="940" spans="1:17" x14ac:dyDescent="0.25">
      <c r="A940">
        <v>1137</v>
      </c>
      <c r="B940">
        <v>56</v>
      </c>
      <c r="C940" t="s">
        <v>16</v>
      </c>
      <c r="D940" t="s">
        <v>38</v>
      </c>
      <c r="E940" t="s">
        <v>39</v>
      </c>
      <c r="F940" t="s">
        <v>32</v>
      </c>
      <c r="G940" t="s">
        <v>37</v>
      </c>
      <c r="H940" t="s">
        <v>21</v>
      </c>
      <c r="I940">
        <v>13</v>
      </c>
      <c r="J940">
        <v>12839</v>
      </c>
      <c r="K940" t="s">
        <v>22</v>
      </c>
      <c r="L940">
        <v>2</v>
      </c>
      <c r="M940">
        <v>1</v>
      </c>
      <c r="N940">
        <v>1</v>
      </c>
      <c r="O940">
        <v>0</v>
      </c>
      <c r="P940">
        <v>32</v>
      </c>
      <c r="Q940" t="s">
        <v>22</v>
      </c>
    </row>
    <row r="941" spans="1:17" x14ac:dyDescent="0.25">
      <c r="A941">
        <v>1308</v>
      </c>
      <c r="B941">
        <v>20</v>
      </c>
      <c r="C941" t="s">
        <v>23</v>
      </c>
      <c r="D941" t="s">
        <v>47</v>
      </c>
      <c r="E941" t="s">
        <v>53</v>
      </c>
      <c r="F941" t="s">
        <v>19</v>
      </c>
      <c r="G941" t="s">
        <v>37</v>
      </c>
      <c r="H941" t="s">
        <v>30</v>
      </c>
      <c r="I941">
        <v>4</v>
      </c>
      <c r="J941">
        <v>10828</v>
      </c>
      <c r="K941" t="s">
        <v>22</v>
      </c>
      <c r="L941">
        <v>1</v>
      </c>
      <c r="M941">
        <v>3</v>
      </c>
      <c r="N941">
        <v>0</v>
      </c>
      <c r="O941">
        <v>0</v>
      </c>
      <c r="P941">
        <v>0</v>
      </c>
      <c r="Q941" t="s">
        <v>22</v>
      </c>
    </row>
    <row r="942" spans="1:17" x14ac:dyDescent="0.25">
      <c r="A942">
        <v>1151</v>
      </c>
      <c r="B942">
        <v>29</v>
      </c>
      <c r="C942" t="s">
        <v>23</v>
      </c>
      <c r="D942" t="s">
        <v>27</v>
      </c>
      <c r="E942" t="s">
        <v>28</v>
      </c>
      <c r="F942" t="s">
        <v>36</v>
      </c>
      <c r="G942" t="s">
        <v>37</v>
      </c>
      <c r="H942" t="s">
        <v>21</v>
      </c>
      <c r="I942">
        <v>5</v>
      </c>
      <c r="J942">
        <v>11168</v>
      </c>
      <c r="K942" t="s">
        <v>22</v>
      </c>
      <c r="L942">
        <v>2</v>
      </c>
      <c r="M942">
        <v>3</v>
      </c>
      <c r="N942">
        <v>4</v>
      </c>
      <c r="O942">
        <v>3</v>
      </c>
      <c r="P942">
        <v>4</v>
      </c>
      <c r="Q942" t="s">
        <v>22</v>
      </c>
    </row>
    <row r="943" spans="1:17" x14ac:dyDescent="0.25">
      <c r="A943">
        <v>1208</v>
      </c>
      <c r="B943">
        <v>52</v>
      </c>
      <c r="C943" t="s">
        <v>23</v>
      </c>
      <c r="D943" t="s">
        <v>17</v>
      </c>
      <c r="E943" t="s">
        <v>40</v>
      </c>
      <c r="F943" t="s">
        <v>26</v>
      </c>
      <c r="G943" t="s">
        <v>20</v>
      </c>
      <c r="H943" t="s">
        <v>30</v>
      </c>
      <c r="I943">
        <v>9</v>
      </c>
      <c r="J943">
        <v>12888</v>
      </c>
      <c r="K943" t="s">
        <v>42</v>
      </c>
      <c r="L943">
        <v>4</v>
      </c>
      <c r="M943">
        <v>2</v>
      </c>
      <c r="N943">
        <v>2</v>
      </c>
      <c r="O943">
        <v>2</v>
      </c>
      <c r="P943">
        <v>32</v>
      </c>
      <c r="Q943" t="s">
        <v>22</v>
      </c>
    </row>
    <row r="944" spans="1:17" x14ac:dyDescent="0.25">
      <c r="A944">
        <v>1238</v>
      </c>
      <c r="B944">
        <v>32</v>
      </c>
      <c r="C944" t="s">
        <v>23</v>
      </c>
      <c r="D944" t="s">
        <v>24</v>
      </c>
      <c r="E944" t="s">
        <v>25</v>
      </c>
      <c r="F944" t="s">
        <v>26</v>
      </c>
      <c r="G944" t="s">
        <v>20</v>
      </c>
      <c r="H944" t="s">
        <v>30</v>
      </c>
      <c r="I944">
        <v>20</v>
      </c>
      <c r="J944">
        <v>12757</v>
      </c>
      <c r="K944" t="s">
        <v>22</v>
      </c>
      <c r="L944">
        <v>1</v>
      </c>
      <c r="M944">
        <v>2</v>
      </c>
      <c r="N944">
        <v>4</v>
      </c>
      <c r="O944">
        <v>3</v>
      </c>
      <c r="P944">
        <v>6</v>
      </c>
      <c r="Q944" t="s">
        <v>22</v>
      </c>
    </row>
    <row r="945" spans="1:17" x14ac:dyDescent="0.25">
      <c r="A945">
        <v>1041</v>
      </c>
      <c r="B945">
        <v>27</v>
      </c>
      <c r="C945" t="s">
        <v>107</v>
      </c>
      <c r="D945" t="s">
        <v>47</v>
      </c>
      <c r="E945" t="s">
        <v>53</v>
      </c>
      <c r="F945" t="s">
        <v>29</v>
      </c>
      <c r="G945" t="s">
        <v>37</v>
      </c>
      <c r="H945" t="s">
        <v>30</v>
      </c>
      <c r="I945">
        <v>23</v>
      </c>
      <c r="J945">
        <v>9115</v>
      </c>
      <c r="K945" t="s">
        <v>22</v>
      </c>
      <c r="L945">
        <v>3</v>
      </c>
      <c r="M945">
        <v>4</v>
      </c>
      <c r="N945">
        <v>2</v>
      </c>
      <c r="O945">
        <v>0</v>
      </c>
      <c r="P945">
        <v>3</v>
      </c>
      <c r="Q945" t="s">
        <v>22</v>
      </c>
    </row>
    <row r="946" spans="1:17" x14ac:dyDescent="0.25">
      <c r="A946">
        <v>1574</v>
      </c>
      <c r="B946">
        <v>28</v>
      </c>
      <c r="C946" t="s">
        <v>113</v>
      </c>
      <c r="D946" t="s">
        <v>17</v>
      </c>
      <c r="E946" t="s">
        <v>40</v>
      </c>
      <c r="F946" t="s">
        <v>41</v>
      </c>
      <c r="G946" t="s">
        <v>20</v>
      </c>
      <c r="H946" t="s">
        <v>34</v>
      </c>
      <c r="I946">
        <v>17</v>
      </c>
      <c r="J946">
        <v>5403</v>
      </c>
      <c r="K946" t="s">
        <v>22</v>
      </c>
      <c r="L946">
        <v>2</v>
      </c>
      <c r="M946">
        <v>3</v>
      </c>
      <c r="N946">
        <v>6</v>
      </c>
      <c r="O946">
        <v>5</v>
      </c>
      <c r="P946">
        <v>6</v>
      </c>
      <c r="Q946" t="s">
        <v>22</v>
      </c>
    </row>
    <row r="947" spans="1:17" x14ac:dyDescent="0.25">
      <c r="A947">
        <v>1119</v>
      </c>
      <c r="B947">
        <v>47</v>
      </c>
      <c r="C947" t="s">
        <v>16</v>
      </c>
      <c r="D947" t="s">
        <v>38</v>
      </c>
      <c r="E947" t="s">
        <v>39</v>
      </c>
      <c r="F947" t="s">
        <v>29</v>
      </c>
      <c r="G947" t="s">
        <v>20</v>
      </c>
      <c r="H947" t="s">
        <v>34</v>
      </c>
      <c r="I947">
        <v>23</v>
      </c>
      <c r="J947">
        <v>6909</v>
      </c>
      <c r="K947" t="s">
        <v>22</v>
      </c>
      <c r="L947">
        <v>2</v>
      </c>
      <c r="M947">
        <v>2</v>
      </c>
      <c r="N947">
        <v>1</v>
      </c>
      <c r="O947">
        <v>0</v>
      </c>
      <c r="P947">
        <v>12</v>
      </c>
      <c r="Q947" t="s">
        <v>42</v>
      </c>
    </row>
    <row r="948" spans="1:17" x14ac:dyDescent="0.25">
      <c r="A948">
        <v>1424</v>
      </c>
      <c r="B948">
        <v>49</v>
      </c>
      <c r="C948" t="s">
        <v>16</v>
      </c>
      <c r="D948" t="s">
        <v>104</v>
      </c>
      <c r="E948" t="s">
        <v>52</v>
      </c>
      <c r="F948" t="s">
        <v>36</v>
      </c>
      <c r="G948" t="s">
        <v>20</v>
      </c>
      <c r="H948" t="s">
        <v>21</v>
      </c>
      <c r="I948">
        <v>2</v>
      </c>
      <c r="J948">
        <v>7795</v>
      </c>
      <c r="K948" t="s">
        <v>22</v>
      </c>
      <c r="L948">
        <v>2</v>
      </c>
      <c r="M948">
        <v>1</v>
      </c>
      <c r="N948">
        <v>8</v>
      </c>
      <c r="O948">
        <v>3</v>
      </c>
      <c r="P948">
        <v>23</v>
      </c>
      <c r="Q948" t="s">
        <v>22</v>
      </c>
    </row>
    <row r="949" spans="1:17" x14ac:dyDescent="0.25">
      <c r="A949">
        <v>1597</v>
      </c>
      <c r="B949">
        <v>60</v>
      </c>
      <c r="C949" t="s">
        <v>23</v>
      </c>
      <c r="D949" t="s">
        <v>47</v>
      </c>
      <c r="E949" t="s">
        <v>50</v>
      </c>
      <c r="F949" t="s">
        <v>29</v>
      </c>
      <c r="G949" t="s">
        <v>37</v>
      </c>
      <c r="H949" t="s">
        <v>30</v>
      </c>
      <c r="I949">
        <v>5</v>
      </c>
      <c r="J949">
        <v>11877</v>
      </c>
      <c r="K949" t="s">
        <v>22</v>
      </c>
      <c r="L949">
        <v>3</v>
      </c>
      <c r="M949">
        <v>4</v>
      </c>
      <c r="N949">
        <v>21</v>
      </c>
      <c r="O949">
        <v>20</v>
      </c>
      <c r="P949">
        <v>35</v>
      </c>
      <c r="Q949" t="s">
        <v>22</v>
      </c>
    </row>
    <row r="950" spans="1:17" x14ac:dyDescent="0.25">
      <c r="A950">
        <v>1190</v>
      </c>
      <c r="B950">
        <v>47</v>
      </c>
      <c r="C950" t="s">
        <v>23</v>
      </c>
      <c r="D950" t="s">
        <v>24</v>
      </c>
      <c r="E950" t="s">
        <v>46</v>
      </c>
      <c r="F950" t="s">
        <v>38</v>
      </c>
      <c r="G950" t="s">
        <v>37</v>
      </c>
      <c r="H950" t="s">
        <v>34</v>
      </c>
      <c r="I950">
        <v>9</v>
      </c>
      <c r="J950" t="s">
        <v>153</v>
      </c>
      <c r="K950" t="s">
        <v>22</v>
      </c>
      <c r="L950">
        <v>3</v>
      </c>
      <c r="M950">
        <v>1</v>
      </c>
      <c r="N950">
        <v>4</v>
      </c>
      <c r="O950">
        <v>2</v>
      </c>
      <c r="P950">
        <v>25</v>
      </c>
      <c r="Q950" t="s">
        <v>42</v>
      </c>
    </row>
    <row r="951" spans="1:17" x14ac:dyDescent="0.25">
      <c r="A951">
        <v>1673</v>
      </c>
      <c r="B951">
        <v>21</v>
      </c>
      <c r="C951" t="s">
        <v>23</v>
      </c>
      <c r="D951" t="s">
        <v>38</v>
      </c>
      <c r="E951" t="s">
        <v>49</v>
      </c>
      <c r="F951" t="s">
        <v>32</v>
      </c>
      <c r="G951" t="s">
        <v>37</v>
      </c>
      <c r="H951" t="s">
        <v>34</v>
      </c>
      <c r="I951">
        <v>25</v>
      </c>
      <c r="J951">
        <v>9132</v>
      </c>
      <c r="K951" t="s">
        <v>22</v>
      </c>
      <c r="L951">
        <v>1</v>
      </c>
      <c r="M951">
        <v>2</v>
      </c>
      <c r="N951">
        <v>0</v>
      </c>
      <c r="O951">
        <v>0</v>
      </c>
      <c r="P951">
        <v>0</v>
      </c>
      <c r="Q951" t="s">
        <v>22</v>
      </c>
    </row>
    <row r="952" spans="1:17" x14ac:dyDescent="0.25">
      <c r="A952">
        <v>1809</v>
      </c>
      <c r="B952">
        <v>49</v>
      </c>
      <c r="C952" t="s">
        <v>23</v>
      </c>
      <c r="D952" t="s">
        <v>17</v>
      </c>
      <c r="E952" t="s">
        <v>35</v>
      </c>
      <c r="F952" t="s">
        <v>32</v>
      </c>
      <c r="G952" t="s">
        <v>20</v>
      </c>
      <c r="H952" t="s">
        <v>21</v>
      </c>
      <c r="I952">
        <v>24</v>
      </c>
      <c r="J952">
        <v>8420</v>
      </c>
      <c r="K952" t="s">
        <v>42</v>
      </c>
      <c r="L952">
        <v>4</v>
      </c>
      <c r="M952">
        <v>3</v>
      </c>
      <c r="N952">
        <v>13</v>
      </c>
      <c r="O952">
        <v>3</v>
      </c>
      <c r="P952">
        <v>25</v>
      </c>
      <c r="Q952" t="s">
        <v>22</v>
      </c>
    </row>
    <row r="953" spans="1:17" x14ac:dyDescent="0.25">
      <c r="A953">
        <v>1984</v>
      </c>
      <c r="B953">
        <v>49</v>
      </c>
      <c r="C953" t="s">
        <v>107</v>
      </c>
      <c r="D953" t="s">
        <v>24</v>
      </c>
      <c r="E953" t="s">
        <v>25</v>
      </c>
      <c r="F953" t="s">
        <v>32</v>
      </c>
      <c r="G953" t="s">
        <v>20</v>
      </c>
      <c r="H953" t="s">
        <v>30</v>
      </c>
      <c r="I953">
        <v>4</v>
      </c>
      <c r="J953">
        <v>13076</v>
      </c>
      <c r="K953" t="s">
        <v>42</v>
      </c>
      <c r="L953">
        <v>1</v>
      </c>
      <c r="M953">
        <v>4</v>
      </c>
      <c r="N953">
        <v>25</v>
      </c>
      <c r="O953">
        <v>6</v>
      </c>
      <c r="P953">
        <v>29</v>
      </c>
      <c r="Q953" t="s">
        <v>42</v>
      </c>
    </row>
    <row r="954" spans="1:17" x14ac:dyDescent="0.25">
      <c r="A954">
        <v>1490</v>
      </c>
      <c r="B954">
        <v>20</v>
      </c>
      <c r="C954" t="s">
        <v>16</v>
      </c>
      <c r="D954" t="s">
        <v>27</v>
      </c>
      <c r="E954" t="s">
        <v>31</v>
      </c>
      <c r="F954" t="s">
        <v>29</v>
      </c>
      <c r="G954" t="s">
        <v>33</v>
      </c>
      <c r="H954" t="s">
        <v>21</v>
      </c>
      <c r="I954">
        <v>29</v>
      </c>
      <c r="J954">
        <v>8046</v>
      </c>
      <c r="K954" t="s">
        <v>42</v>
      </c>
      <c r="L954">
        <v>4</v>
      </c>
      <c r="M954">
        <v>3</v>
      </c>
      <c r="N954">
        <v>0</v>
      </c>
      <c r="O954">
        <v>0</v>
      </c>
      <c r="P954">
        <v>0</v>
      </c>
      <c r="Q954" t="s">
        <v>22</v>
      </c>
    </row>
    <row r="955" spans="1:17" x14ac:dyDescent="0.25">
      <c r="A955">
        <v>1981</v>
      </c>
      <c r="B955">
        <v>33</v>
      </c>
      <c r="C955" t="s">
        <v>16</v>
      </c>
      <c r="D955" t="s">
        <v>38</v>
      </c>
      <c r="E955" t="s">
        <v>49</v>
      </c>
      <c r="F955" t="s">
        <v>41</v>
      </c>
      <c r="G955" t="s">
        <v>20</v>
      </c>
      <c r="H955" t="s">
        <v>30</v>
      </c>
      <c r="I955">
        <v>13</v>
      </c>
      <c r="J955">
        <v>8935</v>
      </c>
      <c r="K955" t="s">
        <v>22</v>
      </c>
      <c r="L955">
        <v>2</v>
      </c>
      <c r="M955">
        <v>4</v>
      </c>
      <c r="N955">
        <v>1</v>
      </c>
      <c r="O955">
        <v>0</v>
      </c>
      <c r="P955">
        <v>4</v>
      </c>
      <c r="Q955" t="s">
        <v>22</v>
      </c>
    </row>
    <row r="956" spans="1:17" x14ac:dyDescent="0.25">
      <c r="A956">
        <v>1987</v>
      </c>
      <c r="B956">
        <v>22</v>
      </c>
      <c r="C956" t="s">
        <v>23</v>
      </c>
      <c r="D956" t="s">
        <v>27</v>
      </c>
      <c r="E956" t="s">
        <v>31</v>
      </c>
      <c r="F956" t="s">
        <v>26</v>
      </c>
      <c r="G956" t="s">
        <v>20</v>
      </c>
      <c r="H956" t="s">
        <v>30</v>
      </c>
      <c r="I956">
        <v>20</v>
      </c>
      <c r="J956">
        <v>4562</v>
      </c>
      <c r="K956" t="s">
        <v>22</v>
      </c>
      <c r="L956">
        <v>1</v>
      </c>
      <c r="M956">
        <v>3</v>
      </c>
      <c r="N956">
        <v>1</v>
      </c>
      <c r="O956">
        <v>1</v>
      </c>
      <c r="P956">
        <v>2</v>
      </c>
      <c r="Q956" t="s">
        <v>42</v>
      </c>
    </row>
    <row r="957" spans="1:17" x14ac:dyDescent="0.25">
      <c r="A957">
        <v>1383</v>
      </c>
      <c r="B957">
        <v>41</v>
      </c>
      <c r="C957" t="s">
        <v>16</v>
      </c>
      <c r="D957" t="s">
        <v>17</v>
      </c>
      <c r="E957" t="s">
        <v>18</v>
      </c>
      <c r="F957" t="s">
        <v>32</v>
      </c>
      <c r="G957" t="s">
        <v>37</v>
      </c>
      <c r="H957" t="s">
        <v>30</v>
      </c>
      <c r="I957">
        <v>3</v>
      </c>
      <c r="J957">
        <v>11286</v>
      </c>
      <c r="K957" t="s">
        <v>22</v>
      </c>
      <c r="L957">
        <v>1</v>
      </c>
      <c r="M957">
        <v>1</v>
      </c>
      <c r="N957">
        <v>0</v>
      </c>
      <c r="O957">
        <v>0</v>
      </c>
      <c r="P957">
        <v>15</v>
      </c>
      <c r="Q957" t="s">
        <v>42</v>
      </c>
    </row>
    <row r="958" spans="1:17" x14ac:dyDescent="0.25">
      <c r="A958">
        <v>1560</v>
      </c>
      <c r="B958">
        <v>47</v>
      </c>
      <c r="C958" t="s">
        <v>23</v>
      </c>
      <c r="D958" t="s">
        <v>47</v>
      </c>
      <c r="E958" t="s">
        <v>53</v>
      </c>
      <c r="F958" t="s">
        <v>38</v>
      </c>
      <c r="G958" t="s">
        <v>33</v>
      </c>
      <c r="H958" t="s">
        <v>34</v>
      </c>
      <c r="I958">
        <v>11</v>
      </c>
      <c r="J958">
        <v>13363</v>
      </c>
      <c r="K958" t="s">
        <v>22</v>
      </c>
      <c r="L958">
        <v>2</v>
      </c>
      <c r="M958">
        <v>4</v>
      </c>
      <c r="N958">
        <v>4</v>
      </c>
      <c r="O958">
        <v>1</v>
      </c>
      <c r="P958">
        <v>24</v>
      </c>
      <c r="Q958" t="s">
        <v>22</v>
      </c>
    </row>
    <row r="959" spans="1:17" x14ac:dyDescent="0.25">
      <c r="A959">
        <v>1676</v>
      </c>
      <c r="B959">
        <v>49</v>
      </c>
      <c r="C959" t="s">
        <v>23</v>
      </c>
      <c r="D959" t="s">
        <v>17</v>
      </c>
      <c r="E959" t="s">
        <v>18</v>
      </c>
      <c r="F959" t="s">
        <v>38</v>
      </c>
      <c r="G959" t="s">
        <v>37</v>
      </c>
      <c r="H959" t="s">
        <v>30</v>
      </c>
      <c r="I959">
        <v>17</v>
      </c>
      <c r="J959">
        <v>14852</v>
      </c>
      <c r="K959" t="s">
        <v>22</v>
      </c>
      <c r="L959">
        <v>2</v>
      </c>
      <c r="M959">
        <v>2</v>
      </c>
      <c r="N959">
        <v>22</v>
      </c>
      <c r="O959">
        <v>7</v>
      </c>
      <c r="P959">
        <v>29</v>
      </c>
      <c r="Q959" t="s">
        <v>22</v>
      </c>
    </row>
    <row r="960" spans="1:17" x14ac:dyDescent="0.25">
      <c r="A960">
        <v>1457</v>
      </c>
      <c r="B960">
        <v>46</v>
      </c>
      <c r="C960" t="s">
        <v>23</v>
      </c>
      <c r="D960" t="s">
        <v>17</v>
      </c>
      <c r="E960" t="s">
        <v>40</v>
      </c>
      <c r="F960" t="s">
        <v>38</v>
      </c>
      <c r="G960" t="s">
        <v>33</v>
      </c>
      <c r="H960" t="s">
        <v>34</v>
      </c>
      <c r="I960">
        <v>23</v>
      </c>
      <c r="J960">
        <v>12513</v>
      </c>
      <c r="K960" t="s">
        <v>22</v>
      </c>
      <c r="L960">
        <v>2</v>
      </c>
      <c r="M960">
        <v>4</v>
      </c>
      <c r="N960">
        <v>3</v>
      </c>
      <c r="O960">
        <v>3</v>
      </c>
      <c r="P960">
        <v>26</v>
      </c>
      <c r="Q960" t="s">
        <v>22</v>
      </c>
    </row>
    <row r="961" spans="1:17" x14ac:dyDescent="0.25">
      <c r="A961">
        <v>1202</v>
      </c>
      <c r="B961">
        <v>26</v>
      </c>
      <c r="C961" t="s">
        <v>23</v>
      </c>
      <c r="D961" t="s">
        <v>24</v>
      </c>
      <c r="E961" t="s">
        <v>25</v>
      </c>
      <c r="F961" t="s">
        <v>41</v>
      </c>
      <c r="G961" t="s">
        <v>20</v>
      </c>
      <c r="H961" t="s">
        <v>21</v>
      </c>
      <c r="I961">
        <v>1</v>
      </c>
      <c r="J961">
        <v>8887</v>
      </c>
      <c r="K961" t="s">
        <v>22</v>
      </c>
      <c r="L961">
        <v>1</v>
      </c>
      <c r="M961">
        <v>1</v>
      </c>
      <c r="N961">
        <v>0</v>
      </c>
      <c r="O961">
        <v>0</v>
      </c>
      <c r="P961">
        <v>6</v>
      </c>
      <c r="Q961" t="s">
        <v>42</v>
      </c>
    </row>
    <row r="962" spans="1:17" x14ac:dyDescent="0.25">
      <c r="A962">
        <v>1978</v>
      </c>
      <c r="B962">
        <v>34</v>
      </c>
      <c r="C962" t="s">
        <v>23</v>
      </c>
      <c r="D962" t="s">
        <v>38</v>
      </c>
      <c r="E962" t="s">
        <v>39</v>
      </c>
      <c r="F962" t="s">
        <v>38</v>
      </c>
      <c r="G962" t="s">
        <v>37</v>
      </c>
      <c r="H962" t="s">
        <v>21</v>
      </c>
      <c r="I962">
        <v>1</v>
      </c>
      <c r="J962">
        <v>6336</v>
      </c>
      <c r="K962" t="s">
        <v>42</v>
      </c>
      <c r="L962">
        <v>4</v>
      </c>
      <c r="M962">
        <v>2</v>
      </c>
      <c r="N962">
        <v>1</v>
      </c>
      <c r="O962">
        <v>1</v>
      </c>
      <c r="P962">
        <v>9</v>
      </c>
      <c r="Q962" t="s">
        <v>22</v>
      </c>
    </row>
    <row r="963" spans="1:17" x14ac:dyDescent="0.25">
      <c r="A963">
        <v>1192</v>
      </c>
      <c r="B963">
        <v>41</v>
      </c>
      <c r="C963" t="s">
        <v>23</v>
      </c>
      <c r="D963" t="s">
        <v>24</v>
      </c>
      <c r="E963" t="s">
        <v>46</v>
      </c>
      <c r="F963" t="s">
        <v>36</v>
      </c>
      <c r="G963" t="s">
        <v>33</v>
      </c>
      <c r="H963" t="s">
        <v>21</v>
      </c>
      <c r="I963">
        <v>3</v>
      </c>
      <c r="J963">
        <v>5575</v>
      </c>
      <c r="K963" t="s">
        <v>42</v>
      </c>
      <c r="L963">
        <v>4</v>
      </c>
      <c r="M963">
        <v>1</v>
      </c>
      <c r="N963">
        <v>13</v>
      </c>
      <c r="O963">
        <v>11</v>
      </c>
      <c r="P963">
        <v>21</v>
      </c>
      <c r="Q963" t="s">
        <v>22</v>
      </c>
    </row>
    <row r="964" spans="1:17" x14ac:dyDescent="0.25">
      <c r="A964">
        <v>1585</v>
      </c>
      <c r="B964">
        <v>59</v>
      </c>
      <c r="C964" t="s">
        <v>16</v>
      </c>
      <c r="D964" t="s">
        <v>38</v>
      </c>
      <c r="E964" t="s">
        <v>49</v>
      </c>
      <c r="F964" t="s">
        <v>26</v>
      </c>
      <c r="G964" t="s">
        <v>37</v>
      </c>
      <c r="H964" t="s">
        <v>34</v>
      </c>
      <c r="I964">
        <v>26</v>
      </c>
      <c r="J964">
        <v>14623</v>
      </c>
      <c r="K964" t="s">
        <v>22</v>
      </c>
      <c r="L964">
        <v>4</v>
      </c>
      <c r="M964">
        <v>1</v>
      </c>
      <c r="N964">
        <v>6</v>
      </c>
      <c r="O964">
        <v>3</v>
      </c>
      <c r="P964">
        <v>33</v>
      </c>
      <c r="Q964" t="s">
        <v>22</v>
      </c>
    </row>
    <row r="965" spans="1:17" x14ac:dyDescent="0.25">
      <c r="A965">
        <v>1089</v>
      </c>
      <c r="B965">
        <v>22</v>
      </c>
      <c r="C965" t="s">
        <v>23</v>
      </c>
      <c r="D965" t="s">
        <v>17</v>
      </c>
      <c r="E965" t="s">
        <v>18</v>
      </c>
      <c r="F965" t="s">
        <v>19</v>
      </c>
      <c r="G965" t="s">
        <v>33</v>
      </c>
      <c r="H965" t="s">
        <v>21</v>
      </c>
      <c r="I965">
        <v>23</v>
      </c>
      <c r="J965">
        <v>9306</v>
      </c>
      <c r="K965" t="s">
        <v>22</v>
      </c>
      <c r="L965">
        <v>3</v>
      </c>
      <c r="M965">
        <v>4</v>
      </c>
      <c r="N965">
        <v>0</v>
      </c>
      <c r="O965">
        <v>0</v>
      </c>
      <c r="P965">
        <v>0</v>
      </c>
      <c r="Q965" t="s">
        <v>22</v>
      </c>
    </row>
    <row r="966" spans="1:17" x14ac:dyDescent="0.25">
      <c r="A966">
        <v>1166</v>
      </c>
      <c r="B966">
        <v>35</v>
      </c>
      <c r="C966" t="s">
        <v>23</v>
      </c>
      <c r="D966" t="s">
        <v>24</v>
      </c>
      <c r="E966" t="s">
        <v>25</v>
      </c>
      <c r="F966" t="s">
        <v>19</v>
      </c>
      <c r="G966" t="s">
        <v>20</v>
      </c>
      <c r="H966" t="s">
        <v>21</v>
      </c>
      <c r="I966">
        <v>3</v>
      </c>
      <c r="J966">
        <v>10336</v>
      </c>
      <c r="K966" t="s">
        <v>22</v>
      </c>
      <c r="L966">
        <v>4</v>
      </c>
      <c r="M966">
        <v>3</v>
      </c>
      <c r="N966">
        <v>2</v>
      </c>
      <c r="O966">
        <v>1</v>
      </c>
      <c r="P966">
        <v>10</v>
      </c>
      <c r="Q966" t="s">
        <v>42</v>
      </c>
    </row>
    <row r="967" spans="1:17" x14ac:dyDescent="0.25">
      <c r="A967">
        <v>1104</v>
      </c>
      <c r="B967">
        <v>48</v>
      </c>
      <c r="C967" t="s">
        <v>16</v>
      </c>
      <c r="D967" t="s">
        <v>27</v>
      </c>
      <c r="E967" t="s">
        <v>28</v>
      </c>
      <c r="F967" t="s">
        <v>41</v>
      </c>
      <c r="G967" t="s">
        <v>33</v>
      </c>
      <c r="H967" t="s">
        <v>21</v>
      </c>
      <c r="I967">
        <v>24</v>
      </c>
      <c r="J967">
        <v>10282</v>
      </c>
      <c r="K967" t="s">
        <v>22</v>
      </c>
      <c r="L967">
        <v>2</v>
      </c>
      <c r="M967">
        <v>2</v>
      </c>
      <c r="N967">
        <v>0</v>
      </c>
      <c r="O967">
        <v>0</v>
      </c>
      <c r="P967">
        <v>15</v>
      </c>
      <c r="Q967" t="s">
        <v>22</v>
      </c>
    </row>
    <row r="968" spans="1:17" x14ac:dyDescent="0.25">
      <c r="A968">
        <v>1124</v>
      </c>
      <c r="B968">
        <v>46</v>
      </c>
      <c r="C968" t="s">
        <v>16</v>
      </c>
      <c r="D968" t="s">
        <v>47</v>
      </c>
      <c r="E968" t="s">
        <v>53</v>
      </c>
      <c r="F968" t="s">
        <v>19</v>
      </c>
      <c r="G968" t="s">
        <v>20</v>
      </c>
      <c r="H968" t="s">
        <v>34</v>
      </c>
      <c r="I968">
        <v>17</v>
      </c>
      <c r="J968">
        <v>16163</v>
      </c>
      <c r="K968" t="s">
        <v>22</v>
      </c>
      <c r="L968">
        <v>2</v>
      </c>
      <c r="M968">
        <v>2</v>
      </c>
      <c r="N968">
        <v>5</v>
      </c>
      <c r="O968">
        <v>2</v>
      </c>
      <c r="P968">
        <v>22</v>
      </c>
      <c r="Q968" t="s">
        <v>22</v>
      </c>
    </row>
    <row r="969" spans="1:17" x14ac:dyDescent="0.25">
      <c r="A969">
        <v>1141</v>
      </c>
      <c r="B969">
        <v>23</v>
      </c>
      <c r="C969" t="s">
        <v>23</v>
      </c>
      <c r="D969" t="s">
        <v>38</v>
      </c>
      <c r="E969" t="s">
        <v>39</v>
      </c>
      <c r="F969" t="s">
        <v>19</v>
      </c>
      <c r="G969" t="s">
        <v>20</v>
      </c>
      <c r="H969" t="s">
        <v>30</v>
      </c>
      <c r="I969">
        <v>21</v>
      </c>
      <c r="J969">
        <v>3437</v>
      </c>
      <c r="K969" t="s">
        <v>22</v>
      </c>
      <c r="L969">
        <v>4</v>
      </c>
      <c r="M969">
        <v>3</v>
      </c>
      <c r="N969">
        <v>0</v>
      </c>
      <c r="O969">
        <v>0</v>
      </c>
      <c r="P969">
        <v>0</v>
      </c>
      <c r="Q969" t="s">
        <v>22</v>
      </c>
    </row>
    <row r="970" spans="1:17" x14ac:dyDescent="0.25">
      <c r="A970">
        <v>1897</v>
      </c>
      <c r="B970">
        <v>37</v>
      </c>
      <c r="C970" t="s">
        <v>87</v>
      </c>
      <c r="D970" t="s">
        <v>17</v>
      </c>
      <c r="E970" t="s">
        <v>40</v>
      </c>
      <c r="F970" t="s">
        <v>29</v>
      </c>
      <c r="G970" t="s">
        <v>37</v>
      </c>
      <c r="H970" t="s">
        <v>30</v>
      </c>
      <c r="I970">
        <v>10</v>
      </c>
      <c r="J970">
        <v>7334</v>
      </c>
      <c r="K970" t="s">
        <v>22</v>
      </c>
      <c r="L970">
        <v>4</v>
      </c>
      <c r="M970">
        <v>2</v>
      </c>
      <c r="N970">
        <v>1</v>
      </c>
      <c r="O970">
        <v>1</v>
      </c>
      <c r="P970">
        <v>13</v>
      </c>
      <c r="Q970" t="s">
        <v>22</v>
      </c>
    </row>
    <row r="971" spans="1:17" x14ac:dyDescent="0.25">
      <c r="A971">
        <v>1951</v>
      </c>
      <c r="B971">
        <v>39</v>
      </c>
      <c r="C971" t="s">
        <v>23</v>
      </c>
      <c r="D971" t="s">
        <v>27</v>
      </c>
      <c r="E971" t="s">
        <v>31</v>
      </c>
      <c r="F971" t="s">
        <v>26</v>
      </c>
      <c r="G971" t="s">
        <v>20</v>
      </c>
      <c r="H971" t="s">
        <v>21</v>
      </c>
      <c r="I971">
        <v>26</v>
      </c>
      <c r="J971">
        <v>9427</v>
      </c>
      <c r="K971" t="s">
        <v>22</v>
      </c>
      <c r="L971">
        <v>3</v>
      </c>
      <c r="M971">
        <v>4</v>
      </c>
      <c r="N971">
        <v>6</v>
      </c>
      <c r="O971">
        <v>3</v>
      </c>
      <c r="P971">
        <v>7</v>
      </c>
      <c r="Q971" t="s">
        <v>22</v>
      </c>
    </row>
    <row r="972" spans="1:17" x14ac:dyDescent="0.25">
      <c r="A972">
        <v>1929</v>
      </c>
      <c r="B972">
        <v>43</v>
      </c>
      <c r="C972" t="s">
        <v>23</v>
      </c>
      <c r="D972" t="s">
        <v>47</v>
      </c>
      <c r="E972" t="s">
        <v>48</v>
      </c>
      <c r="F972" t="s">
        <v>38</v>
      </c>
      <c r="G972" t="s">
        <v>20</v>
      </c>
      <c r="H972" t="s">
        <v>34</v>
      </c>
      <c r="I972">
        <v>23</v>
      </c>
      <c r="J972">
        <v>9337</v>
      </c>
      <c r="K972" t="s">
        <v>22</v>
      </c>
      <c r="L972">
        <v>3</v>
      </c>
      <c r="M972">
        <v>4</v>
      </c>
      <c r="N972">
        <v>4</v>
      </c>
      <c r="O972">
        <v>1</v>
      </c>
      <c r="P972">
        <v>23</v>
      </c>
      <c r="Q972" t="s">
        <v>22</v>
      </c>
    </row>
    <row r="973" spans="1:17" x14ac:dyDescent="0.25">
      <c r="A973">
        <v>1250</v>
      </c>
      <c r="B973">
        <v>30</v>
      </c>
      <c r="C973" t="s">
        <v>16</v>
      </c>
      <c r="D973" t="s">
        <v>24</v>
      </c>
      <c r="E973" t="s">
        <v>25</v>
      </c>
      <c r="F973" t="s">
        <v>26</v>
      </c>
      <c r="G973" t="s">
        <v>33</v>
      </c>
      <c r="H973" t="s">
        <v>34</v>
      </c>
      <c r="I973">
        <v>29</v>
      </c>
      <c r="J973">
        <v>10530</v>
      </c>
      <c r="K973" t="s">
        <v>22</v>
      </c>
      <c r="L973">
        <v>4</v>
      </c>
      <c r="M973">
        <v>2</v>
      </c>
      <c r="N973">
        <v>4</v>
      </c>
      <c r="O973">
        <v>3</v>
      </c>
      <c r="P973">
        <v>7</v>
      </c>
      <c r="Q973" t="s">
        <v>22</v>
      </c>
    </row>
    <row r="974" spans="1:17" x14ac:dyDescent="0.25">
      <c r="A974">
        <v>1942</v>
      </c>
      <c r="B974">
        <v>23</v>
      </c>
      <c r="C974" t="s">
        <v>23</v>
      </c>
      <c r="D974" t="s">
        <v>24</v>
      </c>
      <c r="E974" t="s">
        <v>45</v>
      </c>
      <c r="F974" t="s">
        <v>32</v>
      </c>
      <c r="G974" t="s">
        <v>20</v>
      </c>
      <c r="H974" t="s">
        <v>30</v>
      </c>
      <c r="I974">
        <v>15</v>
      </c>
      <c r="J974">
        <v>6807</v>
      </c>
      <c r="K974" t="s">
        <v>42</v>
      </c>
      <c r="L974">
        <v>4</v>
      </c>
      <c r="M974">
        <v>4</v>
      </c>
      <c r="N974">
        <v>0</v>
      </c>
      <c r="O974">
        <v>0</v>
      </c>
      <c r="P974">
        <v>0</v>
      </c>
      <c r="Q974" t="s">
        <v>42</v>
      </c>
    </row>
    <row r="975" spans="1:17" x14ac:dyDescent="0.25">
      <c r="A975">
        <v>1520</v>
      </c>
      <c r="B975">
        <v>20</v>
      </c>
      <c r="C975" t="s">
        <v>23</v>
      </c>
      <c r="D975" t="s">
        <v>24</v>
      </c>
      <c r="E975" t="s">
        <v>25</v>
      </c>
      <c r="F975" t="s">
        <v>26</v>
      </c>
      <c r="G975" t="s">
        <v>37</v>
      </c>
      <c r="H975" t="s">
        <v>30</v>
      </c>
      <c r="I975">
        <v>29</v>
      </c>
      <c r="J975">
        <v>6439</v>
      </c>
      <c r="K975" t="s">
        <v>22</v>
      </c>
      <c r="L975">
        <v>4</v>
      </c>
      <c r="M975">
        <v>4</v>
      </c>
      <c r="N975">
        <v>0</v>
      </c>
      <c r="O975">
        <v>0</v>
      </c>
      <c r="P975">
        <v>0</v>
      </c>
      <c r="Q975" t="s">
        <v>22</v>
      </c>
    </row>
    <row r="976" spans="1:17" x14ac:dyDescent="0.25">
      <c r="A976">
        <v>1411</v>
      </c>
      <c r="B976">
        <v>25</v>
      </c>
      <c r="C976" t="s">
        <v>23</v>
      </c>
      <c r="D976" t="s">
        <v>24</v>
      </c>
      <c r="E976" t="s">
        <v>25</v>
      </c>
      <c r="F976" t="s">
        <v>38</v>
      </c>
      <c r="G976" t="s">
        <v>20</v>
      </c>
      <c r="H976" t="s">
        <v>34</v>
      </c>
      <c r="I976">
        <v>22</v>
      </c>
      <c r="J976">
        <v>8011</v>
      </c>
      <c r="K976" t="s">
        <v>22</v>
      </c>
      <c r="L976">
        <v>2</v>
      </c>
      <c r="M976">
        <v>1</v>
      </c>
      <c r="N976">
        <v>2</v>
      </c>
      <c r="O976">
        <v>2</v>
      </c>
      <c r="P976">
        <v>5</v>
      </c>
      <c r="Q976" t="s">
        <v>42</v>
      </c>
    </row>
    <row r="977" spans="1:17" x14ac:dyDescent="0.25">
      <c r="A977">
        <v>1487</v>
      </c>
      <c r="B977">
        <v>37</v>
      </c>
      <c r="C977" t="s">
        <v>23</v>
      </c>
      <c r="D977" t="s">
        <v>27</v>
      </c>
      <c r="E977" t="s">
        <v>43</v>
      </c>
      <c r="F977" t="s">
        <v>41</v>
      </c>
      <c r="G977" t="s">
        <v>33</v>
      </c>
      <c r="H977" t="s">
        <v>34</v>
      </c>
      <c r="I977">
        <v>7</v>
      </c>
      <c r="J977">
        <v>9668</v>
      </c>
      <c r="K977" t="s">
        <v>22</v>
      </c>
      <c r="L977">
        <v>2</v>
      </c>
      <c r="M977">
        <v>3</v>
      </c>
      <c r="N977">
        <v>2</v>
      </c>
      <c r="O977">
        <v>1</v>
      </c>
      <c r="P977">
        <v>11</v>
      </c>
      <c r="Q977" t="s">
        <v>22</v>
      </c>
    </row>
    <row r="978" spans="1:17" x14ac:dyDescent="0.25">
      <c r="A978">
        <v>1367</v>
      </c>
      <c r="B978">
        <v>29</v>
      </c>
      <c r="C978" t="s">
        <v>16</v>
      </c>
      <c r="D978" t="s">
        <v>47</v>
      </c>
      <c r="E978" t="s">
        <v>48</v>
      </c>
      <c r="F978" t="s">
        <v>32</v>
      </c>
      <c r="G978" t="s">
        <v>33</v>
      </c>
      <c r="H978" t="s">
        <v>30</v>
      </c>
      <c r="I978">
        <v>4</v>
      </c>
      <c r="J978">
        <v>9332</v>
      </c>
      <c r="K978" t="s">
        <v>22</v>
      </c>
      <c r="L978">
        <v>4</v>
      </c>
      <c r="M978">
        <v>3</v>
      </c>
      <c r="N978">
        <v>6</v>
      </c>
      <c r="O978">
        <v>2</v>
      </c>
      <c r="P978">
        <v>8</v>
      </c>
      <c r="Q978" t="s">
        <v>22</v>
      </c>
    </row>
    <row r="979" spans="1:17" x14ac:dyDescent="0.25">
      <c r="A979">
        <v>1681</v>
      </c>
      <c r="B979">
        <v>35</v>
      </c>
      <c r="C979" t="s">
        <v>16</v>
      </c>
      <c r="D979" t="s">
        <v>38</v>
      </c>
      <c r="E979" t="s">
        <v>39</v>
      </c>
      <c r="F979" t="s">
        <v>41</v>
      </c>
      <c r="G979" t="s">
        <v>20</v>
      </c>
      <c r="H979" t="s">
        <v>30</v>
      </c>
      <c r="I979">
        <v>28</v>
      </c>
      <c r="J979">
        <v>4712</v>
      </c>
      <c r="K979" t="s">
        <v>22</v>
      </c>
      <c r="L979">
        <v>4</v>
      </c>
      <c r="M979">
        <v>2</v>
      </c>
      <c r="N979">
        <v>2</v>
      </c>
      <c r="O979">
        <v>0</v>
      </c>
      <c r="P979">
        <v>9</v>
      </c>
      <c r="Q979" t="s">
        <v>42</v>
      </c>
    </row>
    <row r="980" spans="1:17" x14ac:dyDescent="0.25">
      <c r="A980">
        <v>1972</v>
      </c>
      <c r="B980">
        <v>26</v>
      </c>
      <c r="C980" t="s">
        <v>16</v>
      </c>
      <c r="D980" t="s">
        <v>38</v>
      </c>
      <c r="E980" t="s">
        <v>49</v>
      </c>
      <c r="F980" t="s">
        <v>26</v>
      </c>
      <c r="G980" t="s">
        <v>20</v>
      </c>
      <c r="H980" t="s">
        <v>30</v>
      </c>
      <c r="I980">
        <v>1</v>
      </c>
      <c r="J980">
        <v>8783</v>
      </c>
      <c r="K980" t="s">
        <v>22</v>
      </c>
      <c r="L980">
        <v>2</v>
      </c>
      <c r="M980">
        <v>2</v>
      </c>
      <c r="N980">
        <v>1</v>
      </c>
      <c r="O980">
        <v>1</v>
      </c>
      <c r="P980">
        <v>6</v>
      </c>
      <c r="Q980" t="s">
        <v>42</v>
      </c>
    </row>
    <row r="981" spans="1:17" x14ac:dyDescent="0.25">
      <c r="A981">
        <v>1899</v>
      </c>
      <c r="B981">
        <v>25</v>
      </c>
      <c r="C981" t="s">
        <v>23</v>
      </c>
      <c r="D981" t="s">
        <v>17</v>
      </c>
      <c r="E981" t="s">
        <v>40</v>
      </c>
      <c r="F981" t="s">
        <v>26</v>
      </c>
      <c r="G981" t="s">
        <v>20</v>
      </c>
      <c r="H981" t="s">
        <v>30</v>
      </c>
      <c r="I981">
        <v>21</v>
      </c>
      <c r="J981">
        <v>6071</v>
      </c>
      <c r="K981" t="s">
        <v>22</v>
      </c>
      <c r="L981">
        <v>4</v>
      </c>
      <c r="M981">
        <v>4</v>
      </c>
      <c r="N981">
        <v>4</v>
      </c>
      <c r="O981">
        <v>2</v>
      </c>
      <c r="P981">
        <v>5</v>
      </c>
      <c r="Q981" t="s">
        <v>42</v>
      </c>
    </row>
    <row r="982" spans="1:17" x14ac:dyDescent="0.25">
      <c r="A982">
        <v>1270</v>
      </c>
      <c r="B982">
        <v>54</v>
      </c>
      <c r="C982" t="s">
        <v>23</v>
      </c>
      <c r="D982" t="s">
        <v>24</v>
      </c>
      <c r="E982" t="s">
        <v>45</v>
      </c>
      <c r="F982" t="s">
        <v>19</v>
      </c>
      <c r="G982" t="s">
        <v>33</v>
      </c>
      <c r="H982" t="s">
        <v>21</v>
      </c>
      <c r="I982">
        <v>22</v>
      </c>
      <c r="J982">
        <v>13105</v>
      </c>
      <c r="K982" t="s">
        <v>42</v>
      </c>
      <c r="L982">
        <v>1</v>
      </c>
      <c r="M982">
        <v>4</v>
      </c>
      <c r="N982">
        <v>25</v>
      </c>
      <c r="O982">
        <v>0</v>
      </c>
      <c r="P982">
        <v>27</v>
      </c>
      <c r="Q982" t="s">
        <v>42</v>
      </c>
    </row>
    <row r="983" spans="1:17" x14ac:dyDescent="0.25">
      <c r="A983">
        <v>1090</v>
      </c>
      <c r="B983">
        <v>30</v>
      </c>
      <c r="C983" t="s">
        <v>16</v>
      </c>
      <c r="D983" t="s">
        <v>17</v>
      </c>
      <c r="E983" t="s">
        <v>35</v>
      </c>
      <c r="F983" t="s">
        <v>41</v>
      </c>
      <c r="G983" t="s">
        <v>20</v>
      </c>
      <c r="H983" t="s">
        <v>30</v>
      </c>
      <c r="I983">
        <v>13</v>
      </c>
      <c r="J983">
        <v>4797</v>
      </c>
      <c r="K983" t="s">
        <v>22</v>
      </c>
      <c r="L983">
        <v>1</v>
      </c>
      <c r="M983">
        <v>2</v>
      </c>
      <c r="N983">
        <v>5</v>
      </c>
      <c r="O983">
        <v>0</v>
      </c>
      <c r="P983">
        <v>8</v>
      </c>
      <c r="Q983" t="s">
        <v>22</v>
      </c>
    </row>
    <row r="984" spans="1:17" x14ac:dyDescent="0.25">
      <c r="A984">
        <v>1067</v>
      </c>
      <c r="B984">
        <v>26</v>
      </c>
      <c r="C984" t="s">
        <v>16</v>
      </c>
      <c r="D984" t="s">
        <v>47</v>
      </c>
      <c r="E984" t="s">
        <v>50</v>
      </c>
      <c r="F984" t="s">
        <v>26</v>
      </c>
      <c r="G984" t="s">
        <v>37</v>
      </c>
      <c r="H984" t="s">
        <v>34</v>
      </c>
      <c r="I984">
        <v>19</v>
      </c>
      <c r="J984">
        <v>8077</v>
      </c>
      <c r="K984" t="s">
        <v>42</v>
      </c>
      <c r="L984">
        <v>1</v>
      </c>
      <c r="M984">
        <v>4</v>
      </c>
      <c r="N984">
        <v>2</v>
      </c>
      <c r="O984">
        <v>1</v>
      </c>
      <c r="P984">
        <v>2</v>
      </c>
      <c r="Q984" t="s">
        <v>88</v>
      </c>
    </row>
    <row r="985" spans="1:17" x14ac:dyDescent="0.25">
      <c r="A985">
        <v>1069</v>
      </c>
      <c r="B985">
        <v>60</v>
      </c>
      <c r="C985" t="s">
        <v>105</v>
      </c>
      <c r="D985" t="s">
        <v>27</v>
      </c>
      <c r="E985" t="s">
        <v>31</v>
      </c>
      <c r="F985" t="s">
        <v>32</v>
      </c>
      <c r="G985" t="s">
        <v>33</v>
      </c>
      <c r="H985" t="s">
        <v>34</v>
      </c>
      <c r="I985">
        <v>11</v>
      </c>
      <c r="J985">
        <v>11082</v>
      </c>
      <c r="K985" t="s">
        <v>22</v>
      </c>
      <c r="L985">
        <v>2</v>
      </c>
      <c r="M985">
        <v>1</v>
      </c>
      <c r="N985">
        <v>14</v>
      </c>
      <c r="O985">
        <v>0</v>
      </c>
      <c r="P985">
        <v>33</v>
      </c>
      <c r="Q985" t="s">
        <v>22</v>
      </c>
    </row>
    <row r="986" spans="1:17" x14ac:dyDescent="0.25">
      <c r="A986">
        <v>1433</v>
      </c>
      <c r="B986">
        <v>48</v>
      </c>
      <c r="C986" t="s">
        <v>16</v>
      </c>
      <c r="D986" t="s">
        <v>27</v>
      </c>
      <c r="E986" t="s">
        <v>44</v>
      </c>
      <c r="F986" t="s">
        <v>36</v>
      </c>
      <c r="G986" t="s">
        <v>33</v>
      </c>
      <c r="H986" t="s">
        <v>34</v>
      </c>
      <c r="I986">
        <v>6</v>
      </c>
      <c r="J986">
        <v>7429</v>
      </c>
      <c r="K986" t="s">
        <v>22</v>
      </c>
      <c r="L986">
        <v>1</v>
      </c>
      <c r="M986">
        <v>1</v>
      </c>
      <c r="N986">
        <v>2</v>
      </c>
      <c r="O986">
        <v>0</v>
      </c>
      <c r="P986">
        <v>17</v>
      </c>
      <c r="Q986" t="s">
        <v>42</v>
      </c>
    </row>
    <row r="987" spans="1:17" x14ac:dyDescent="0.25">
      <c r="A987">
        <v>1719</v>
      </c>
      <c r="B987">
        <v>53</v>
      </c>
      <c r="C987" t="s">
        <v>23</v>
      </c>
      <c r="D987" t="s">
        <v>24</v>
      </c>
      <c r="E987" t="s">
        <v>25</v>
      </c>
      <c r="F987" t="s">
        <v>19</v>
      </c>
      <c r="G987" t="s">
        <v>33</v>
      </c>
      <c r="H987" t="s">
        <v>34</v>
      </c>
      <c r="I987">
        <v>29</v>
      </c>
      <c r="J987">
        <v>12361</v>
      </c>
      <c r="K987" t="s">
        <v>42</v>
      </c>
      <c r="L987">
        <v>1</v>
      </c>
      <c r="M987">
        <v>2</v>
      </c>
      <c r="N987">
        <v>3</v>
      </c>
      <c r="O987">
        <v>0</v>
      </c>
      <c r="P987">
        <v>24</v>
      </c>
      <c r="Q987" t="s">
        <v>42</v>
      </c>
    </row>
    <row r="988" spans="1:17" x14ac:dyDescent="0.25">
      <c r="A988">
        <v>1571</v>
      </c>
      <c r="B988">
        <v>28</v>
      </c>
      <c r="C988" t="s">
        <v>16</v>
      </c>
      <c r="D988" t="s">
        <v>24</v>
      </c>
      <c r="E988" t="s">
        <v>46</v>
      </c>
      <c r="F988" t="s">
        <v>32</v>
      </c>
      <c r="G988" t="s">
        <v>20</v>
      </c>
      <c r="H988" t="s">
        <v>34</v>
      </c>
      <c r="I988">
        <v>3</v>
      </c>
      <c r="J988">
        <v>9883</v>
      </c>
      <c r="K988" t="s">
        <v>22</v>
      </c>
      <c r="L988">
        <v>4</v>
      </c>
      <c r="M988">
        <v>2</v>
      </c>
      <c r="N988">
        <v>5</v>
      </c>
      <c r="O988">
        <v>4</v>
      </c>
      <c r="P988">
        <v>8</v>
      </c>
      <c r="Q988" t="s">
        <v>22</v>
      </c>
    </row>
    <row r="989" spans="1:17" x14ac:dyDescent="0.25">
      <c r="A989">
        <v>1447</v>
      </c>
      <c r="B989">
        <v>56</v>
      </c>
      <c r="C989" t="s">
        <v>23</v>
      </c>
      <c r="D989" t="s">
        <v>24</v>
      </c>
      <c r="E989" t="s">
        <v>45</v>
      </c>
      <c r="F989" t="s">
        <v>32</v>
      </c>
      <c r="G989" t="s">
        <v>20</v>
      </c>
      <c r="H989" t="s">
        <v>21</v>
      </c>
      <c r="I989">
        <v>6</v>
      </c>
      <c r="J989">
        <v>11062</v>
      </c>
      <c r="K989" t="s">
        <v>22</v>
      </c>
      <c r="L989">
        <v>3</v>
      </c>
      <c r="M989">
        <v>1</v>
      </c>
      <c r="N989">
        <v>21</v>
      </c>
      <c r="O989">
        <v>15</v>
      </c>
      <c r="P989">
        <v>28</v>
      </c>
      <c r="Q989" t="s">
        <v>22</v>
      </c>
    </row>
    <row r="990" spans="1:17" x14ac:dyDescent="0.25">
      <c r="A990">
        <v>1286</v>
      </c>
      <c r="B990">
        <v>57</v>
      </c>
      <c r="C990" t="s">
        <v>16</v>
      </c>
      <c r="D990" t="s">
        <v>24</v>
      </c>
      <c r="E990" t="s">
        <v>25</v>
      </c>
      <c r="F990" t="s">
        <v>38</v>
      </c>
      <c r="G990" t="s">
        <v>37</v>
      </c>
      <c r="H990" t="s">
        <v>21</v>
      </c>
      <c r="I990">
        <v>26</v>
      </c>
      <c r="J990">
        <v>17061</v>
      </c>
      <c r="K990" t="s">
        <v>22</v>
      </c>
      <c r="L990">
        <v>2</v>
      </c>
      <c r="M990">
        <v>1</v>
      </c>
      <c r="N990">
        <v>25</v>
      </c>
      <c r="O990">
        <v>10</v>
      </c>
      <c r="P990">
        <v>36</v>
      </c>
      <c r="Q990" t="s">
        <v>22</v>
      </c>
    </row>
    <row r="991" spans="1:17" x14ac:dyDescent="0.25">
      <c r="A991">
        <v>1035</v>
      </c>
      <c r="B991">
        <v>37</v>
      </c>
      <c r="C991" t="s">
        <v>16</v>
      </c>
      <c r="D991" t="s">
        <v>24</v>
      </c>
      <c r="E991" t="s">
        <v>52</v>
      </c>
      <c r="F991" t="s">
        <v>32</v>
      </c>
      <c r="G991" t="s">
        <v>37</v>
      </c>
      <c r="H991" t="s">
        <v>34</v>
      </c>
      <c r="I991">
        <v>8</v>
      </c>
      <c r="J991">
        <v>7316</v>
      </c>
      <c r="K991" t="s">
        <v>42</v>
      </c>
      <c r="L991">
        <v>3</v>
      </c>
      <c r="M991">
        <v>1</v>
      </c>
      <c r="N991">
        <v>1</v>
      </c>
      <c r="O991">
        <v>1</v>
      </c>
      <c r="P991">
        <v>5</v>
      </c>
      <c r="Q991" t="s">
        <v>42</v>
      </c>
    </row>
    <row r="992" spans="1:17" x14ac:dyDescent="0.25">
      <c r="A992">
        <v>1486</v>
      </c>
      <c r="B992">
        <v>58</v>
      </c>
      <c r="C992" t="s">
        <v>23</v>
      </c>
      <c r="D992" t="s">
        <v>24</v>
      </c>
      <c r="E992" t="s">
        <v>45</v>
      </c>
      <c r="F992" t="s">
        <v>41</v>
      </c>
      <c r="G992" t="s">
        <v>33</v>
      </c>
      <c r="H992" t="s">
        <v>34</v>
      </c>
      <c r="I992">
        <v>15</v>
      </c>
      <c r="J992">
        <v>12143</v>
      </c>
      <c r="K992" t="s">
        <v>22</v>
      </c>
      <c r="L992">
        <v>1</v>
      </c>
      <c r="M992">
        <v>4</v>
      </c>
      <c r="N992">
        <v>11</v>
      </c>
      <c r="O992">
        <v>2</v>
      </c>
      <c r="P992">
        <v>33</v>
      </c>
      <c r="Q992" t="s">
        <v>22</v>
      </c>
    </row>
    <row r="993" spans="1:17" x14ac:dyDescent="0.25">
      <c r="A993">
        <v>1429</v>
      </c>
      <c r="B993">
        <v>49</v>
      </c>
      <c r="C993" t="s">
        <v>16</v>
      </c>
      <c r="D993" t="s">
        <v>38</v>
      </c>
      <c r="E993" t="s">
        <v>49</v>
      </c>
      <c r="F993" t="s">
        <v>38</v>
      </c>
      <c r="G993" t="s">
        <v>20</v>
      </c>
      <c r="H993" t="s">
        <v>30</v>
      </c>
      <c r="I993">
        <v>3</v>
      </c>
      <c r="J993">
        <v>10156</v>
      </c>
      <c r="K993" t="s">
        <v>22</v>
      </c>
      <c r="L993">
        <v>4</v>
      </c>
      <c r="M993">
        <v>1</v>
      </c>
      <c r="N993">
        <v>12</v>
      </c>
      <c r="O993">
        <v>2</v>
      </c>
      <c r="P993">
        <v>26</v>
      </c>
      <c r="Q993" t="s">
        <v>22</v>
      </c>
    </row>
    <row r="994" spans="1:17" x14ac:dyDescent="0.25">
      <c r="A994">
        <v>1109</v>
      </c>
      <c r="B994">
        <v>22</v>
      </c>
      <c r="C994" t="s">
        <v>16</v>
      </c>
      <c r="D994" t="s">
        <v>17</v>
      </c>
      <c r="E994" t="s">
        <v>40</v>
      </c>
      <c r="F994" t="s">
        <v>19</v>
      </c>
      <c r="G994" t="s">
        <v>33</v>
      </c>
      <c r="H994" t="s">
        <v>30</v>
      </c>
      <c r="I994">
        <v>21</v>
      </c>
      <c r="J994">
        <v>6305</v>
      </c>
      <c r="K994" t="s">
        <v>42</v>
      </c>
      <c r="L994">
        <v>4</v>
      </c>
      <c r="M994">
        <v>3</v>
      </c>
      <c r="N994">
        <v>0</v>
      </c>
      <c r="O994">
        <v>0</v>
      </c>
      <c r="P994">
        <v>0</v>
      </c>
      <c r="Q994" t="s">
        <v>42</v>
      </c>
    </row>
    <row r="995" spans="1:17" x14ac:dyDescent="0.25">
      <c r="A995">
        <v>1557</v>
      </c>
      <c r="B995">
        <v>31</v>
      </c>
      <c r="C995" t="s">
        <v>23</v>
      </c>
      <c r="D995" t="s">
        <v>24</v>
      </c>
      <c r="E995" t="s">
        <v>45</v>
      </c>
      <c r="F995" t="s">
        <v>32</v>
      </c>
      <c r="G995" t="s">
        <v>37</v>
      </c>
      <c r="H995" t="s">
        <v>30</v>
      </c>
      <c r="I995">
        <v>5</v>
      </c>
      <c r="J995">
        <v>6715</v>
      </c>
      <c r="K995" t="s">
        <v>22</v>
      </c>
      <c r="L995">
        <v>3</v>
      </c>
      <c r="M995">
        <v>1</v>
      </c>
      <c r="N995">
        <v>0</v>
      </c>
      <c r="O995">
        <v>0</v>
      </c>
      <c r="P995">
        <v>7</v>
      </c>
      <c r="Q995" t="s">
        <v>42</v>
      </c>
    </row>
    <row r="996" spans="1:17" x14ac:dyDescent="0.25">
      <c r="A996">
        <v>1651</v>
      </c>
      <c r="B996">
        <v>54</v>
      </c>
      <c r="C996" t="s">
        <v>16</v>
      </c>
      <c r="D996" t="s">
        <v>27</v>
      </c>
      <c r="E996" t="s">
        <v>28</v>
      </c>
      <c r="F996" t="s">
        <v>32</v>
      </c>
      <c r="G996" t="s">
        <v>37</v>
      </c>
      <c r="H996" t="s">
        <v>34</v>
      </c>
      <c r="I996">
        <v>7</v>
      </c>
      <c r="J996">
        <v>13001</v>
      </c>
      <c r="K996" t="s">
        <v>22</v>
      </c>
      <c r="L996">
        <v>4</v>
      </c>
      <c r="M996">
        <v>4</v>
      </c>
      <c r="N996">
        <v>5</v>
      </c>
      <c r="O996">
        <v>3</v>
      </c>
      <c r="P996">
        <v>34</v>
      </c>
      <c r="Q996" t="s">
        <v>22</v>
      </c>
    </row>
    <row r="997" spans="1:17" x14ac:dyDescent="0.25">
      <c r="A997">
        <v>1378</v>
      </c>
      <c r="B997">
        <v>37</v>
      </c>
      <c r="C997" t="s">
        <v>16</v>
      </c>
      <c r="D997" t="s">
        <v>27</v>
      </c>
      <c r="E997" t="s">
        <v>31</v>
      </c>
      <c r="F997" t="s">
        <v>26</v>
      </c>
      <c r="G997" t="s">
        <v>33</v>
      </c>
      <c r="H997" t="s">
        <v>34</v>
      </c>
      <c r="I997">
        <v>6</v>
      </c>
      <c r="J997">
        <v>8205</v>
      </c>
      <c r="K997" t="s">
        <v>22</v>
      </c>
      <c r="L997">
        <v>3</v>
      </c>
      <c r="M997">
        <v>2</v>
      </c>
      <c r="N997">
        <v>3</v>
      </c>
      <c r="O997">
        <v>2</v>
      </c>
      <c r="P997">
        <v>7</v>
      </c>
      <c r="Q997" t="s">
        <v>22</v>
      </c>
    </row>
    <row r="998" spans="1:17" x14ac:dyDescent="0.25">
      <c r="A998">
        <v>1711</v>
      </c>
      <c r="B998">
        <v>23</v>
      </c>
      <c r="C998" t="s">
        <v>16</v>
      </c>
      <c r="D998" t="s">
        <v>17</v>
      </c>
      <c r="E998" t="s">
        <v>40</v>
      </c>
      <c r="F998" t="s">
        <v>26</v>
      </c>
      <c r="G998" t="s">
        <v>20</v>
      </c>
      <c r="H998" t="s">
        <v>30</v>
      </c>
      <c r="I998">
        <v>7</v>
      </c>
      <c r="J998">
        <v>4519</v>
      </c>
      <c r="K998" t="s">
        <v>42</v>
      </c>
      <c r="L998">
        <v>4</v>
      </c>
      <c r="M998">
        <v>2</v>
      </c>
      <c r="N998">
        <v>0</v>
      </c>
      <c r="O998">
        <v>0</v>
      </c>
      <c r="P998">
        <v>0</v>
      </c>
      <c r="Q998" t="s">
        <v>22</v>
      </c>
    </row>
    <row r="999" spans="1:17" x14ac:dyDescent="0.25">
      <c r="A999">
        <v>1920</v>
      </c>
      <c r="B999">
        <v>60</v>
      </c>
      <c r="C999" t="s">
        <v>87</v>
      </c>
      <c r="D999" t="s">
        <v>47</v>
      </c>
      <c r="E999" t="s">
        <v>48</v>
      </c>
      <c r="F999" t="s">
        <v>26</v>
      </c>
      <c r="G999" t="s">
        <v>33</v>
      </c>
      <c r="H999" t="s">
        <v>30</v>
      </c>
      <c r="I999">
        <v>29</v>
      </c>
      <c r="J999">
        <v>11229</v>
      </c>
      <c r="K999" t="s">
        <v>22</v>
      </c>
      <c r="L999">
        <v>2</v>
      </c>
      <c r="M999">
        <v>3</v>
      </c>
      <c r="N999">
        <v>6</v>
      </c>
      <c r="O999">
        <v>2</v>
      </c>
      <c r="P999">
        <v>33</v>
      </c>
      <c r="Q999" t="s">
        <v>22</v>
      </c>
    </row>
    <row r="1000" spans="1:17" x14ac:dyDescent="0.25">
      <c r="A1000">
        <v>1538</v>
      </c>
      <c r="B1000">
        <v>35</v>
      </c>
      <c r="C1000" t="s">
        <v>23</v>
      </c>
      <c r="D1000" t="s">
        <v>24</v>
      </c>
      <c r="E1000" t="s">
        <v>52</v>
      </c>
      <c r="F1000" t="s">
        <v>32</v>
      </c>
      <c r="G1000" t="s">
        <v>33</v>
      </c>
      <c r="H1000" t="s">
        <v>34</v>
      </c>
      <c r="I1000">
        <v>20</v>
      </c>
      <c r="J1000">
        <v>6156</v>
      </c>
      <c r="K1000" t="s">
        <v>22</v>
      </c>
      <c r="L1000">
        <v>1</v>
      </c>
      <c r="M1000">
        <v>4</v>
      </c>
      <c r="N1000">
        <v>4</v>
      </c>
      <c r="O1000">
        <v>3</v>
      </c>
      <c r="P1000">
        <v>5</v>
      </c>
      <c r="Q1000" t="s">
        <v>22</v>
      </c>
    </row>
    <row r="1001" spans="1:17" x14ac:dyDescent="0.25">
      <c r="A1001">
        <v>1726</v>
      </c>
      <c r="B1001">
        <v>43</v>
      </c>
      <c r="C1001" t="s">
        <v>23</v>
      </c>
      <c r="D1001" t="s">
        <v>27</v>
      </c>
      <c r="E1001" t="s">
        <v>28</v>
      </c>
      <c r="F1001" t="s">
        <v>19</v>
      </c>
      <c r="G1001" t="s">
        <v>37</v>
      </c>
      <c r="H1001" t="s">
        <v>21</v>
      </c>
      <c r="I1001">
        <v>29</v>
      </c>
      <c r="J1001">
        <v>13602</v>
      </c>
      <c r="K1001" t="s">
        <v>22</v>
      </c>
      <c r="L1001">
        <v>3</v>
      </c>
      <c r="M1001">
        <v>4</v>
      </c>
      <c r="N1001">
        <v>12</v>
      </c>
      <c r="O1001">
        <v>10</v>
      </c>
      <c r="P1001">
        <v>19</v>
      </c>
      <c r="Q1001" t="s">
        <v>22</v>
      </c>
    </row>
    <row r="1002" spans="1:17" x14ac:dyDescent="0.25">
      <c r="A1002">
        <v>1022</v>
      </c>
      <c r="B1002">
        <v>58</v>
      </c>
      <c r="C1002" t="s">
        <v>16</v>
      </c>
      <c r="D1002" t="s">
        <v>17</v>
      </c>
      <c r="E1002" t="s">
        <v>35</v>
      </c>
      <c r="F1002" t="s">
        <v>38</v>
      </c>
      <c r="G1002" t="s">
        <v>20</v>
      </c>
      <c r="H1002" t="s">
        <v>21</v>
      </c>
      <c r="I1002">
        <v>28</v>
      </c>
      <c r="J1002">
        <v>12743</v>
      </c>
      <c r="K1002" t="s">
        <v>22</v>
      </c>
      <c r="L1002">
        <v>4</v>
      </c>
      <c r="M1002">
        <v>3</v>
      </c>
      <c r="N1002">
        <v>21</v>
      </c>
      <c r="O1002">
        <v>20</v>
      </c>
      <c r="P1002">
        <v>35</v>
      </c>
      <c r="Q1002" t="s">
        <v>42</v>
      </c>
    </row>
    <row r="1003" spans="1:17" x14ac:dyDescent="0.25">
      <c r="A1003">
        <v>1441</v>
      </c>
      <c r="B1003">
        <v>57</v>
      </c>
      <c r="C1003" t="s">
        <v>23</v>
      </c>
      <c r="D1003" t="s">
        <v>24</v>
      </c>
      <c r="E1003" t="s">
        <v>52</v>
      </c>
      <c r="F1003" t="s">
        <v>36</v>
      </c>
      <c r="G1003" t="s">
        <v>37</v>
      </c>
      <c r="H1003" t="s">
        <v>21</v>
      </c>
      <c r="I1003">
        <v>15</v>
      </c>
      <c r="J1003">
        <v>9516</v>
      </c>
      <c r="K1003" t="s">
        <v>22</v>
      </c>
      <c r="L1003">
        <v>1</v>
      </c>
      <c r="M1003">
        <v>1</v>
      </c>
      <c r="N1003">
        <v>24</v>
      </c>
      <c r="O1003">
        <v>8</v>
      </c>
      <c r="P1003">
        <v>24</v>
      </c>
      <c r="Q1003" t="s">
        <v>22</v>
      </c>
    </row>
    <row r="1004" spans="1:17" x14ac:dyDescent="0.25">
      <c r="A1004">
        <v>1716</v>
      </c>
      <c r="B1004">
        <v>59</v>
      </c>
      <c r="C1004" t="s">
        <v>16</v>
      </c>
      <c r="D1004" t="s">
        <v>24</v>
      </c>
      <c r="E1004" t="s">
        <v>45</v>
      </c>
      <c r="F1004" t="s">
        <v>36</v>
      </c>
      <c r="G1004" t="s">
        <v>33</v>
      </c>
      <c r="H1004" t="s">
        <v>21</v>
      </c>
      <c r="I1004">
        <v>28</v>
      </c>
      <c r="J1004">
        <v>10074</v>
      </c>
      <c r="K1004" t="s">
        <v>22</v>
      </c>
      <c r="L1004">
        <v>4</v>
      </c>
      <c r="M1004">
        <v>2</v>
      </c>
      <c r="N1004">
        <v>6</v>
      </c>
      <c r="O1004">
        <v>0</v>
      </c>
      <c r="P1004">
        <v>26</v>
      </c>
      <c r="Q1004" t="s">
        <v>22</v>
      </c>
    </row>
    <row r="1005" spans="1:17" x14ac:dyDescent="0.25">
      <c r="A1005">
        <v>1814</v>
      </c>
      <c r="B1005">
        <v>29</v>
      </c>
      <c r="C1005" t="s">
        <v>16</v>
      </c>
      <c r="D1005" t="s">
        <v>94</v>
      </c>
      <c r="E1005" t="s">
        <v>18</v>
      </c>
      <c r="F1005" t="s">
        <v>36</v>
      </c>
      <c r="G1005" t="s">
        <v>20</v>
      </c>
      <c r="H1005" t="s">
        <v>21</v>
      </c>
      <c r="I1005">
        <v>24</v>
      </c>
      <c r="J1005">
        <v>8838</v>
      </c>
      <c r="K1005" t="s">
        <v>42</v>
      </c>
      <c r="L1005">
        <v>2</v>
      </c>
      <c r="M1005">
        <v>4</v>
      </c>
      <c r="N1005">
        <v>3</v>
      </c>
      <c r="O1005">
        <v>0</v>
      </c>
      <c r="P1005">
        <v>4</v>
      </c>
      <c r="Q1005" t="s">
        <v>22</v>
      </c>
    </row>
    <row r="1006" spans="1:17" x14ac:dyDescent="0.25">
      <c r="A1006">
        <v>1376</v>
      </c>
      <c r="B1006">
        <v>60</v>
      </c>
      <c r="C1006" t="s">
        <v>16</v>
      </c>
      <c r="D1006" t="s">
        <v>17</v>
      </c>
      <c r="E1006" t="s">
        <v>40</v>
      </c>
      <c r="F1006" t="s">
        <v>29</v>
      </c>
      <c r="G1006" t="s">
        <v>33</v>
      </c>
      <c r="H1006" t="s">
        <v>34</v>
      </c>
      <c r="I1006">
        <v>22</v>
      </c>
      <c r="J1006">
        <v>10566</v>
      </c>
      <c r="K1006" t="s">
        <v>22</v>
      </c>
      <c r="L1006">
        <v>1</v>
      </c>
      <c r="M1006">
        <v>3</v>
      </c>
      <c r="N1006">
        <v>10</v>
      </c>
      <c r="O1006">
        <v>7</v>
      </c>
      <c r="P1006">
        <v>26</v>
      </c>
      <c r="Q1006" t="s">
        <v>22</v>
      </c>
    </row>
    <row r="1007" spans="1:17" x14ac:dyDescent="0.25">
      <c r="A1007">
        <v>1509</v>
      </c>
      <c r="B1007">
        <v>22</v>
      </c>
      <c r="C1007" t="s">
        <v>16</v>
      </c>
      <c r="D1007" t="s">
        <v>24</v>
      </c>
      <c r="E1007" t="s">
        <v>25</v>
      </c>
      <c r="F1007" t="s">
        <v>29</v>
      </c>
      <c r="G1007" t="s">
        <v>33</v>
      </c>
      <c r="H1007" t="s">
        <v>21</v>
      </c>
      <c r="I1007">
        <v>14</v>
      </c>
      <c r="J1007">
        <v>9226</v>
      </c>
      <c r="K1007" t="s">
        <v>22</v>
      </c>
      <c r="L1007">
        <v>2</v>
      </c>
      <c r="M1007">
        <v>1</v>
      </c>
      <c r="N1007">
        <v>0</v>
      </c>
      <c r="O1007">
        <v>0</v>
      </c>
      <c r="P1007">
        <v>0</v>
      </c>
      <c r="Q1007" t="s">
        <v>22</v>
      </c>
    </row>
    <row r="1008" spans="1:17" x14ac:dyDescent="0.25">
      <c r="A1008">
        <v>1449</v>
      </c>
      <c r="B1008">
        <v>58</v>
      </c>
      <c r="C1008" t="s">
        <v>16</v>
      </c>
      <c r="D1008" t="s">
        <v>17</v>
      </c>
      <c r="E1008" t="s">
        <v>40</v>
      </c>
      <c r="F1008" t="s">
        <v>32</v>
      </c>
      <c r="G1008" t="s">
        <v>33</v>
      </c>
      <c r="H1008" t="s">
        <v>34</v>
      </c>
      <c r="I1008">
        <v>19</v>
      </c>
      <c r="J1008">
        <v>9566</v>
      </c>
      <c r="K1008" t="s">
        <v>42</v>
      </c>
      <c r="L1008">
        <v>3</v>
      </c>
      <c r="M1008">
        <v>3</v>
      </c>
      <c r="N1008">
        <v>10</v>
      </c>
      <c r="O1008">
        <v>10</v>
      </c>
      <c r="P1008">
        <v>34</v>
      </c>
      <c r="Q1008" t="s">
        <v>22</v>
      </c>
    </row>
    <row r="1009" spans="1:17" x14ac:dyDescent="0.25">
      <c r="A1009">
        <v>1025</v>
      </c>
      <c r="B1009">
        <v>30</v>
      </c>
      <c r="C1009" t="s">
        <v>23</v>
      </c>
      <c r="D1009" t="s">
        <v>27</v>
      </c>
      <c r="E1009" t="s">
        <v>43</v>
      </c>
      <c r="F1009" t="s">
        <v>32</v>
      </c>
      <c r="G1009" t="s">
        <v>20</v>
      </c>
      <c r="H1009" t="s">
        <v>34</v>
      </c>
      <c r="I1009">
        <v>28</v>
      </c>
      <c r="J1009">
        <v>7519</v>
      </c>
      <c r="K1009" t="s">
        <v>22</v>
      </c>
      <c r="L1009">
        <v>3</v>
      </c>
      <c r="M1009">
        <v>4</v>
      </c>
      <c r="N1009">
        <v>6</v>
      </c>
      <c r="O1009">
        <v>0</v>
      </c>
      <c r="P1009">
        <v>10</v>
      </c>
      <c r="Q1009" t="s">
        <v>22</v>
      </c>
    </row>
    <row r="1010" spans="1:17" x14ac:dyDescent="0.25">
      <c r="A1010">
        <v>1577</v>
      </c>
      <c r="B1010">
        <v>35</v>
      </c>
      <c r="C1010" t="s">
        <v>16</v>
      </c>
      <c r="D1010" t="s">
        <v>27</v>
      </c>
      <c r="E1010" t="s">
        <v>31</v>
      </c>
      <c r="F1010" t="s">
        <v>29</v>
      </c>
      <c r="G1010" t="s">
        <v>33</v>
      </c>
      <c r="H1010" t="s">
        <v>21</v>
      </c>
      <c r="I1010">
        <v>14</v>
      </c>
      <c r="J1010">
        <v>7899</v>
      </c>
      <c r="K1010" t="s">
        <v>22</v>
      </c>
      <c r="L1010">
        <v>1</v>
      </c>
      <c r="M1010">
        <v>2</v>
      </c>
      <c r="N1010">
        <v>10</v>
      </c>
      <c r="O1010">
        <v>8</v>
      </c>
      <c r="P1010">
        <v>13</v>
      </c>
      <c r="Q1010" t="s">
        <v>22</v>
      </c>
    </row>
    <row r="1011" spans="1:17" x14ac:dyDescent="0.25">
      <c r="A1011">
        <v>1620</v>
      </c>
      <c r="B1011">
        <v>44</v>
      </c>
      <c r="C1011" t="s">
        <v>23</v>
      </c>
      <c r="D1011" t="s">
        <v>136</v>
      </c>
      <c r="E1011" t="s">
        <v>49</v>
      </c>
      <c r="F1011" t="s">
        <v>29</v>
      </c>
      <c r="G1011" t="s">
        <v>33</v>
      </c>
      <c r="H1011" t="s">
        <v>34</v>
      </c>
      <c r="I1011">
        <v>21</v>
      </c>
      <c r="J1011">
        <v>13551</v>
      </c>
      <c r="K1011" t="s">
        <v>42</v>
      </c>
      <c r="L1011">
        <v>1</v>
      </c>
      <c r="M1011">
        <v>1</v>
      </c>
      <c r="N1011">
        <v>11</v>
      </c>
      <c r="O1011">
        <v>0</v>
      </c>
      <c r="P1011">
        <v>18</v>
      </c>
      <c r="Q1011" t="s">
        <v>22</v>
      </c>
    </row>
    <row r="1012" spans="1:17" x14ac:dyDescent="0.25">
      <c r="A1012">
        <v>1970</v>
      </c>
      <c r="B1012">
        <v>58</v>
      </c>
      <c r="C1012" t="s">
        <v>16</v>
      </c>
      <c r="D1012" t="s">
        <v>27</v>
      </c>
      <c r="E1012" t="s">
        <v>43</v>
      </c>
      <c r="F1012" t="s">
        <v>19</v>
      </c>
      <c r="G1012" t="s">
        <v>20</v>
      </c>
      <c r="H1012" t="s">
        <v>34</v>
      </c>
      <c r="I1012">
        <v>27</v>
      </c>
      <c r="J1012">
        <v>10781</v>
      </c>
      <c r="K1012" t="s">
        <v>22</v>
      </c>
      <c r="M1012">
        <v>4</v>
      </c>
      <c r="N1012">
        <v>1</v>
      </c>
      <c r="O1012">
        <v>0</v>
      </c>
      <c r="P1012">
        <v>30</v>
      </c>
      <c r="Q1012" t="s">
        <v>22</v>
      </c>
    </row>
    <row r="1013" spans="1:17" x14ac:dyDescent="0.25">
      <c r="A1013">
        <v>1828</v>
      </c>
      <c r="B1013">
        <v>22</v>
      </c>
      <c r="C1013" t="s">
        <v>105</v>
      </c>
      <c r="D1013" t="s">
        <v>17</v>
      </c>
      <c r="E1013" t="s">
        <v>40</v>
      </c>
      <c r="F1013" t="s">
        <v>38</v>
      </c>
      <c r="G1013" t="s">
        <v>20</v>
      </c>
      <c r="H1013" t="s">
        <v>34</v>
      </c>
      <c r="I1013">
        <v>10</v>
      </c>
      <c r="J1013">
        <v>6652</v>
      </c>
      <c r="K1013" t="s">
        <v>22</v>
      </c>
      <c r="L1013">
        <v>4</v>
      </c>
      <c r="M1013">
        <v>2</v>
      </c>
      <c r="N1013">
        <v>0</v>
      </c>
      <c r="O1013">
        <v>0</v>
      </c>
      <c r="P1013">
        <v>0</v>
      </c>
      <c r="Q1013"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Notes</vt:lpstr>
      <vt:lpstr>Pivots</vt:lpstr>
      <vt:lpstr>Clean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Aidan L</cp:lastModifiedBy>
  <dcterms:created xsi:type="dcterms:W3CDTF">2026-09-01T23:41:05Z</dcterms:created>
  <dcterms:modified xsi:type="dcterms:W3CDTF">2026-09-06T14:10:28Z</dcterms:modified>
</cp:coreProperties>
</file>